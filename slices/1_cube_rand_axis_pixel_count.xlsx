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lor clustering" sheetId="1" state="visible" r:id="rId3"/>
    <sheet name="Color classification" sheetId="2" state="visible" r:id="rId4"/>
    <sheet name="Comparison with origi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<sst xmlns="http://schemas.openxmlformats.org/spreadsheetml/2006/main" count="67" uniqueCount="20">
  <si>
    <t xml:space="preserve">image</t>
  </si>
  <si>
    <t xml:space="preserve">Pre-alignement</t>
  </si>
  <si>
    <t xml:space="preserve">Post-alignement</t>
  </si>
  <si>
    <t xml:space="preserve">Random correction</t>
  </si>
  <si>
    <t xml:space="preserve">Color classification</t>
  </si>
  <si>
    <t xml:space="preserve">1_cuboid/cube_rand_axis/Col_clust</t>
  </si>
  <si>
    <t xml:space="preserve">#e65a4a</t>
  </si>
  <si>
    <t xml:space="preserve">#fefefe</t>
  </si>
  <si>
    <t xml:space="preserve">Total</t>
  </si>
  <si>
    <t xml:space="preserve">Error</t>
  </si>
  <si>
    <t xml:space="preserve">MAPE</t>
  </si>
  <si>
    <t xml:space="preserve">1_cuboid/cube_rand_axis/Col_class</t>
  </si>
  <si>
    <t xml:space="preserve">#e65a49</t>
  </si>
  <si>
    <t xml:space="preserve">#ffffff</t>
  </si>
  <si>
    <t xml:space="preserve">Original</t>
  </si>
  <si>
    <t xml:space="preserve">Clustering</t>
  </si>
  <si>
    <t xml:space="preserve">Classification</t>
  </si>
  <si>
    <t xml:space="preserve">1_cuboid/cube_rand_axis</t>
  </si>
  <si>
    <t xml:space="preserve">Error clustering</t>
  </si>
  <si>
    <t xml:space="preserve">Error classification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</si>
</sst>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05"/>
        <bgColor rgb="FFFEFEFE"/>
      </patternFill>
    </fill>
    <fill>
      <patternFill patternType="solid">
        <fgColor rgb="FFE65A4A"/>
        <bgColor rgb="FFE65A49"/>
      </patternFill>
    </fill>
    <fill>
      <patternFill patternType="solid">
        <fgColor rgb="FFFEFEFE"/>
        <bgColor rgb="FFFFFFFF"/>
      </patternFill>
    </fill>
    <fill>
      <patternFill patternType="solid">
        <fgColor rgb="FFE65A49"/>
        <bgColor rgb="FFE65A4A"/>
      </patternFill>
    </fill>
    <fill>
      <patternFill patternType="solid">
        <fgColor rgb="FFFFFFFF"/>
        <bgColor rgb="FFFEFEFE"/>
      </patternFill>
    </fill>
    <fill>
      <patternFill patternType="solid">
        <fgColor rgb="FFFFD7D7"/>
        <bgColor rgb="FFF2F2F2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 diagonalUp="false" diagonalDown="false"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0" fillId="3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5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6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7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EFE"/>
      <rgbColor rgb="FFF2F2F2"/>
      <rgbColor rgb="FF660066"/>
      <rgbColor rgb="FFE65A4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E65A4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4"/>
  <sheetViews>
    <sheetView showFormulas="false" showGridLines="true" showRowColHeaders="true" showZeros="true" rightToLeft="false" tabSelected="false" showOutlineSymbols="true" defaultGridColor="true" view="normal" topLeftCell="A136" colorId="64" zoomScale="100" zoomScaleNormal="100" zoomScalePageLayoutView="100" workbookViewId="0">
      <selection pane="topLeft" activeCell="C152" activeCellId="0" sqref="C152"/>
    </sheetView>
  </sheetViews>
  <sheetFormatPr defaultColWidth="8.68359375" defaultRowHeight="15" zeroHeight="false" outlineLevelRow="0" outlineLevelCol="0"/>
  <cols>
    <col collapsed="false" customWidth="true" hidden="false" outlineLevel="0" max="4" min="4" style="1" width="9.57"/>
    <col collapsed="false" customWidth="true" hidden="false" outlineLevel="0" max="6" min="6" style="1" width="9.57"/>
    <col collapsed="false" customWidth="true" hidden="false" outlineLevel="0" max="7" min="7" style="1" width="23.65"/>
    <col collapsed="false" customWidth="true" hidden="false" outlineLevel="0" max="8" min="8" style="1" width="22.12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5" t="s">
        <v>2</v>
      </c>
      <c r="F1" s="5"/>
      <c r="G1" s="5"/>
      <c r="H1" s="5"/>
    </row>
    <row r="2" customFormat="false" ht="15" hidden="false" customHeight="false" outlineLevel="0" collapsed="false">
      <c r="A2" s="2"/>
      <c r="B2" s="3"/>
      <c r="C2" s="3"/>
      <c r="D2" s="4"/>
      <c r="E2" s="6" t="s">
        <v>3</v>
      </c>
      <c r="F2" s="6"/>
      <c r="G2" s="7" t="s">
        <v>4</v>
      </c>
      <c r="H2" s="7"/>
    </row>
    <row r="3" customFormat="false" ht="15" hidden="false" customHeight="false" outlineLevel="0" collapsed="false">
      <c r="A3" s="8" t="s">
        <v>5</v>
      </c>
      <c r="B3" s="3"/>
      <c r="C3" s="9" t="s">
        <v>6</v>
      </c>
      <c r="D3" s="10" t="s">
        <v>7</v>
      </c>
      <c r="E3" s="11" t="s">
        <v>6</v>
      </c>
      <c r="F3" s="12" t="s">
        <v>7</v>
      </c>
      <c r="G3" s="11" t="s">
        <v>6</v>
      </c>
      <c r="H3" s="10" t="s">
        <v>7</v>
      </c>
    </row>
    <row r="4" customFormat="false" ht="15" hidden="false" customHeight="false" outlineLevel="0" collapsed="false">
      <c r="A4" s="8"/>
      <c r="B4" s="13" t="n">
        <v>0</v>
      </c>
      <c r="C4" s="14" t="n">
        <v>2</v>
      </c>
      <c r="D4" s="15" t="n">
        <v>159998</v>
      </c>
      <c r="E4" s="13" t="n">
        <v>2</v>
      </c>
      <c r="F4" s="16" t="n">
        <v>159998</v>
      </c>
      <c r="G4" s="13" t="n">
        <v>2</v>
      </c>
      <c r="H4" s="15" t="n">
        <v>159998</v>
      </c>
    </row>
    <row r="5" customFormat="false" ht="15" hidden="false" customHeight="false" outlineLevel="0" collapsed="false">
      <c r="A5" s="8"/>
      <c r="B5" s="13" t="n">
        <v>1</v>
      </c>
      <c r="C5" s="14" t="n">
        <v>6</v>
      </c>
      <c r="D5" s="15" t="n">
        <v>159994</v>
      </c>
      <c r="E5" s="13" t="n">
        <v>0</v>
      </c>
      <c r="F5" s="16" t="n">
        <v>160000</v>
      </c>
      <c r="G5" s="13" t="n">
        <v>5</v>
      </c>
      <c r="H5" s="15" t="n">
        <v>159995</v>
      </c>
    </row>
    <row r="6" customFormat="false" ht="15" hidden="false" customHeight="false" outlineLevel="0" collapsed="false">
      <c r="A6" s="8"/>
      <c r="B6" s="13" t="n">
        <v>2</v>
      </c>
      <c r="C6" s="14" t="n">
        <v>25</v>
      </c>
      <c r="D6" s="15" t="n">
        <v>159975</v>
      </c>
      <c r="E6" s="13" t="n">
        <v>0</v>
      </c>
      <c r="F6" s="16" t="n">
        <v>160000</v>
      </c>
      <c r="G6" s="13" t="n">
        <v>25</v>
      </c>
      <c r="H6" s="15" t="n">
        <v>159975</v>
      </c>
    </row>
    <row r="7" customFormat="false" ht="15" hidden="false" customHeight="false" outlineLevel="0" collapsed="false">
      <c r="A7" s="8"/>
      <c r="B7" s="13" t="n">
        <v>3</v>
      </c>
      <c r="C7" s="14" t="n">
        <v>39</v>
      </c>
      <c r="D7" s="15" t="n">
        <v>159961</v>
      </c>
      <c r="E7" s="13" t="n">
        <v>0</v>
      </c>
      <c r="F7" s="16" t="n">
        <v>160000</v>
      </c>
      <c r="G7" s="13" t="n">
        <v>37</v>
      </c>
      <c r="H7" s="15" t="n">
        <v>159963</v>
      </c>
    </row>
    <row r="8" customFormat="false" ht="15" hidden="false" customHeight="false" outlineLevel="0" collapsed="false">
      <c r="A8" s="8"/>
      <c r="B8" s="13" t="n">
        <v>4</v>
      </c>
      <c r="C8" s="14" t="n">
        <v>71</v>
      </c>
      <c r="D8" s="15" t="n">
        <v>159929</v>
      </c>
      <c r="E8" s="13" t="n">
        <v>2</v>
      </c>
      <c r="F8" s="16" t="n">
        <v>159998</v>
      </c>
      <c r="G8" s="13" t="n">
        <v>71</v>
      </c>
      <c r="H8" s="15" t="n">
        <v>159929</v>
      </c>
    </row>
    <row r="9" customFormat="false" ht="15" hidden="false" customHeight="false" outlineLevel="0" collapsed="false">
      <c r="A9" s="8"/>
      <c r="B9" s="13" t="n">
        <v>5</v>
      </c>
      <c r="C9" s="14" t="n">
        <v>92</v>
      </c>
      <c r="D9" s="15" t="n">
        <v>159908</v>
      </c>
      <c r="E9" s="13" t="n">
        <v>0</v>
      </c>
      <c r="F9" s="16" t="n">
        <v>160000</v>
      </c>
      <c r="G9" s="13" t="n">
        <v>81</v>
      </c>
      <c r="H9" s="15" t="n">
        <v>159919</v>
      </c>
    </row>
    <row r="10" customFormat="false" ht="15" hidden="false" customHeight="false" outlineLevel="0" collapsed="false">
      <c r="A10" s="8"/>
      <c r="B10" s="13" t="n">
        <v>6</v>
      </c>
      <c r="C10" s="14" t="n">
        <v>119</v>
      </c>
      <c r="D10" s="15" t="n">
        <v>159881</v>
      </c>
      <c r="E10" s="13" t="n">
        <v>2</v>
      </c>
      <c r="F10" s="16" t="n">
        <v>159998</v>
      </c>
      <c r="G10" s="13" t="n">
        <v>119</v>
      </c>
      <c r="H10" s="15" t="n">
        <v>159881</v>
      </c>
    </row>
    <row r="11" customFormat="false" ht="15" hidden="false" customHeight="false" outlineLevel="0" collapsed="false">
      <c r="A11" s="8"/>
      <c r="B11" s="13" t="n">
        <v>7</v>
      </c>
      <c r="C11" s="14" t="n">
        <v>181</v>
      </c>
      <c r="D11" s="15" t="n">
        <v>159819</v>
      </c>
      <c r="E11" s="13" t="n">
        <v>2</v>
      </c>
      <c r="F11" s="16" t="n">
        <v>159998</v>
      </c>
      <c r="G11" s="13" t="n">
        <v>181</v>
      </c>
      <c r="H11" s="15" t="n">
        <v>159819</v>
      </c>
    </row>
    <row r="12" customFormat="false" ht="15" hidden="false" customHeight="false" outlineLevel="0" collapsed="false">
      <c r="A12" s="8"/>
      <c r="B12" s="13" t="n">
        <v>8</v>
      </c>
      <c r="C12" s="14" t="n">
        <v>214</v>
      </c>
      <c r="D12" s="15" t="n">
        <v>159786</v>
      </c>
      <c r="E12" s="13" t="n">
        <v>1</v>
      </c>
      <c r="F12" s="16" t="n">
        <v>159999</v>
      </c>
      <c r="G12" s="13" t="n">
        <v>214</v>
      </c>
      <c r="H12" s="15" t="n">
        <v>159786</v>
      </c>
    </row>
    <row r="13" customFormat="false" ht="15" hidden="false" customHeight="false" outlineLevel="0" collapsed="false">
      <c r="A13" s="8"/>
      <c r="B13" s="13" t="n">
        <v>9</v>
      </c>
      <c r="C13" s="14" t="n">
        <v>275</v>
      </c>
      <c r="D13" s="15" t="n">
        <v>159725</v>
      </c>
      <c r="E13" s="13" t="n">
        <v>0</v>
      </c>
      <c r="F13" s="16" t="n">
        <v>160000</v>
      </c>
      <c r="G13" s="13" t="n">
        <v>293</v>
      </c>
      <c r="H13" s="15" t="n">
        <v>159707</v>
      </c>
    </row>
    <row r="14" customFormat="false" ht="15" hidden="false" customHeight="false" outlineLevel="0" collapsed="false">
      <c r="A14" s="8"/>
      <c r="B14" s="13" t="n">
        <v>10</v>
      </c>
      <c r="C14" s="14" t="n">
        <v>340</v>
      </c>
      <c r="D14" s="15" t="n">
        <v>159660</v>
      </c>
      <c r="E14" s="13" t="n">
        <v>0</v>
      </c>
      <c r="F14" s="16" t="n">
        <v>160000</v>
      </c>
      <c r="G14" s="13" t="n">
        <v>318</v>
      </c>
      <c r="H14" s="15" t="n">
        <v>159682</v>
      </c>
    </row>
    <row r="15" customFormat="false" ht="15" hidden="false" customHeight="false" outlineLevel="0" collapsed="false">
      <c r="A15" s="8"/>
      <c r="B15" s="13" t="n">
        <v>11</v>
      </c>
      <c r="C15" s="14" t="n">
        <v>417</v>
      </c>
      <c r="D15" s="15" t="n">
        <v>159583</v>
      </c>
      <c r="E15" s="13" t="n">
        <v>5</v>
      </c>
      <c r="F15" s="16" t="n">
        <v>159995</v>
      </c>
      <c r="G15" s="13" t="n">
        <v>414</v>
      </c>
      <c r="H15" s="15" t="n">
        <v>159586</v>
      </c>
    </row>
    <row r="16" customFormat="false" ht="15" hidden="false" customHeight="false" outlineLevel="0" collapsed="false">
      <c r="A16" s="8"/>
      <c r="B16" s="13" t="n">
        <v>12</v>
      </c>
      <c r="C16" s="14" t="n">
        <v>466</v>
      </c>
      <c r="D16" s="15" t="n">
        <v>159534</v>
      </c>
      <c r="E16" s="13" t="n">
        <v>35</v>
      </c>
      <c r="F16" s="16" t="n">
        <v>159965</v>
      </c>
      <c r="G16" s="13" t="n">
        <v>463</v>
      </c>
      <c r="H16" s="15" t="n">
        <v>159537</v>
      </c>
    </row>
    <row r="17" customFormat="false" ht="15" hidden="false" customHeight="false" outlineLevel="0" collapsed="false">
      <c r="A17" s="8"/>
      <c r="B17" s="13" t="n">
        <v>13</v>
      </c>
      <c r="C17" s="14" t="n">
        <v>551</v>
      </c>
      <c r="D17" s="15" t="n">
        <v>159449</v>
      </c>
      <c r="E17" s="13" t="n">
        <v>0</v>
      </c>
      <c r="F17" s="16" t="n">
        <v>160000</v>
      </c>
      <c r="G17" s="13" t="n">
        <v>553</v>
      </c>
      <c r="H17" s="15" t="n">
        <v>159447</v>
      </c>
    </row>
    <row r="18" customFormat="false" ht="15" hidden="false" customHeight="false" outlineLevel="0" collapsed="false">
      <c r="A18" s="8"/>
      <c r="B18" s="13" t="n">
        <v>14</v>
      </c>
      <c r="C18" s="14" t="n">
        <v>637</v>
      </c>
      <c r="D18" s="15" t="n">
        <v>159363</v>
      </c>
      <c r="E18" s="13" t="n">
        <v>67</v>
      </c>
      <c r="F18" s="16" t="n">
        <v>159933</v>
      </c>
      <c r="G18" s="13" t="n">
        <v>633</v>
      </c>
      <c r="H18" s="15" t="n">
        <v>159367</v>
      </c>
    </row>
    <row r="19" customFormat="false" ht="15" hidden="false" customHeight="false" outlineLevel="0" collapsed="false">
      <c r="A19" s="8"/>
      <c r="B19" s="13" t="n">
        <v>15</v>
      </c>
      <c r="C19" s="14" t="n">
        <v>752</v>
      </c>
      <c r="D19" s="15" t="n">
        <v>159248</v>
      </c>
      <c r="E19" s="13" t="n">
        <v>2</v>
      </c>
      <c r="F19" s="16" t="n">
        <v>159998</v>
      </c>
      <c r="G19" s="13" t="n">
        <v>745</v>
      </c>
      <c r="H19" s="15" t="n">
        <v>159255</v>
      </c>
    </row>
    <row r="20" customFormat="false" ht="15" hidden="false" customHeight="false" outlineLevel="0" collapsed="false">
      <c r="A20" s="8"/>
      <c r="B20" s="13" t="n">
        <v>16</v>
      </c>
      <c r="C20" s="14" t="n">
        <v>812</v>
      </c>
      <c r="D20" s="15" t="n">
        <v>159188</v>
      </c>
      <c r="E20" s="13" t="n">
        <v>6</v>
      </c>
      <c r="F20" s="16" t="n">
        <v>159994</v>
      </c>
      <c r="G20" s="13" t="n">
        <v>818</v>
      </c>
      <c r="H20" s="15" t="n">
        <v>159182</v>
      </c>
    </row>
    <row r="21" customFormat="false" ht="15" hidden="false" customHeight="false" outlineLevel="0" collapsed="false">
      <c r="A21" s="8"/>
      <c r="B21" s="13" t="n">
        <v>17</v>
      </c>
      <c r="C21" s="14" t="n">
        <v>940</v>
      </c>
      <c r="D21" s="15" t="n">
        <v>159060</v>
      </c>
      <c r="E21" s="13" t="n">
        <v>29</v>
      </c>
      <c r="F21" s="16" t="n">
        <v>159971</v>
      </c>
      <c r="G21" s="13" t="n">
        <v>940</v>
      </c>
      <c r="H21" s="15" t="n">
        <v>159060</v>
      </c>
    </row>
    <row r="22" customFormat="false" ht="15" hidden="false" customHeight="false" outlineLevel="0" collapsed="false">
      <c r="A22" s="8"/>
      <c r="B22" s="13" t="n">
        <v>18</v>
      </c>
      <c r="C22" s="14" t="n">
        <v>1053</v>
      </c>
      <c r="D22" s="15" t="n">
        <v>158947</v>
      </c>
      <c r="E22" s="13" t="n">
        <v>51</v>
      </c>
      <c r="F22" s="16" t="n">
        <v>159949</v>
      </c>
      <c r="G22" s="13" t="n">
        <v>1047</v>
      </c>
      <c r="H22" s="15" t="n">
        <v>158953</v>
      </c>
    </row>
    <row r="23" customFormat="false" ht="15" hidden="false" customHeight="false" outlineLevel="0" collapsed="false">
      <c r="A23" s="8"/>
      <c r="B23" s="13" t="n">
        <v>19</v>
      </c>
      <c r="C23" s="14" t="n">
        <v>1179</v>
      </c>
      <c r="D23" s="15" t="n">
        <v>158821</v>
      </c>
      <c r="E23" s="13" t="n">
        <v>26</v>
      </c>
      <c r="F23" s="16" t="n">
        <v>159974</v>
      </c>
      <c r="G23" s="13" t="n">
        <v>1180</v>
      </c>
      <c r="H23" s="15" t="n">
        <v>158820</v>
      </c>
    </row>
    <row r="24" customFormat="false" ht="15" hidden="false" customHeight="false" outlineLevel="0" collapsed="false">
      <c r="A24" s="8"/>
      <c r="B24" s="13" t="n">
        <v>20</v>
      </c>
      <c r="C24" s="14" t="n">
        <v>1258</v>
      </c>
      <c r="D24" s="15" t="n">
        <v>158742</v>
      </c>
      <c r="E24" s="13" t="n">
        <v>5</v>
      </c>
      <c r="F24" s="16" t="n">
        <v>159995</v>
      </c>
      <c r="G24" s="13" t="n">
        <v>1256</v>
      </c>
      <c r="H24" s="15" t="n">
        <v>158744</v>
      </c>
    </row>
    <row r="25" customFormat="false" ht="15" hidden="false" customHeight="false" outlineLevel="0" collapsed="false">
      <c r="A25" s="8"/>
      <c r="B25" s="13" t="n">
        <v>21</v>
      </c>
      <c r="C25" s="14" t="n">
        <v>1402</v>
      </c>
      <c r="D25" s="15" t="n">
        <v>158598</v>
      </c>
      <c r="E25" s="13" t="n">
        <v>20</v>
      </c>
      <c r="F25" s="16" t="n">
        <v>159980</v>
      </c>
      <c r="G25" s="13" t="n">
        <v>1405</v>
      </c>
      <c r="H25" s="15" t="n">
        <v>158595</v>
      </c>
    </row>
    <row r="26" customFormat="false" ht="15" hidden="false" customHeight="false" outlineLevel="0" collapsed="false">
      <c r="A26" s="8"/>
      <c r="B26" s="13" t="n">
        <v>22</v>
      </c>
      <c r="C26" s="14" t="n">
        <v>1553</v>
      </c>
      <c r="D26" s="15" t="n">
        <v>158447</v>
      </c>
      <c r="E26" s="13" t="n">
        <v>4</v>
      </c>
      <c r="F26" s="16" t="n">
        <v>159996</v>
      </c>
      <c r="G26" s="13" t="n">
        <v>1550</v>
      </c>
      <c r="H26" s="15" t="n">
        <v>158450</v>
      </c>
    </row>
    <row r="27" customFormat="false" ht="15" hidden="false" customHeight="false" outlineLevel="0" collapsed="false">
      <c r="A27" s="8"/>
      <c r="B27" s="13" t="n">
        <v>23</v>
      </c>
      <c r="C27" s="14" t="n">
        <v>1712</v>
      </c>
      <c r="D27" s="15" t="n">
        <v>158288</v>
      </c>
      <c r="E27" s="13" t="n">
        <v>16</v>
      </c>
      <c r="F27" s="16" t="n">
        <v>159984</v>
      </c>
      <c r="G27" s="13" t="n">
        <v>1708</v>
      </c>
      <c r="H27" s="15" t="n">
        <v>158292</v>
      </c>
    </row>
    <row r="28" customFormat="false" ht="15" hidden="false" customHeight="false" outlineLevel="0" collapsed="false">
      <c r="A28" s="8"/>
      <c r="B28" s="13" t="n">
        <v>24</v>
      </c>
      <c r="C28" s="14" t="n">
        <v>1804</v>
      </c>
      <c r="D28" s="15" t="n">
        <v>158196</v>
      </c>
      <c r="E28" s="13" t="n">
        <v>225</v>
      </c>
      <c r="F28" s="16" t="n">
        <v>159775</v>
      </c>
      <c r="G28" s="13" t="n">
        <v>1807</v>
      </c>
      <c r="H28" s="15" t="n">
        <v>158193</v>
      </c>
    </row>
    <row r="29" customFormat="false" ht="15" hidden="false" customHeight="false" outlineLevel="0" collapsed="false">
      <c r="A29" s="8"/>
      <c r="B29" s="13" t="n">
        <v>25</v>
      </c>
      <c r="C29" s="14" t="n">
        <v>1974</v>
      </c>
      <c r="D29" s="15" t="n">
        <v>158026</v>
      </c>
      <c r="E29" s="13" t="n">
        <v>8</v>
      </c>
      <c r="F29" s="16" t="n">
        <v>159992</v>
      </c>
      <c r="G29" s="13" t="n">
        <v>1974</v>
      </c>
      <c r="H29" s="15" t="n">
        <v>158026</v>
      </c>
    </row>
    <row r="30" customFormat="false" ht="15" hidden="false" customHeight="false" outlineLevel="0" collapsed="false">
      <c r="A30" s="8"/>
      <c r="B30" s="13" t="n">
        <v>26</v>
      </c>
      <c r="C30" s="14" t="n">
        <v>2152</v>
      </c>
      <c r="D30" s="15" t="n">
        <v>157848</v>
      </c>
      <c r="E30" s="13" t="n">
        <v>22</v>
      </c>
      <c r="F30" s="16" t="n">
        <v>159978</v>
      </c>
      <c r="G30" s="13" t="n">
        <v>2151</v>
      </c>
      <c r="H30" s="15" t="n">
        <v>157849</v>
      </c>
    </row>
    <row r="31" customFormat="false" ht="15" hidden="false" customHeight="false" outlineLevel="0" collapsed="false">
      <c r="A31" s="8"/>
      <c r="B31" s="13" t="n">
        <v>27</v>
      </c>
      <c r="C31" s="14" t="n">
        <v>2336</v>
      </c>
      <c r="D31" s="15" t="n">
        <v>157664</v>
      </c>
      <c r="E31" s="13" t="n">
        <v>19</v>
      </c>
      <c r="F31" s="16" t="n">
        <v>159981</v>
      </c>
      <c r="G31" s="13" t="n">
        <v>2333</v>
      </c>
      <c r="H31" s="15" t="n">
        <v>157667</v>
      </c>
    </row>
    <row r="32" customFormat="false" ht="15" hidden="false" customHeight="false" outlineLevel="0" collapsed="false">
      <c r="A32" s="8"/>
      <c r="B32" s="13" t="n">
        <v>28</v>
      </c>
      <c r="C32" s="14" t="n">
        <v>2387</v>
      </c>
      <c r="D32" s="15" t="n">
        <v>157613</v>
      </c>
      <c r="E32" s="13" t="n">
        <v>47</v>
      </c>
      <c r="F32" s="16" t="n">
        <v>159953</v>
      </c>
      <c r="G32" s="13" t="n">
        <v>2390</v>
      </c>
      <c r="H32" s="15" t="n">
        <v>157610</v>
      </c>
    </row>
    <row r="33" customFormat="false" ht="15" hidden="false" customHeight="false" outlineLevel="0" collapsed="false">
      <c r="A33" s="8"/>
      <c r="B33" s="13" t="n">
        <v>29</v>
      </c>
      <c r="C33" s="14" t="n">
        <v>2663</v>
      </c>
      <c r="D33" s="15" t="n">
        <v>157337</v>
      </c>
      <c r="E33" s="13" t="n">
        <v>7</v>
      </c>
      <c r="F33" s="16" t="n">
        <v>159993</v>
      </c>
      <c r="G33" s="13" t="n">
        <v>2664</v>
      </c>
      <c r="H33" s="15" t="n">
        <v>157336</v>
      </c>
    </row>
    <row r="34" customFormat="false" ht="15" hidden="false" customHeight="false" outlineLevel="0" collapsed="false">
      <c r="A34" s="8"/>
      <c r="B34" s="13" t="n">
        <v>30</v>
      </c>
      <c r="C34" s="14" t="n">
        <v>2848</v>
      </c>
      <c r="D34" s="15" t="n">
        <v>157152</v>
      </c>
      <c r="E34" s="13" t="n">
        <v>35</v>
      </c>
      <c r="F34" s="16" t="n">
        <v>159965</v>
      </c>
      <c r="G34" s="13" t="n">
        <v>2846</v>
      </c>
      <c r="H34" s="15" t="n">
        <v>157154</v>
      </c>
    </row>
    <row r="35" customFormat="false" ht="15" hidden="false" customHeight="false" outlineLevel="0" collapsed="false">
      <c r="A35" s="8"/>
      <c r="B35" s="13" t="n">
        <v>31</v>
      </c>
      <c r="C35" s="14" t="n">
        <v>3039</v>
      </c>
      <c r="D35" s="15" t="n">
        <v>156961</v>
      </c>
      <c r="E35" s="13" t="n">
        <v>6</v>
      </c>
      <c r="F35" s="16" t="n">
        <v>159994</v>
      </c>
      <c r="G35" s="13" t="n">
        <v>3038</v>
      </c>
      <c r="H35" s="15" t="n">
        <v>156962</v>
      </c>
    </row>
    <row r="36" customFormat="false" ht="15" hidden="false" customHeight="false" outlineLevel="0" collapsed="false">
      <c r="A36" s="8"/>
      <c r="B36" s="13" t="n">
        <v>32</v>
      </c>
      <c r="C36" s="14" t="n">
        <v>3184</v>
      </c>
      <c r="D36" s="15" t="n">
        <v>156816</v>
      </c>
      <c r="E36" s="13" t="n">
        <v>9</v>
      </c>
      <c r="F36" s="16" t="n">
        <v>159991</v>
      </c>
      <c r="G36" s="13" t="n">
        <v>3185</v>
      </c>
      <c r="H36" s="15" t="n">
        <v>156815</v>
      </c>
    </row>
    <row r="37" customFormat="false" ht="15" hidden="false" customHeight="false" outlineLevel="0" collapsed="false">
      <c r="A37" s="8"/>
      <c r="B37" s="13" t="n">
        <v>33</v>
      </c>
      <c r="C37" s="14" t="n">
        <v>3411</v>
      </c>
      <c r="D37" s="15" t="n">
        <v>156589</v>
      </c>
      <c r="E37" s="13" t="n">
        <v>2</v>
      </c>
      <c r="F37" s="16" t="n">
        <v>159998</v>
      </c>
      <c r="G37" s="13" t="n">
        <v>3409</v>
      </c>
      <c r="H37" s="15" t="n">
        <v>156591</v>
      </c>
    </row>
    <row r="38" customFormat="false" ht="15" hidden="false" customHeight="false" outlineLevel="0" collapsed="false">
      <c r="A38" s="8"/>
      <c r="B38" s="13" t="n">
        <v>34</v>
      </c>
      <c r="C38" s="14" t="n">
        <v>3641</v>
      </c>
      <c r="D38" s="15" t="n">
        <v>156359</v>
      </c>
      <c r="E38" s="13" t="n">
        <v>410</v>
      </c>
      <c r="F38" s="16" t="n">
        <v>159590</v>
      </c>
      <c r="G38" s="13" t="n">
        <v>3641</v>
      </c>
      <c r="H38" s="15" t="n">
        <v>156359</v>
      </c>
    </row>
    <row r="39" customFormat="false" ht="15" hidden="false" customHeight="false" outlineLevel="0" collapsed="false">
      <c r="A39" s="8"/>
      <c r="B39" s="13" t="n">
        <v>35</v>
      </c>
      <c r="C39" s="14" t="n">
        <v>3905</v>
      </c>
      <c r="D39" s="15" t="n">
        <v>156095</v>
      </c>
      <c r="E39" s="13" t="n">
        <v>25</v>
      </c>
      <c r="F39" s="16" t="n">
        <v>159975</v>
      </c>
      <c r="G39" s="13" t="n">
        <v>3898</v>
      </c>
      <c r="H39" s="15" t="n">
        <v>156102</v>
      </c>
    </row>
    <row r="40" customFormat="false" ht="15" hidden="false" customHeight="false" outlineLevel="0" collapsed="false">
      <c r="A40" s="8"/>
      <c r="B40" s="13" t="n">
        <v>36</v>
      </c>
      <c r="C40" s="14" t="n">
        <v>3995</v>
      </c>
      <c r="D40" s="15" t="n">
        <v>156005</v>
      </c>
      <c r="E40" s="13" t="n">
        <v>141</v>
      </c>
      <c r="F40" s="16" t="n">
        <v>159859</v>
      </c>
      <c r="G40" s="13" t="n">
        <v>3997</v>
      </c>
      <c r="H40" s="15" t="n">
        <v>156003</v>
      </c>
    </row>
    <row r="41" customFormat="false" ht="15" hidden="false" customHeight="false" outlineLevel="0" collapsed="false">
      <c r="A41" s="8"/>
      <c r="B41" s="13" t="n">
        <v>37</v>
      </c>
      <c r="C41" s="14" t="n">
        <v>4261</v>
      </c>
      <c r="D41" s="15" t="n">
        <v>155739</v>
      </c>
      <c r="E41" s="13" t="n">
        <v>38</v>
      </c>
      <c r="F41" s="16" t="n">
        <v>159962</v>
      </c>
      <c r="G41" s="13" t="n">
        <v>4261</v>
      </c>
      <c r="H41" s="15" t="n">
        <v>155739</v>
      </c>
    </row>
    <row r="42" customFormat="false" ht="15" hidden="false" customHeight="false" outlineLevel="0" collapsed="false">
      <c r="A42" s="8"/>
      <c r="B42" s="13" t="n">
        <v>38</v>
      </c>
      <c r="C42" s="14" t="n">
        <v>4507</v>
      </c>
      <c r="D42" s="15" t="n">
        <v>155493</v>
      </c>
      <c r="E42" s="13" t="n">
        <v>22</v>
      </c>
      <c r="F42" s="16" t="n">
        <v>159978</v>
      </c>
      <c r="G42" s="13" t="n">
        <v>4504</v>
      </c>
      <c r="H42" s="15" t="n">
        <v>155496</v>
      </c>
    </row>
    <row r="43" customFormat="false" ht="15" hidden="false" customHeight="false" outlineLevel="0" collapsed="false">
      <c r="A43" s="8"/>
      <c r="B43" s="13" t="n">
        <v>39</v>
      </c>
      <c r="C43" s="14" t="n">
        <v>4746</v>
      </c>
      <c r="D43" s="15" t="n">
        <v>155254</v>
      </c>
      <c r="E43" s="13" t="n">
        <v>478</v>
      </c>
      <c r="F43" s="16" t="n">
        <v>159522</v>
      </c>
      <c r="G43" s="13" t="n">
        <v>4746</v>
      </c>
      <c r="H43" s="15" t="n">
        <v>155254</v>
      </c>
    </row>
    <row r="44" customFormat="false" ht="15" hidden="false" customHeight="false" outlineLevel="0" collapsed="false">
      <c r="A44" s="8"/>
      <c r="B44" s="13" t="n">
        <v>40</v>
      </c>
      <c r="C44" s="14" t="n">
        <v>4883</v>
      </c>
      <c r="D44" s="15" t="n">
        <v>155117</v>
      </c>
      <c r="E44" s="13" t="n">
        <v>1031</v>
      </c>
      <c r="F44" s="16" t="n">
        <v>158969</v>
      </c>
      <c r="G44" s="13" t="n">
        <v>4887</v>
      </c>
      <c r="H44" s="15" t="n">
        <v>155113</v>
      </c>
    </row>
    <row r="45" customFormat="false" ht="15" hidden="false" customHeight="false" outlineLevel="0" collapsed="false">
      <c r="A45" s="8"/>
      <c r="B45" s="13" t="n">
        <v>41</v>
      </c>
      <c r="C45" s="14" t="n">
        <v>5104</v>
      </c>
      <c r="D45" s="15" t="n">
        <v>154896</v>
      </c>
      <c r="E45" s="13" t="n">
        <v>11</v>
      </c>
      <c r="F45" s="16" t="n">
        <v>159989</v>
      </c>
      <c r="G45" s="13" t="n">
        <v>5104</v>
      </c>
      <c r="H45" s="15" t="n">
        <v>154896</v>
      </c>
    </row>
    <row r="46" customFormat="false" ht="15" hidden="false" customHeight="false" outlineLevel="0" collapsed="false">
      <c r="A46" s="8"/>
      <c r="B46" s="13" t="n">
        <v>42</v>
      </c>
      <c r="C46" s="14" t="n">
        <v>5367</v>
      </c>
      <c r="D46" s="15" t="n">
        <v>154633</v>
      </c>
      <c r="E46" s="13" t="n">
        <v>0</v>
      </c>
      <c r="F46" s="16" t="n">
        <v>160000</v>
      </c>
      <c r="G46" s="13" t="n">
        <v>5368</v>
      </c>
      <c r="H46" s="15" t="n">
        <v>154632</v>
      </c>
    </row>
    <row r="47" customFormat="false" ht="15" hidden="false" customHeight="false" outlineLevel="0" collapsed="false">
      <c r="A47" s="8"/>
      <c r="B47" s="13" t="n">
        <v>43</v>
      </c>
      <c r="C47" s="14" t="n">
        <v>5608</v>
      </c>
      <c r="D47" s="15" t="n">
        <v>154392</v>
      </c>
      <c r="E47" s="13" t="n">
        <v>19</v>
      </c>
      <c r="F47" s="16" t="n">
        <v>159981</v>
      </c>
      <c r="G47" s="13" t="n">
        <v>5608</v>
      </c>
      <c r="H47" s="15" t="n">
        <v>154392</v>
      </c>
    </row>
    <row r="48" customFormat="false" ht="15" hidden="false" customHeight="false" outlineLevel="0" collapsed="false">
      <c r="A48" s="8"/>
      <c r="B48" s="13" t="n">
        <v>44</v>
      </c>
      <c r="C48" s="14" t="n">
        <v>5751</v>
      </c>
      <c r="D48" s="15" t="n">
        <v>154249</v>
      </c>
      <c r="E48" s="13" t="n">
        <v>26</v>
      </c>
      <c r="F48" s="16" t="n">
        <v>159974</v>
      </c>
      <c r="G48" s="13" t="n">
        <v>5748</v>
      </c>
      <c r="H48" s="15" t="n">
        <v>154252</v>
      </c>
    </row>
    <row r="49" customFormat="false" ht="15" hidden="false" customHeight="false" outlineLevel="0" collapsed="false">
      <c r="A49" s="8"/>
      <c r="B49" s="13" t="n">
        <v>45</v>
      </c>
      <c r="C49" s="14" t="n">
        <v>5963</v>
      </c>
      <c r="D49" s="15" t="n">
        <v>154037</v>
      </c>
      <c r="E49" s="13" t="n">
        <v>10</v>
      </c>
      <c r="F49" s="16" t="n">
        <v>159990</v>
      </c>
      <c r="G49" s="13" t="n">
        <v>5964</v>
      </c>
      <c r="H49" s="15" t="n">
        <v>154036</v>
      </c>
    </row>
    <row r="50" customFormat="false" ht="15" hidden="false" customHeight="false" outlineLevel="0" collapsed="false">
      <c r="A50" s="8"/>
      <c r="B50" s="13" t="n">
        <v>46</v>
      </c>
      <c r="C50" s="14" t="n">
        <v>6232</v>
      </c>
      <c r="D50" s="15" t="n">
        <v>153768</v>
      </c>
      <c r="E50" s="13" t="n">
        <v>15</v>
      </c>
      <c r="F50" s="16" t="n">
        <v>159985</v>
      </c>
      <c r="G50" s="13" t="n">
        <v>6233</v>
      </c>
      <c r="H50" s="15" t="n">
        <v>153767</v>
      </c>
    </row>
    <row r="51" customFormat="false" ht="15" hidden="false" customHeight="false" outlineLevel="0" collapsed="false">
      <c r="A51" s="8"/>
      <c r="B51" s="13" t="n">
        <v>47</v>
      </c>
      <c r="C51" s="14" t="n">
        <v>6477</v>
      </c>
      <c r="D51" s="15" t="n">
        <v>153523</v>
      </c>
      <c r="E51" s="13" t="n">
        <v>760</v>
      </c>
      <c r="F51" s="16" t="n">
        <v>159240</v>
      </c>
      <c r="G51" s="13" t="n">
        <v>6480</v>
      </c>
      <c r="H51" s="15" t="n">
        <v>153520</v>
      </c>
    </row>
    <row r="52" customFormat="false" ht="15" hidden="false" customHeight="false" outlineLevel="0" collapsed="false">
      <c r="A52" s="8"/>
      <c r="B52" s="13" t="n">
        <v>48</v>
      </c>
      <c r="C52" s="14" t="n">
        <v>6536</v>
      </c>
      <c r="D52" s="15" t="n">
        <v>153464</v>
      </c>
      <c r="E52" s="13" t="n">
        <v>74</v>
      </c>
      <c r="F52" s="16" t="n">
        <v>159926</v>
      </c>
      <c r="G52" s="13" t="n">
        <v>6538</v>
      </c>
      <c r="H52" s="15" t="n">
        <v>153462</v>
      </c>
    </row>
    <row r="53" customFormat="false" ht="15" hidden="false" customHeight="false" outlineLevel="0" collapsed="false">
      <c r="A53" s="8"/>
      <c r="B53" s="13" t="n">
        <v>49</v>
      </c>
      <c r="C53" s="14" t="n">
        <v>6866</v>
      </c>
      <c r="D53" s="15" t="n">
        <v>153134</v>
      </c>
      <c r="E53" s="13" t="n">
        <v>312</v>
      </c>
      <c r="F53" s="16" t="n">
        <v>159688</v>
      </c>
      <c r="G53" s="13" t="n">
        <v>6864</v>
      </c>
      <c r="H53" s="15" t="n">
        <v>153136</v>
      </c>
    </row>
    <row r="54" customFormat="false" ht="15" hidden="false" customHeight="false" outlineLevel="0" collapsed="false">
      <c r="A54" s="8"/>
      <c r="B54" s="13" t="n">
        <v>50</v>
      </c>
      <c r="C54" s="14" t="n">
        <v>7063</v>
      </c>
      <c r="D54" s="15" t="n">
        <v>152937</v>
      </c>
      <c r="E54" s="13" t="n">
        <v>69</v>
      </c>
      <c r="F54" s="16" t="n">
        <v>159931</v>
      </c>
      <c r="G54" s="13" t="n">
        <v>7057</v>
      </c>
      <c r="H54" s="15" t="n">
        <v>152943</v>
      </c>
    </row>
    <row r="55" customFormat="false" ht="15" hidden="false" customHeight="false" outlineLevel="0" collapsed="false">
      <c r="A55" s="8"/>
      <c r="B55" s="13" t="n">
        <v>51</v>
      </c>
      <c r="C55" s="14" t="n">
        <v>7310</v>
      </c>
      <c r="D55" s="15" t="n">
        <v>152690</v>
      </c>
      <c r="E55" s="13" t="n">
        <v>114</v>
      </c>
      <c r="F55" s="16" t="n">
        <v>159886</v>
      </c>
      <c r="G55" s="13" t="n">
        <v>7310</v>
      </c>
      <c r="H55" s="15" t="n">
        <v>152690</v>
      </c>
    </row>
    <row r="56" customFormat="false" ht="15" hidden="false" customHeight="false" outlineLevel="0" collapsed="false">
      <c r="A56" s="8"/>
      <c r="B56" s="13" t="n">
        <v>52</v>
      </c>
      <c r="C56" s="14" t="n">
        <v>7441</v>
      </c>
      <c r="D56" s="15" t="n">
        <v>152559</v>
      </c>
      <c r="E56" s="13" t="n">
        <v>12</v>
      </c>
      <c r="F56" s="16" t="n">
        <v>159988</v>
      </c>
      <c r="G56" s="13" t="n">
        <v>7440</v>
      </c>
      <c r="H56" s="15" t="n">
        <v>152560</v>
      </c>
    </row>
    <row r="57" customFormat="false" ht="15" hidden="false" customHeight="false" outlineLevel="0" collapsed="false">
      <c r="A57" s="8"/>
      <c r="B57" s="13" t="n">
        <v>53</v>
      </c>
      <c r="C57" s="14" t="n">
        <v>7650</v>
      </c>
      <c r="D57" s="15" t="n">
        <v>152350</v>
      </c>
      <c r="E57" s="13" t="n">
        <v>1715</v>
      </c>
      <c r="F57" s="16" t="n">
        <v>158285</v>
      </c>
      <c r="G57" s="13" t="n">
        <v>7648</v>
      </c>
      <c r="H57" s="15" t="n">
        <v>152352</v>
      </c>
    </row>
    <row r="58" customFormat="false" ht="15" hidden="false" customHeight="false" outlineLevel="0" collapsed="false">
      <c r="A58" s="8"/>
      <c r="B58" s="13" t="n">
        <v>54</v>
      </c>
      <c r="C58" s="14" t="n">
        <v>7861</v>
      </c>
      <c r="D58" s="15" t="n">
        <v>152139</v>
      </c>
      <c r="E58" s="13" t="n">
        <v>76</v>
      </c>
      <c r="F58" s="16" t="n">
        <v>159924</v>
      </c>
      <c r="G58" s="13" t="n">
        <v>7865</v>
      </c>
      <c r="H58" s="15" t="n">
        <v>152135</v>
      </c>
    </row>
    <row r="59" customFormat="false" ht="15" hidden="false" customHeight="false" outlineLevel="0" collapsed="false">
      <c r="A59" s="8"/>
      <c r="B59" s="13" t="n">
        <v>55</v>
      </c>
      <c r="C59" s="14" t="n">
        <v>8058</v>
      </c>
      <c r="D59" s="15" t="n">
        <v>151942</v>
      </c>
      <c r="E59" s="13" t="n">
        <v>50</v>
      </c>
      <c r="F59" s="16" t="n">
        <v>159950</v>
      </c>
      <c r="G59" s="13" t="n">
        <v>8061</v>
      </c>
      <c r="H59" s="15" t="n">
        <v>151939</v>
      </c>
    </row>
    <row r="60" customFormat="false" ht="15" hidden="false" customHeight="false" outlineLevel="0" collapsed="false">
      <c r="A60" s="8"/>
      <c r="B60" s="13" t="n">
        <v>56</v>
      </c>
      <c r="C60" s="14" t="n">
        <v>8146</v>
      </c>
      <c r="D60" s="15" t="n">
        <v>151854</v>
      </c>
      <c r="E60" s="13" t="n">
        <v>447</v>
      </c>
      <c r="F60" s="16" t="n">
        <v>159553</v>
      </c>
      <c r="G60" s="13" t="n">
        <v>8146</v>
      </c>
      <c r="H60" s="15" t="n">
        <v>151854</v>
      </c>
    </row>
    <row r="61" customFormat="false" ht="15" hidden="false" customHeight="false" outlineLevel="0" collapsed="false">
      <c r="A61" s="8"/>
      <c r="B61" s="13" t="n">
        <v>57</v>
      </c>
      <c r="C61" s="14" t="n">
        <v>8348</v>
      </c>
      <c r="D61" s="15" t="n">
        <v>151652</v>
      </c>
      <c r="E61" s="13" t="n">
        <v>46</v>
      </c>
      <c r="F61" s="16" t="n">
        <v>159954</v>
      </c>
      <c r="G61" s="13" t="n">
        <v>8348</v>
      </c>
      <c r="H61" s="15" t="n">
        <v>151652</v>
      </c>
    </row>
    <row r="62" customFormat="false" ht="15" hidden="false" customHeight="false" outlineLevel="0" collapsed="false">
      <c r="A62" s="8"/>
      <c r="B62" s="13" t="n">
        <v>58</v>
      </c>
      <c r="C62" s="14" t="n">
        <v>8505</v>
      </c>
      <c r="D62" s="15" t="n">
        <v>151495</v>
      </c>
      <c r="E62" s="13" t="n">
        <v>38</v>
      </c>
      <c r="F62" s="16" t="n">
        <v>159962</v>
      </c>
      <c r="G62" s="13" t="n">
        <v>8501</v>
      </c>
      <c r="H62" s="15" t="n">
        <v>151499</v>
      </c>
    </row>
    <row r="63" customFormat="false" ht="15" hidden="false" customHeight="false" outlineLevel="0" collapsed="false">
      <c r="A63" s="8"/>
      <c r="B63" s="13" t="n">
        <v>59</v>
      </c>
      <c r="C63" s="14" t="n">
        <v>8677</v>
      </c>
      <c r="D63" s="15" t="n">
        <v>151323</v>
      </c>
      <c r="E63" s="13" t="n">
        <v>312</v>
      </c>
      <c r="F63" s="16" t="n">
        <v>159688</v>
      </c>
      <c r="G63" s="13" t="n">
        <v>8678</v>
      </c>
      <c r="H63" s="15" t="n">
        <v>151322</v>
      </c>
    </row>
    <row r="64" customFormat="false" ht="15" hidden="false" customHeight="false" outlineLevel="0" collapsed="false">
      <c r="A64" s="8"/>
      <c r="B64" s="13" t="n">
        <v>60</v>
      </c>
      <c r="C64" s="14" t="n">
        <v>8749</v>
      </c>
      <c r="D64" s="15" t="n">
        <v>151251</v>
      </c>
      <c r="E64" s="13" t="n">
        <v>28</v>
      </c>
      <c r="F64" s="16" t="n">
        <v>159972</v>
      </c>
      <c r="G64" s="13" t="n">
        <v>8751</v>
      </c>
      <c r="H64" s="15" t="n">
        <v>151249</v>
      </c>
    </row>
    <row r="65" customFormat="false" ht="15" hidden="false" customHeight="false" outlineLevel="0" collapsed="false">
      <c r="A65" s="8"/>
      <c r="B65" s="13" t="n">
        <v>61</v>
      </c>
      <c r="C65" s="14" t="n">
        <v>8894</v>
      </c>
      <c r="D65" s="15" t="n">
        <v>151106</v>
      </c>
      <c r="E65" s="13" t="n">
        <v>29</v>
      </c>
      <c r="F65" s="16" t="n">
        <v>159971</v>
      </c>
      <c r="G65" s="13" t="n">
        <v>8892</v>
      </c>
      <c r="H65" s="15" t="n">
        <v>151108</v>
      </c>
    </row>
    <row r="66" customFormat="false" ht="15" hidden="false" customHeight="false" outlineLevel="0" collapsed="false">
      <c r="A66" s="8"/>
      <c r="B66" s="13" t="n">
        <v>62</v>
      </c>
      <c r="C66" s="14" t="n">
        <v>8977</v>
      </c>
      <c r="D66" s="15" t="n">
        <v>151023</v>
      </c>
      <c r="E66" s="13" t="n">
        <v>12</v>
      </c>
      <c r="F66" s="16" t="n">
        <v>159988</v>
      </c>
      <c r="G66" s="13" t="n">
        <v>8978</v>
      </c>
      <c r="H66" s="15" t="n">
        <v>151022</v>
      </c>
    </row>
    <row r="67" customFormat="false" ht="15" hidden="false" customHeight="false" outlineLevel="0" collapsed="false">
      <c r="A67" s="8"/>
      <c r="B67" s="13" t="n">
        <v>63</v>
      </c>
      <c r="C67" s="14" t="n">
        <v>9108</v>
      </c>
      <c r="D67" s="15" t="n">
        <v>150892</v>
      </c>
      <c r="E67" s="13" t="n">
        <v>43</v>
      </c>
      <c r="F67" s="16" t="n">
        <v>159957</v>
      </c>
      <c r="G67" s="13" t="n">
        <v>9109</v>
      </c>
      <c r="H67" s="15" t="n">
        <v>150891</v>
      </c>
    </row>
    <row r="68" customFormat="false" ht="15" hidden="false" customHeight="false" outlineLevel="0" collapsed="false">
      <c r="A68" s="8"/>
      <c r="B68" s="13" t="n">
        <v>64</v>
      </c>
      <c r="C68" s="14" t="n">
        <v>9133</v>
      </c>
      <c r="D68" s="15" t="n">
        <v>150867</v>
      </c>
      <c r="E68" s="13" t="n">
        <v>163</v>
      </c>
      <c r="F68" s="16" t="n">
        <v>159837</v>
      </c>
      <c r="G68" s="13" t="n">
        <v>9134</v>
      </c>
      <c r="H68" s="15" t="n">
        <v>150866</v>
      </c>
    </row>
    <row r="69" customFormat="false" ht="15" hidden="false" customHeight="false" outlineLevel="0" collapsed="false">
      <c r="A69" s="8"/>
      <c r="B69" s="13" t="n">
        <v>65</v>
      </c>
      <c r="C69" s="14" t="n">
        <v>9218</v>
      </c>
      <c r="D69" s="15" t="n">
        <v>150782</v>
      </c>
      <c r="E69" s="13" t="n">
        <v>12</v>
      </c>
      <c r="F69" s="16" t="n">
        <v>159988</v>
      </c>
      <c r="G69" s="13" t="n">
        <v>9218</v>
      </c>
      <c r="H69" s="15" t="n">
        <v>150782</v>
      </c>
    </row>
    <row r="70" customFormat="false" ht="15" hidden="false" customHeight="false" outlineLevel="0" collapsed="false">
      <c r="A70" s="8"/>
      <c r="B70" s="13" t="n">
        <v>66</v>
      </c>
      <c r="C70" s="14" t="n">
        <v>9291</v>
      </c>
      <c r="D70" s="15" t="n">
        <v>150709</v>
      </c>
      <c r="E70" s="13" t="n">
        <v>768</v>
      </c>
      <c r="F70" s="16" t="n">
        <v>159232</v>
      </c>
      <c r="G70" s="13" t="n">
        <v>9293</v>
      </c>
      <c r="H70" s="15" t="n">
        <v>150707</v>
      </c>
    </row>
    <row r="71" customFormat="false" ht="15" hidden="false" customHeight="false" outlineLevel="0" collapsed="false">
      <c r="A71" s="8"/>
      <c r="B71" s="13" t="n">
        <v>67</v>
      </c>
      <c r="C71" s="14" t="n">
        <v>9376</v>
      </c>
      <c r="D71" s="15" t="n">
        <v>150624</v>
      </c>
      <c r="E71" s="13" t="n">
        <v>119</v>
      </c>
      <c r="F71" s="16" t="n">
        <v>159881</v>
      </c>
      <c r="G71" s="13" t="n">
        <v>9377</v>
      </c>
      <c r="H71" s="15" t="n">
        <v>150623</v>
      </c>
    </row>
    <row r="72" customFormat="false" ht="15" hidden="false" customHeight="false" outlineLevel="0" collapsed="false">
      <c r="A72" s="8"/>
      <c r="B72" s="13" t="n">
        <v>68</v>
      </c>
      <c r="C72" s="14" t="n">
        <v>9335</v>
      </c>
      <c r="D72" s="15" t="n">
        <v>150665</v>
      </c>
      <c r="E72" s="13" t="n">
        <v>5</v>
      </c>
      <c r="F72" s="16" t="n">
        <v>159995</v>
      </c>
      <c r="G72" s="13" t="n">
        <v>9337</v>
      </c>
      <c r="H72" s="15" t="n">
        <v>150663</v>
      </c>
    </row>
    <row r="73" customFormat="false" ht="15" hidden="false" customHeight="false" outlineLevel="0" collapsed="false">
      <c r="A73" s="8"/>
      <c r="B73" s="13" t="n">
        <v>69</v>
      </c>
      <c r="C73" s="14" t="n">
        <v>9391</v>
      </c>
      <c r="D73" s="15" t="n">
        <v>150609</v>
      </c>
      <c r="E73" s="13" t="n">
        <v>21</v>
      </c>
      <c r="F73" s="16" t="n">
        <v>159979</v>
      </c>
      <c r="G73" s="13" t="n">
        <v>9390</v>
      </c>
      <c r="H73" s="15" t="n">
        <v>150610</v>
      </c>
    </row>
    <row r="74" customFormat="false" ht="15" hidden="false" customHeight="false" outlineLevel="0" collapsed="false">
      <c r="A74" s="8"/>
      <c r="B74" s="13" t="n">
        <v>70</v>
      </c>
      <c r="C74" s="14" t="n">
        <v>9401</v>
      </c>
      <c r="D74" s="15" t="n">
        <v>150599</v>
      </c>
      <c r="E74" s="13" t="n">
        <v>39</v>
      </c>
      <c r="F74" s="16" t="n">
        <v>159961</v>
      </c>
      <c r="G74" s="13" t="n">
        <v>9404</v>
      </c>
      <c r="H74" s="15" t="n">
        <v>150596</v>
      </c>
    </row>
    <row r="75" customFormat="false" ht="15" hidden="false" customHeight="false" outlineLevel="0" collapsed="false">
      <c r="A75" s="8"/>
      <c r="B75" s="13" t="n">
        <v>71</v>
      </c>
      <c r="C75" s="14" t="n">
        <v>9391</v>
      </c>
      <c r="D75" s="15" t="n">
        <v>150609</v>
      </c>
      <c r="E75" s="13" t="n">
        <v>126</v>
      </c>
      <c r="F75" s="16" t="n">
        <v>159874</v>
      </c>
      <c r="G75" s="13" t="n">
        <v>9390</v>
      </c>
      <c r="H75" s="15" t="n">
        <v>150610</v>
      </c>
    </row>
    <row r="76" customFormat="false" ht="15" hidden="false" customHeight="false" outlineLevel="0" collapsed="false">
      <c r="A76" s="8"/>
      <c r="B76" s="13" t="n">
        <v>72</v>
      </c>
      <c r="C76" s="14" t="n">
        <v>9333</v>
      </c>
      <c r="D76" s="15" t="n">
        <v>150667</v>
      </c>
      <c r="E76" s="13" t="n">
        <v>427</v>
      </c>
      <c r="F76" s="16" t="n">
        <v>159573</v>
      </c>
      <c r="G76" s="13" t="n">
        <v>9336</v>
      </c>
      <c r="H76" s="15" t="n">
        <v>150664</v>
      </c>
    </row>
    <row r="77" customFormat="false" ht="15" hidden="false" customHeight="false" outlineLevel="0" collapsed="false">
      <c r="A77" s="8"/>
      <c r="B77" s="13" t="n">
        <v>73</v>
      </c>
      <c r="C77" s="14" t="n">
        <v>9352</v>
      </c>
      <c r="D77" s="15" t="n">
        <v>150648</v>
      </c>
      <c r="E77" s="13" t="n">
        <v>9</v>
      </c>
      <c r="F77" s="16" t="n">
        <v>159991</v>
      </c>
      <c r="G77" s="13" t="n">
        <v>9351</v>
      </c>
      <c r="H77" s="15" t="n">
        <v>150649</v>
      </c>
    </row>
    <row r="78" customFormat="false" ht="15" hidden="false" customHeight="false" outlineLevel="0" collapsed="false">
      <c r="A78" s="8"/>
      <c r="B78" s="13" t="n">
        <v>74</v>
      </c>
      <c r="C78" s="14" t="n">
        <v>9291</v>
      </c>
      <c r="D78" s="15" t="n">
        <v>150709</v>
      </c>
      <c r="E78" s="13" t="n">
        <v>9</v>
      </c>
      <c r="F78" s="16" t="n">
        <v>159991</v>
      </c>
      <c r="G78" s="13" t="n">
        <v>9292</v>
      </c>
      <c r="H78" s="15" t="n">
        <v>150708</v>
      </c>
    </row>
    <row r="79" customFormat="false" ht="15" hidden="false" customHeight="false" outlineLevel="0" collapsed="false">
      <c r="A79" s="8"/>
      <c r="B79" s="13" t="n">
        <v>75</v>
      </c>
      <c r="C79" s="14" t="n">
        <v>9240</v>
      </c>
      <c r="D79" s="15" t="n">
        <v>150760</v>
      </c>
      <c r="E79" s="13" t="n">
        <v>1345</v>
      </c>
      <c r="F79" s="16" t="n">
        <v>158655</v>
      </c>
      <c r="G79" s="13" t="n">
        <v>9239</v>
      </c>
      <c r="H79" s="15" t="n">
        <v>150761</v>
      </c>
    </row>
    <row r="80" customFormat="false" ht="15" hidden="false" customHeight="false" outlineLevel="0" collapsed="false">
      <c r="A80" s="8"/>
      <c r="B80" s="13" t="n">
        <v>76</v>
      </c>
      <c r="C80" s="14" t="n">
        <v>9142</v>
      </c>
      <c r="D80" s="15" t="n">
        <v>150858</v>
      </c>
      <c r="E80" s="13" t="n">
        <v>29</v>
      </c>
      <c r="F80" s="16" t="n">
        <v>159971</v>
      </c>
      <c r="G80" s="13" t="n">
        <v>9143</v>
      </c>
      <c r="H80" s="15" t="n">
        <v>150857</v>
      </c>
    </row>
    <row r="81" customFormat="false" ht="15" hidden="false" customHeight="false" outlineLevel="0" collapsed="false">
      <c r="A81" s="8"/>
      <c r="B81" s="13" t="n">
        <v>77</v>
      </c>
      <c r="C81" s="14" t="n">
        <v>9108</v>
      </c>
      <c r="D81" s="15" t="n">
        <v>150892</v>
      </c>
      <c r="E81" s="13" t="n">
        <v>11</v>
      </c>
      <c r="F81" s="16" t="n">
        <v>159989</v>
      </c>
      <c r="G81" s="13" t="n">
        <v>9106</v>
      </c>
      <c r="H81" s="15" t="n">
        <v>150894</v>
      </c>
    </row>
    <row r="82" customFormat="false" ht="15" hidden="false" customHeight="false" outlineLevel="0" collapsed="false">
      <c r="A82" s="8"/>
      <c r="B82" s="13" t="n">
        <v>78</v>
      </c>
      <c r="C82" s="14" t="n">
        <v>8999</v>
      </c>
      <c r="D82" s="15" t="n">
        <v>151001</v>
      </c>
      <c r="E82" s="13" t="n">
        <v>47</v>
      </c>
      <c r="F82" s="16" t="n">
        <v>159953</v>
      </c>
      <c r="G82" s="13" t="n">
        <v>9000</v>
      </c>
      <c r="H82" s="15" t="n">
        <v>151000</v>
      </c>
    </row>
    <row r="83" customFormat="false" ht="15" hidden="false" customHeight="false" outlineLevel="0" collapsed="false">
      <c r="A83" s="8"/>
      <c r="B83" s="13" t="n">
        <v>79</v>
      </c>
      <c r="C83" s="14" t="n">
        <v>8894</v>
      </c>
      <c r="D83" s="15" t="n">
        <v>151106</v>
      </c>
      <c r="E83" s="13" t="n">
        <v>246</v>
      </c>
      <c r="F83" s="16" t="n">
        <v>159754</v>
      </c>
      <c r="G83" s="13" t="n">
        <v>8895</v>
      </c>
      <c r="H83" s="15" t="n">
        <v>151105</v>
      </c>
    </row>
    <row r="84" customFormat="false" ht="15" hidden="false" customHeight="false" outlineLevel="0" collapsed="false">
      <c r="A84" s="8"/>
      <c r="B84" s="13" t="n">
        <v>80</v>
      </c>
      <c r="C84" s="14" t="n">
        <v>8749</v>
      </c>
      <c r="D84" s="15" t="n">
        <v>151251</v>
      </c>
      <c r="E84" s="13" t="n">
        <v>1473</v>
      </c>
      <c r="F84" s="16" t="n">
        <v>158527</v>
      </c>
      <c r="G84" s="13" t="n">
        <v>8751</v>
      </c>
      <c r="H84" s="15" t="n">
        <v>151249</v>
      </c>
    </row>
    <row r="85" customFormat="false" ht="15" hidden="false" customHeight="false" outlineLevel="0" collapsed="false">
      <c r="A85" s="8"/>
      <c r="B85" s="13" t="n">
        <v>81</v>
      </c>
      <c r="C85" s="14" t="n">
        <v>8677</v>
      </c>
      <c r="D85" s="15" t="n">
        <v>151323</v>
      </c>
      <c r="E85" s="13" t="n">
        <v>19</v>
      </c>
      <c r="F85" s="16" t="n">
        <v>159981</v>
      </c>
      <c r="G85" s="13" t="n">
        <v>8679</v>
      </c>
      <c r="H85" s="15" t="n">
        <v>151321</v>
      </c>
    </row>
    <row r="86" customFormat="false" ht="15" hidden="false" customHeight="false" outlineLevel="0" collapsed="false">
      <c r="A86" s="8"/>
      <c r="B86" s="13" t="n">
        <v>82</v>
      </c>
      <c r="C86" s="14" t="n">
        <v>8523</v>
      </c>
      <c r="D86" s="15" t="n">
        <v>151477</v>
      </c>
      <c r="E86" s="13" t="n">
        <v>467</v>
      </c>
      <c r="F86" s="16" t="n">
        <v>159533</v>
      </c>
      <c r="G86" s="13" t="n">
        <v>8522</v>
      </c>
      <c r="H86" s="15" t="n">
        <v>151478</v>
      </c>
    </row>
    <row r="87" customFormat="false" ht="15" hidden="false" customHeight="false" outlineLevel="0" collapsed="false">
      <c r="A87" s="8"/>
      <c r="B87" s="13" t="n">
        <v>83</v>
      </c>
      <c r="C87" s="14" t="n">
        <v>8328</v>
      </c>
      <c r="D87" s="15" t="n">
        <v>151672</v>
      </c>
      <c r="E87" s="13" t="n">
        <v>14</v>
      </c>
      <c r="F87" s="16" t="n">
        <v>159986</v>
      </c>
      <c r="G87" s="13" t="n">
        <v>8327</v>
      </c>
      <c r="H87" s="15" t="n">
        <v>151673</v>
      </c>
    </row>
    <row r="88" customFormat="false" ht="15" hidden="false" customHeight="false" outlineLevel="0" collapsed="false">
      <c r="A88" s="8"/>
      <c r="B88" s="13" t="n">
        <v>84</v>
      </c>
      <c r="C88" s="14" t="n">
        <v>8222</v>
      </c>
      <c r="D88" s="15" t="n">
        <v>151778</v>
      </c>
      <c r="E88" s="13" t="n">
        <v>7</v>
      </c>
      <c r="F88" s="16" t="n">
        <v>159993</v>
      </c>
      <c r="G88" s="13" t="n">
        <v>8216</v>
      </c>
      <c r="H88" s="15" t="n">
        <v>151784</v>
      </c>
    </row>
    <row r="89" customFormat="false" ht="15" hidden="false" customHeight="false" outlineLevel="0" collapsed="false">
      <c r="A89" s="8"/>
      <c r="B89" s="13" t="n">
        <v>85</v>
      </c>
      <c r="C89" s="14" t="n">
        <v>8058</v>
      </c>
      <c r="D89" s="15" t="n">
        <v>151942</v>
      </c>
      <c r="E89" s="13" t="n">
        <v>47</v>
      </c>
      <c r="F89" s="16" t="n">
        <v>159953</v>
      </c>
      <c r="G89" s="13" t="n">
        <v>8058</v>
      </c>
      <c r="H89" s="15" t="n">
        <v>151942</v>
      </c>
    </row>
    <row r="90" customFormat="false" ht="15" hidden="false" customHeight="false" outlineLevel="0" collapsed="false">
      <c r="A90" s="8"/>
      <c r="B90" s="13" t="n">
        <v>86</v>
      </c>
      <c r="C90" s="14" t="n">
        <v>7858</v>
      </c>
      <c r="D90" s="15" t="n">
        <v>152142</v>
      </c>
      <c r="E90" s="13" t="n">
        <v>28</v>
      </c>
      <c r="F90" s="16" t="n">
        <v>159972</v>
      </c>
      <c r="G90" s="13" t="n">
        <v>7858</v>
      </c>
      <c r="H90" s="15" t="n">
        <v>152142</v>
      </c>
    </row>
    <row r="91" customFormat="false" ht="15" hidden="false" customHeight="false" outlineLevel="0" collapsed="false">
      <c r="A91" s="8"/>
      <c r="B91" s="13" t="n">
        <v>87</v>
      </c>
      <c r="C91" s="14" t="n">
        <v>7650</v>
      </c>
      <c r="D91" s="15" t="n">
        <v>152350</v>
      </c>
      <c r="E91" s="13" t="n">
        <v>17</v>
      </c>
      <c r="F91" s="16" t="n">
        <v>159983</v>
      </c>
      <c r="G91" s="13" t="n">
        <v>7653</v>
      </c>
      <c r="H91" s="15" t="n">
        <v>152347</v>
      </c>
    </row>
    <row r="92" customFormat="false" ht="15" hidden="false" customHeight="false" outlineLevel="0" collapsed="false">
      <c r="A92" s="8"/>
      <c r="B92" s="13" t="n">
        <v>88</v>
      </c>
      <c r="C92" s="14" t="n">
        <v>7441</v>
      </c>
      <c r="D92" s="15" t="n">
        <v>152559</v>
      </c>
      <c r="E92" s="13" t="n">
        <v>73</v>
      </c>
      <c r="F92" s="16" t="n">
        <v>159927</v>
      </c>
      <c r="G92" s="13" t="n">
        <v>7444</v>
      </c>
      <c r="H92" s="15" t="n">
        <v>152556</v>
      </c>
    </row>
    <row r="93" customFormat="false" ht="15" hidden="false" customHeight="false" outlineLevel="0" collapsed="false">
      <c r="A93" s="8"/>
      <c r="B93" s="13" t="n">
        <v>89</v>
      </c>
      <c r="C93" s="14" t="n">
        <v>7377</v>
      </c>
      <c r="D93" s="15" t="n">
        <v>152623</v>
      </c>
      <c r="E93" s="13" t="n">
        <v>338</v>
      </c>
      <c r="F93" s="16" t="n">
        <v>159662</v>
      </c>
      <c r="G93" s="13" t="n">
        <v>7380</v>
      </c>
      <c r="H93" s="15" t="n">
        <v>152620</v>
      </c>
    </row>
    <row r="94" customFormat="false" ht="15" hidden="false" customHeight="false" outlineLevel="0" collapsed="false">
      <c r="A94" s="8"/>
      <c r="B94" s="13" t="n">
        <v>90</v>
      </c>
      <c r="C94" s="14" t="n">
        <v>7087</v>
      </c>
      <c r="D94" s="15" t="n">
        <v>152913</v>
      </c>
      <c r="E94" s="13" t="n">
        <v>31</v>
      </c>
      <c r="F94" s="16" t="n">
        <v>159969</v>
      </c>
      <c r="G94" s="13" t="n">
        <v>7086</v>
      </c>
      <c r="H94" s="15" t="n">
        <v>152914</v>
      </c>
    </row>
    <row r="95" customFormat="false" ht="15" hidden="false" customHeight="false" outlineLevel="0" collapsed="false">
      <c r="A95" s="8"/>
      <c r="B95" s="13" t="n">
        <v>91</v>
      </c>
      <c r="C95" s="14" t="n">
        <v>6879</v>
      </c>
      <c r="D95" s="15" t="n">
        <v>153121</v>
      </c>
      <c r="E95" s="13" t="n">
        <v>432</v>
      </c>
      <c r="F95" s="16" t="n">
        <v>159568</v>
      </c>
      <c r="G95" s="13" t="n">
        <v>6881</v>
      </c>
      <c r="H95" s="15" t="n">
        <v>153119</v>
      </c>
    </row>
    <row r="96" customFormat="false" ht="15" hidden="false" customHeight="false" outlineLevel="0" collapsed="false">
      <c r="A96" s="8"/>
      <c r="B96" s="13" t="n">
        <v>92</v>
      </c>
      <c r="C96" s="14" t="n">
        <v>6536</v>
      </c>
      <c r="D96" s="15" t="n">
        <v>153464</v>
      </c>
      <c r="E96" s="13" t="n">
        <v>312</v>
      </c>
      <c r="F96" s="16" t="n">
        <v>159688</v>
      </c>
      <c r="G96" s="13" t="n">
        <v>6534</v>
      </c>
      <c r="H96" s="15" t="n">
        <v>153466</v>
      </c>
    </row>
    <row r="97" customFormat="false" ht="15" hidden="false" customHeight="false" outlineLevel="0" collapsed="false">
      <c r="A97" s="8"/>
      <c r="B97" s="13" t="n">
        <v>93</v>
      </c>
      <c r="C97" s="14" t="n">
        <v>6477</v>
      </c>
      <c r="D97" s="15" t="n">
        <v>153523</v>
      </c>
      <c r="E97" s="13" t="n">
        <v>15</v>
      </c>
      <c r="F97" s="16" t="n">
        <v>159985</v>
      </c>
      <c r="G97" s="13" t="n">
        <v>6475</v>
      </c>
      <c r="H97" s="15" t="n">
        <v>153525</v>
      </c>
    </row>
    <row r="98" customFormat="false" ht="15" hidden="false" customHeight="false" outlineLevel="0" collapsed="false">
      <c r="A98" s="8"/>
      <c r="B98" s="13" t="n">
        <v>94</v>
      </c>
      <c r="C98" s="14" t="n">
        <v>6233</v>
      </c>
      <c r="D98" s="15" t="n">
        <v>153767</v>
      </c>
      <c r="E98" s="13" t="n">
        <v>342</v>
      </c>
      <c r="F98" s="16" t="n">
        <v>159658</v>
      </c>
      <c r="G98" s="13" t="n">
        <v>6228</v>
      </c>
      <c r="H98" s="15" t="n">
        <v>153772</v>
      </c>
    </row>
    <row r="99" customFormat="false" ht="15" hidden="false" customHeight="false" outlineLevel="0" collapsed="false">
      <c r="A99" s="8"/>
      <c r="B99" s="13" t="n">
        <v>95</v>
      </c>
      <c r="C99" s="14" t="n">
        <v>5988</v>
      </c>
      <c r="D99" s="15" t="n">
        <v>154012</v>
      </c>
      <c r="E99" s="13" t="n">
        <v>232</v>
      </c>
      <c r="F99" s="16" t="n">
        <v>159768</v>
      </c>
      <c r="G99" s="13" t="n">
        <v>5983</v>
      </c>
      <c r="H99" s="15" t="n">
        <v>154017</v>
      </c>
    </row>
    <row r="100" customFormat="false" ht="15" hidden="false" customHeight="false" outlineLevel="0" collapsed="false">
      <c r="A100" s="8"/>
      <c r="B100" s="13" t="n">
        <v>96</v>
      </c>
      <c r="C100" s="14" t="n">
        <v>5752</v>
      </c>
      <c r="D100" s="15" t="n">
        <v>154248</v>
      </c>
      <c r="E100" s="13" t="n">
        <v>14</v>
      </c>
      <c r="F100" s="16" t="n">
        <v>159986</v>
      </c>
      <c r="G100" s="13" t="n">
        <v>5750</v>
      </c>
      <c r="H100" s="15" t="n">
        <v>154250</v>
      </c>
    </row>
    <row r="101" customFormat="false" ht="15" hidden="false" customHeight="false" outlineLevel="0" collapsed="false">
      <c r="A101" s="8"/>
      <c r="B101" s="13" t="n">
        <v>97</v>
      </c>
      <c r="C101" s="14" t="n">
        <v>5608</v>
      </c>
      <c r="D101" s="15" t="n">
        <v>154392</v>
      </c>
      <c r="E101" s="13" t="n">
        <v>212</v>
      </c>
      <c r="F101" s="16" t="n">
        <v>159788</v>
      </c>
      <c r="G101" s="13" t="n">
        <v>5612</v>
      </c>
      <c r="H101" s="15" t="n">
        <v>154388</v>
      </c>
    </row>
    <row r="102" customFormat="false" ht="15" hidden="false" customHeight="false" outlineLevel="0" collapsed="false">
      <c r="A102" s="8"/>
      <c r="B102" s="13" t="n">
        <v>98</v>
      </c>
      <c r="C102" s="14" t="n">
        <v>5367</v>
      </c>
      <c r="D102" s="15" t="n">
        <v>154633</v>
      </c>
      <c r="E102" s="13" t="n">
        <v>416</v>
      </c>
      <c r="F102" s="16" t="n">
        <v>159584</v>
      </c>
      <c r="G102" s="13" t="n">
        <v>5364</v>
      </c>
      <c r="H102" s="15" t="n">
        <v>154636</v>
      </c>
    </row>
    <row r="103" customFormat="false" ht="15" hidden="false" customHeight="false" outlineLevel="0" collapsed="false">
      <c r="A103" s="8"/>
      <c r="B103" s="13" t="n">
        <v>99</v>
      </c>
      <c r="C103" s="14" t="n">
        <v>5130</v>
      </c>
      <c r="D103" s="15" t="n">
        <v>154870</v>
      </c>
      <c r="E103" s="13" t="n">
        <v>22</v>
      </c>
      <c r="F103" s="16" t="n">
        <v>159978</v>
      </c>
      <c r="G103" s="13" t="n">
        <v>5127</v>
      </c>
      <c r="H103" s="15" t="n">
        <v>154873</v>
      </c>
    </row>
    <row r="104" customFormat="false" ht="15" hidden="false" customHeight="false" outlineLevel="0" collapsed="false">
      <c r="A104" s="8"/>
      <c r="B104" s="13" t="n">
        <v>100</v>
      </c>
      <c r="C104" s="14" t="n">
        <v>4960</v>
      </c>
      <c r="D104" s="15" t="n">
        <v>155040</v>
      </c>
      <c r="E104" s="13" t="n">
        <v>9</v>
      </c>
      <c r="F104" s="16" t="n">
        <v>159991</v>
      </c>
      <c r="G104" s="13" t="n">
        <v>4960</v>
      </c>
      <c r="H104" s="15" t="n">
        <v>155040</v>
      </c>
    </row>
    <row r="105" customFormat="false" ht="15" hidden="false" customHeight="false" outlineLevel="0" collapsed="false">
      <c r="A105" s="8"/>
      <c r="B105" s="13" t="n">
        <v>101</v>
      </c>
      <c r="C105" s="14" t="n">
        <v>4671</v>
      </c>
      <c r="D105" s="15" t="n">
        <v>155329</v>
      </c>
      <c r="E105" s="13" t="n">
        <v>6</v>
      </c>
      <c r="F105" s="16" t="n">
        <v>159994</v>
      </c>
      <c r="G105" s="13" t="n">
        <v>4675</v>
      </c>
      <c r="H105" s="15" t="n">
        <v>155325</v>
      </c>
    </row>
    <row r="106" customFormat="false" ht="15" hidden="false" customHeight="false" outlineLevel="0" collapsed="false">
      <c r="A106" s="8"/>
      <c r="B106" s="13" t="n">
        <v>102</v>
      </c>
      <c r="C106" s="14" t="n">
        <v>4505</v>
      </c>
      <c r="D106" s="15" t="n">
        <v>155495</v>
      </c>
      <c r="E106" s="13" t="n">
        <v>44</v>
      </c>
      <c r="F106" s="16" t="n">
        <v>159956</v>
      </c>
      <c r="G106" s="13" t="n">
        <v>4502</v>
      </c>
      <c r="H106" s="15" t="n">
        <v>155498</v>
      </c>
    </row>
    <row r="107" customFormat="false" ht="15" hidden="false" customHeight="false" outlineLevel="0" collapsed="false">
      <c r="A107" s="8"/>
      <c r="B107" s="13" t="n">
        <v>103</v>
      </c>
      <c r="C107" s="14" t="n">
        <v>4261</v>
      </c>
      <c r="D107" s="15" t="n">
        <v>155739</v>
      </c>
      <c r="E107" s="13" t="n">
        <v>31</v>
      </c>
      <c r="F107" s="16" t="n">
        <v>159969</v>
      </c>
      <c r="G107" s="13" t="n">
        <v>4260</v>
      </c>
      <c r="H107" s="15" t="n">
        <v>155740</v>
      </c>
    </row>
    <row r="108" customFormat="false" ht="15" hidden="false" customHeight="false" outlineLevel="0" collapsed="false">
      <c r="A108" s="8"/>
      <c r="B108" s="13" t="n">
        <v>104</v>
      </c>
      <c r="C108" s="14" t="n">
        <v>4020</v>
      </c>
      <c r="D108" s="15" t="n">
        <v>155980</v>
      </c>
      <c r="E108" s="13" t="n">
        <v>72</v>
      </c>
      <c r="F108" s="16" t="n">
        <v>159928</v>
      </c>
      <c r="G108" s="13" t="n">
        <v>4017</v>
      </c>
      <c r="H108" s="15" t="n">
        <v>155983</v>
      </c>
    </row>
    <row r="109" customFormat="false" ht="15" hidden="false" customHeight="false" outlineLevel="0" collapsed="false">
      <c r="A109" s="8"/>
      <c r="B109" s="13" t="n">
        <v>105</v>
      </c>
      <c r="C109" s="14" t="n">
        <v>3855</v>
      </c>
      <c r="D109" s="15" t="n">
        <v>156145</v>
      </c>
      <c r="E109" s="13" t="n">
        <v>17</v>
      </c>
      <c r="F109" s="16" t="n">
        <v>159983</v>
      </c>
      <c r="G109" s="13" t="n">
        <v>3844</v>
      </c>
      <c r="H109" s="15" t="n">
        <v>156156</v>
      </c>
    </row>
    <row r="110" customFormat="false" ht="15" hidden="false" customHeight="false" outlineLevel="0" collapsed="false">
      <c r="A110" s="8"/>
      <c r="B110" s="13" t="n">
        <v>106</v>
      </c>
      <c r="C110" s="14" t="n">
        <v>3641</v>
      </c>
      <c r="D110" s="15" t="n">
        <v>156359</v>
      </c>
      <c r="E110" s="13" t="n">
        <v>0</v>
      </c>
      <c r="F110" s="16" t="n">
        <v>160000</v>
      </c>
      <c r="G110" s="13" t="n">
        <v>3644</v>
      </c>
      <c r="H110" s="15" t="n">
        <v>156356</v>
      </c>
    </row>
    <row r="111" customFormat="false" ht="15" hidden="false" customHeight="false" outlineLevel="0" collapsed="false">
      <c r="A111" s="8"/>
      <c r="B111" s="13" t="n">
        <v>107</v>
      </c>
      <c r="C111" s="14" t="n">
        <v>3433</v>
      </c>
      <c r="D111" s="15" t="n">
        <v>156567</v>
      </c>
      <c r="E111" s="13" t="n">
        <v>30</v>
      </c>
      <c r="F111" s="16" t="n">
        <v>159970</v>
      </c>
      <c r="G111" s="13" t="n">
        <v>3449</v>
      </c>
      <c r="H111" s="15" t="n">
        <v>156551</v>
      </c>
    </row>
    <row r="112" customFormat="false" ht="15" hidden="false" customHeight="false" outlineLevel="0" collapsed="false">
      <c r="A112" s="8"/>
      <c r="B112" s="13" t="n">
        <v>108</v>
      </c>
      <c r="C112" s="14" t="n">
        <v>3184</v>
      </c>
      <c r="D112" s="15" t="n">
        <v>156816</v>
      </c>
      <c r="E112" s="13" t="n">
        <v>12</v>
      </c>
      <c r="F112" s="16" t="n">
        <v>159988</v>
      </c>
      <c r="G112" s="13" t="n">
        <v>3188</v>
      </c>
      <c r="H112" s="15" t="n">
        <v>156812</v>
      </c>
    </row>
    <row r="113" customFormat="false" ht="15" hidden="false" customHeight="false" outlineLevel="0" collapsed="false">
      <c r="A113" s="8"/>
      <c r="B113" s="13" t="n">
        <v>109</v>
      </c>
      <c r="C113" s="14" t="n">
        <v>3062</v>
      </c>
      <c r="D113" s="15" t="n">
        <v>156938</v>
      </c>
      <c r="E113" s="13" t="n">
        <v>0</v>
      </c>
      <c r="F113" s="16" t="n">
        <v>160000</v>
      </c>
      <c r="G113" s="13" t="n">
        <v>3052</v>
      </c>
      <c r="H113" s="15" t="n">
        <v>156948</v>
      </c>
    </row>
    <row r="114" customFormat="false" ht="15" hidden="false" customHeight="false" outlineLevel="0" collapsed="false">
      <c r="A114" s="8"/>
      <c r="B114" s="13" t="n">
        <v>110</v>
      </c>
      <c r="C114" s="14" t="n">
        <v>2848</v>
      </c>
      <c r="D114" s="15" t="n">
        <v>157152</v>
      </c>
      <c r="E114" s="13" t="n">
        <v>0</v>
      </c>
      <c r="F114" s="16" t="n">
        <v>160000</v>
      </c>
      <c r="G114" s="13" t="n">
        <v>2859</v>
      </c>
      <c r="H114" s="15" t="n">
        <v>157141</v>
      </c>
    </row>
    <row r="115" customFormat="false" ht="15" hidden="false" customHeight="false" outlineLevel="0" collapsed="false">
      <c r="A115" s="8"/>
      <c r="B115" s="13" t="n">
        <v>111</v>
      </c>
      <c r="C115" s="14" t="n">
        <v>2583</v>
      </c>
      <c r="D115" s="15" t="n">
        <v>157417</v>
      </c>
      <c r="E115" s="13" t="n">
        <v>0</v>
      </c>
      <c r="F115" s="16" t="n">
        <v>160000</v>
      </c>
      <c r="G115" s="13" t="n">
        <v>2540</v>
      </c>
      <c r="H115" s="15" t="n">
        <v>157460</v>
      </c>
    </row>
    <row r="116" customFormat="false" ht="15" hidden="false" customHeight="false" outlineLevel="0" collapsed="false">
      <c r="A116" s="8"/>
      <c r="B116" s="13" t="n">
        <v>112</v>
      </c>
      <c r="C116" s="14" t="n">
        <v>2446</v>
      </c>
      <c r="D116" s="15" t="n">
        <v>157554</v>
      </c>
      <c r="E116" s="13" t="n">
        <v>412</v>
      </c>
      <c r="F116" s="16" t="n">
        <v>159588</v>
      </c>
      <c r="G116" s="13" t="n">
        <v>2446</v>
      </c>
      <c r="H116" s="15" t="n">
        <v>157554</v>
      </c>
    </row>
    <row r="117" customFormat="false" ht="15" hidden="false" customHeight="false" outlineLevel="0" collapsed="false">
      <c r="A117" s="8"/>
      <c r="B117" s="13" t="n">
        <v>113</v>
      </c>
      <c r="C117" s="14" t="n">
        <v>2336</v>
      </c>
      <c r="D117" s="15" t="n">
        <v>157664</v>
      </c>
      <c r="E117" s="13" t="n">
        <v>0</v>
      </c>
      <c r="F117" s="16" t="n">
        <v>160000</v>
      </c>
      <c r="G117" s="13" t="n">
        <v>2343</v>
      </c>
      <c r="H117" s="15" t="n">
        <v>157657</v>
      </c>
    </row>
    <row r="118" customFormat="false" ht="15" hidden="false" customHeight="false" outlineLevel="0" collapsed="false">
      <c r="A118" s="8"/>
      <c r="B118" s="13" t="n">
        <v>114</v>
      </c>
      <c r="C118" s="14" t="n">
        <v>2158</v>
      </c>
      <c r="D118" s="15" t="n">
        <v>157842</v>
      </c>
      <c r="E118" s="13" t="n">
        <v>18</v>
      </c>
      <c r="F118" s="16" t="n">
        <v>159982</v>
      </c>
      <c r="G118" s="13" t="n">
        <v>2157</v>
      </c>
      <c r="H118" s="15" t="n">
        <v>157843</v>
      </c>
    </row>
    <row r="119" customFormat="false" ht="15" hidden="false" customHeight="false" outlineLevel="0" collapsed="false">
      <c r="A119" s="8"/>
      <c r="B119" s="13" t="n">
        <v>115</v>
      </c>
      <c r="C119" s="14" t="n">
        <v>1974</v>
      </c>
      <c r="D119" s="15" t="n">
        <v>158026</v>
      </c>
      <c r="E119" s="13" t="n">
        <v>28</v>
      </c>
      <c r="F119" s="16" t="n">
        <v>159972</v>
      </c>
      <c r="G119" s="13" t="n">
        <v>1988</v>
      </c>
      <c r="H119" s="15" t="n">
        <v>158012</v>
      </c>
    </row>
    <row r="120" customFormat="false" ht="15" hidden="false" customHeight="false" outlineLevel="0" collapsed="false">
      <c r="A120" s="8"/>
      <c r="B120" s="13" t="n">
        <v>116</v>
      </c>
      <c r="C120" s="14" t="n">
        <v>1804</v>
      </c>
      <c r="D120" s="15" t="n">
        <v>158196</v>
      </c>
      <c r="E120" s="13" t="n">
        <v>14</v>
      </c>
      <c r="F120" s="16" t="n">
        <v>159986</v>
      </c>
      <c r="G120" s="13" t="n">
        <v>1800</v>
      </c>
      <c r="H120" s="15" t="n">
        <v>158200</v>
      </c>
    </row>
    <row r="121" customFormat="false" ht="15" hidden="false" customHeight="false" outlineLevel="0" collapsed="false">
      <c r="A121" s="8"/>
      <c r="B121" s="13" t="n">
        <v>117</v>
      </c>
      <c r="C121" s="14" t="n">
        <v>1712</v>
      </c>
      <c r="D121" s="15" t="n">
        <v>158288</v>
      </c>
      <c r="E121" s="13" t="n">
        <v>89</v>
      </c>
      <c r="F121" s="16" t="n">
        <v>159911</v>
      </c>
      <c r="G121" s="13" t="n">
        <v>1715</v>
      </c>
      <c r="H121" s="15" t="n">
        <v>158285</v>
      </c>
    </row>
    <row r="122" customFormat="false" ht="15" hidden="false" customHeight="false" outlineLevel="0" collapsed="false">
      <c r="A122" s="8"/>
      <c r="B122" s="13" t="n">
        <v>118</v>
      </c>
      <c r="C122" s="14" t="n">
        <v>1553</v>
      </c>
      <c r="D122" s="15" t="n">
        <v>158447</v>
      </c>
      <c r="E122" s="13" t="n">
        <v>0</v>
      </c>
      <c r="F122" s="16" t="n">
        <v>160000</v>
      </c>
      <c r="G122" s="13" t="n">
        <v>1596</v>
      </c>
      <c r="H122" s="15" t="n">
        <v>158404</v>
      </c>
    </row>
    <row r="123" customFormat="false" ht="15" hidden="false" customHeight="false" outlineLevel="0" collapsed="false">
      <c r="A123" s="8"/>
      <c r="B123" s="13" t="n">
        <v>119</v>
      </c>
      <c r="C123" s="14" t="n">
        <v>1402</v>
      </c>
      <c r="D123" s="15" t="n">
        <v>158598</v>
      </c>
      <c r="E123" s="13" t="n">
        <v>0</v>
      </c>
      <c r="F123" s="16" t="n">
        <v>160000</v>
      </c>
      <c r="G123" s="13" t="n">
        <v>1402</v>
      </c>
      <c r="H123" s="15" t="n">
        <v>158598</v>
      </c>
    </row>
    <row r="124" customFormat="false" ht="15" hidden="false" customHeight="false" outlineLevel="0" collapsed="false">
      <c r="A124" s="8"/>
      <c r="B124" s="13" t="n">
        <v>120</v>
      </c>
      <c r="C124" s="14" t="n">
        <v>1262</v>
      </c>
      <c r="D124" s="15" t="n">
        <v>158738</v>
      </c>
      <c r="E124" s="13" t="n">
        <v>23</v>
      </c>
      <c r="F124" s="16" t="n">
        <v>159977</v>
      </c>
      <c r="G124" s="13" t="n">
        <v>1262</v>
      </c>
      <c r="H124" s="15" t="n">
        <v>158738</v>
      </c>
    </row>
    <row r="125" customFormat="false" ht="15" hidden="false" customHeight="false" outlineLevel="0" collapsed="false">
      <c r="A125" s="8"/>
      <c r="B125" s="13" t="n">
        <v>121</v>
      </c>
      <c r="C125" s="14" t="n">
        <v>1179</v>
      </c>
      <c r="D125" s="15" t="n">
        <v>158821</v>
      </c>
      <c r="E125" s="13" t="n">
        <v>0</v>
      </c>
      <c r="F125" s="16" t="n">
        <v>160000</v>
      </c>
      <c r="G125" s="13" t="n">
        <v>1146</v>
      </c>
      <c r="H125" s="15" t="n">
        <v>158854</v>
      </c>
    </row>
    <row r="126" customFormat="false" ht="15" hidden="false" customHeight="false" outlineLevel="0" collapsed="false">
      <c r="A126" s="8"/>
      <c r="B126" s="13" t="n">
        <v>122</v>
      </c>
      <c r="C126" s="14" t="n">
        <v>1053</v>
      </c>
      <c r="D126" s="15" t="n">
        <v>158947</v>
      </c>
      <c r="E126" s="13" t="n">
        <v>211</v>
      </c>
      <c r="F126" s="16" t="n">
        <v>159789</v>
      </c>
      <c r="G126" s="13" t="n">
        <v>1060</v>
      </c>
      <c r="H126" s="15" t="n">
        <v>158940</v>
      </c>
    </row>
    <row r="127" customFormat="false" ht="15" hidden="false" customHeight="false" outlineLevel="0" collapsed="false">
      <c r="A127" s="8"/>
      <c r="B127" s="13" t="n">
        <v>123</v>
      </c>
      <c r="C127" s="14" t="n">
        <v>926</v>
      </c>
      <c r="D127" s="15" t="n">
        <v>159074</v>
      </c>
      <c r="E127" s="13" t="n">
        <v>137</v>
      </c>
      <c r="F127" s="16" t="n">
        <v>159863</v>
      </c>
      <c r="G127" s="13" t="n">
        <v>927</v>
      </c>
      <c r="H127" s="15" t="n">
        <v>159073</v>
      </c>
    </row>
    <row r="128" customFormat="false" ht="15" hidden="false" customHeight="false" outlineLevel="0" collapsed="false">
      <c r="A128" s="8"/>
      <c r="B128" s="13" t="n">
        <v>124</v>
      </c>
      <c r="C128" s="14" t="n">
        <v>815</v>
      </c>
      <c r="D128" s="15" t="n">
        <v>159185</v>
      </c>
      <c r="E128" s="13" t="n">
        <v>5</v>
      </c>
      <c r="F128" s="16" t="n">
        <v>159995</v>
      </c>
      <c r="G128" s="13" t="n">
        <v>813</v>
      </c>
      <c r="H128" s="15" t="n">
        <v>159187</v>
      </c>
    </row>
    <row r="129" customFormat="false" ht="15" hidden="false" customHeight="false" outlineLevel="0" collapsed="false">
      <c r="A129" s="8"/>
      <c r="B129" s="13" t="n">
        <v>125</v>
      </c>
      <c r="C129" s="14" t="n">
        <v>755</v>
      </c>
      <c r="D129" s="15" t="n">
        <v>159245</v>
      </c>
      <c r="E129" s="13" t="n">
        <v>1</v>
      </c>
      <c r="F129" s="16" t="n">
        <v>159999</v>
      </c>
      <c r="G129" s="13" t="n">
        <v>763</v>
      </c>
      <c r="H129" s="15" t="n">
        <v>159237</v>
      </c>
    </row>
    <row r="130" customFormat="false" ht="15" hidden="false" customHeight="false" outlineLevel="0" collapsed="false">
      <c r="A130" s="8"/>
      <c r="B130" s="13" t="n">
        <v>126</v>
      </c>
      <c r="C130" s="14" t="n">
        <v>618</v>
      </c>
      <c r="D130" s="15" t="n">
        <v>159382</v>
      </c>
      <c r="E130" s="13" t="n">
        <v>0</v>
      </c>
      <c r="F130" s="16" t="n">
        <v>160000</v>
      </c>
      <c r="G130" s="13" t="n">
        <v>622</v>
      </c>
      <c r="H130" s="15" t="n">
        <v>159378</v>
      </c>
    </row>
    <row r="131" customFormat="false" ht="15" hidden="false" customHeight="false" outlineLevel="0" collapsed="false">
      <c r="A131" s="8"/>
      <c r="B131" s="13" t="n">
        <v>127</v>
      </c>
      <c r="C131" s="14" t="n">
        <v>551</v>
      </c>
      <c r="D131" s="15" t="n">
        <v>159449</v>
      </c>
      <c r="E131" s="13" t="n">
        <v>13</v>
      </c>
      <c r="F131" s="16" t="n">
        <v>159987</v>
      </c>
      <c r="G131" s="13" t="n">
        <v>551</v>
      </c>
      <c r="H131" s="15" t="n">
        <v>159449</v>
      </c>
    </row>
    <row r="132" customFormat="false" ht="15" hidden="false" customHeight="false" outlineLevel="0" collapsed="false">
      <c r="A132" s="8"/>
      <c r="B132" s="13" t="n">
        <v>128</v>
      </c>
      <c r="C132" s="14" t="n">
        <v>466</v>
      </c>
      <c r="D132" s="15" t="n">
        <v>159534</v>
      </c>
      <c r="E132" s="13" t="n">
        <v>37</v>
      </c>
      <c r="F132" s="16" t="n">
        <v>159963</v>
      </c>
      <c r="G132" s="13" t="n">
        <v>463</v>
      </c>
      <c r="H132" s="15" t="n">
        <v>159537</v>
      </c>
    </row>
    <row r="133" customFormat="false" ht="15" hidden="false" customHeight="false" outlineLevel="0" collapsed="false">
      <c r="A133" s="8"/>
      <c r="B133" s="13" t="n">
        <v>129</v>
      </c>
      <c r="C133" s="14" t="n">
        <v>417</v>
      </c>
      <c r="D133" s="15" t="n">
        <v>159583</v>
      </c>
      <c r="E133" s="13" t="n">
        <v>0</v>
      </c>
      <c r="F133" s="16" t="n">
        <v>160000</v>
      </c>
      <c r="G133" s="13" t="n">
        <v>417</v>
      </c>
      <c r="H133" s="15" t="n">
        <v>159583</v>
      </c>
    </row>
    <row r="134" customFormat="false" ht="15" hidden="false" customHeight="false" outlineLevel="0" collapsed="false">
      <c r="A134" s="8"/>
      <c r="B134" s="13" t="n">
        <v>130</v>
      </c>
      <c r="C134" s="14" t="n">
        <v>340</v>
      </c>
      <c r="D134" s="15" t="n">
        <v>159660</v>
      </c>
      <c r="E134" s="13" t="n">
        <v>6</v>
      </c>
      <c r="F134" s="16" t="n">
        <v>159994</v>
      </c>
      <c r="G134" s="13" t="n">
        <v>336</v>
      </c>
      <c r="H134" s="15" t="n">
        <v>159664</v>
      </c>
    </row>
    <row r="135" customFormat="false" ht="15" hidden="false" customHeight="false" outlineLevel="0" collapsed="false">
      <c r="A135" s="8"/>
      <c r="B135" s="13" t="n">
        <v>131</v>
      </c>
      <c r="C135" s="14" t="n">
        <v>275</v>
      </c>
      <c r="D135" s="15" t="n">
        <v>159725</v>
      </c>
      <c r="E135" s="13" t="n">
        <v>0</v>
      </c>
      <c r="F135" s="16" t="n">
        <v>160000</v>
      </c>
      <c r="G135" s="13" t="n">
        <v>274</v>
      </c>
      <c r="H135" s="15" t="n">
        <v>159726</v>
      </c>
    </row>
    <row r="136" customFormat="false" ht="15" hidden="false" customHeight="false" outlineLevel="0" collapsed="false">
      <c r="A136" s="8"/>
      <c r="B136" s="13" t="n">
        <v>132</v>
      </c>
      <c r="C136" s="14" t="n">
        <v>210</v>
      </c>
      <c r="D136" s="15" t="n">
        <v>159790</v>
      </c>
      <c r="E136" s="13" t="n">
        <v>0</v>
      </c>
      <c r="F136" s="16" t="n">
        <v>160000</v>
      </c>
      <c r="G136" s="13" t="n">
        <v>211</v>
      </c>
      <c r="H136" s="15" t="n">
        <v>159789</v>
      </c>
    </row>
    <row r="137" customFormat="false" ht="15" hidden="false" customHeight="false" outlineLevel="0" collapsed="false">
      <c r="A137" s="8"/>
      <c r="B137" s="13" t="n">
        <v>133</v>
      </c>
      <c r="C137" s="14" t="n">
        <v>181</v>
      </c>
      <c r="D137" s="15" t="n">
        <v>159819</v>
      </c>
      <c r="E137" s="13" t="n">
        <v>14</v>
      </c>
      <c r="F137" s="16" t="n">
        <v>159986</v>
      </c>
      <c r="G137" s="13" t="n">
        <v>181</v>
      </c>
      <c r="H137" s="15" t="n">
        <v>159819</v>
      </c>
    </row>
    <row r="138" customFormat="false" ht="15" hidden="false" customHeight="false" outlineLevel="0" collapsed="false">
      <c r="A138" s="8"/>
      <c r="B138" s="13" t="n">
        <v>134</v>
      </c>
      <c r="C138" s="14" t="n">
        <v>132</v>
      </c>
      <c r="D138" s="15" t="n">
        <v>159868</v>
      </c>
      <c r="E138" s="13" t="n">
        <v>0</v>
      </c>
      <c r="F138" s="16" t="n">
        <v>160000</v>
      </c>
      <c r="G138" s="13" t="n">
        <v>135</v>
      </c>
      <c r="H138" s="15" t="n">
        <v>159865</v>
      </c>
    </row>
    <row r="139" customFormat="false" ht="15" hidden="false" customHeight="false" outlineLevel="0" collapsed="false">
      <c r="A139" s="8"/>
      <c r="B139" s="13" t="n">
        <v>135</v>
      </c>
      <c r="C139" s="14" t="n">
        <v>90</v>
      </c>
      <c r="D139" s="15" t="n">
        <v>159910</v>
      </c>
      <c r="E139" s="13" t="n">
        <v>2</v>
      </c>
      <c r="F139" s="16" t="n">
        <v>159998</v>
      </c>
      <c r="G139" s="13" t="n">
        <v>90</v>
      </c>
      <c r="H139" s="15" t="n">
        <v>159910</v>
      </c>
    </row>
    <row r="140" customFormat="false" ht="15" hidden="false" customHeight="false" outlineLevel="0" collapsed="false">
      <c r="A140" s="8"/>
      <c r="B140" s="13" t="n">
        <v>136</v>
      </c>
      <c r="C140" s="14" t="n">
        <v>71</v>
      </c>
      <c r="D140" s="15" t="n">
        <v>159929</v>
      </c>
      <c r="E140" s="13" t="n">
        <v>6</v>
      </c>
      <c r="F140" s="16" t="n">
        <v>159994</v>
      </c>
      <c r="G140" s="13" t="n">
        <v>71</v>
      </c>
      <c r="H140" s="15" t="n">
        <v>159929</v>
      </c>
    </row>
    <row r="141" customFormat="false" ht="15" hidden="false" customHeight="false" outlineLevel="0" collapsed="false">
      <c r="A141" s="8"/>
      <c r="B141" s="13" t="n">
        <v>137</v>
      </c>
      <c r="C141" s="14" t="n">
        <v>39</v>
      </c>
      <c r="D141" s="15" t="n">
        <v>159961</v>
      </c>
      <c r="E141" s="13" t="n">
        <v>0</v>
      </c>
      <c r="F141" s="16" t="n">
        <v>160000</v>
      </c>
      <c r="G141" s="13" t="n">
        <v>38</v>
      </c>
      <c r="H141" s="15" t="n">
        <v>159962</v>
      </c>
    </row>
    <row r="142" customFormat="false" ht="15" hidden="false" customHeight="false" outlineLevel="0" collapsed="false">
      <c r="A142" s="8"/>
      <c r="B142" s="13" t="n">
        <v>138</v>
      </c>
      <c r="C142" s="14" t="n">
        <v>22</v>
      </c>
      <c r="D142" s="15" t="n">
        <v>159978</v>
      </c>
      <c r="E142" s="13" t="n">
        <v>0</v>
      </c>
      <c r="F142" s="16" t="n">
        <v>160000</v>
      </c>
      <c r="G142" s="13" t="n">
        <v>22</v>
      </c>
      <c r="H142" s="15" t="n">
        <v>159978</v>
      </c>
    </row>
    <row r="143" customFormat="false" ht="15" hidden="false" customHeight="false" outlineLevel="0" collapsed="false">
      <c r="A143" s="8"/>
      <c r="B143" s="13" t="n">
        <v>139</v>
      </c>
      <c r="C143" s="14" t="n">
        <v>6</v>
      </c>
      <c r="D143" s="15" t="n">
        <v>159994</v>
      </c>
      <c r="E143" s="13" t="n">
        <v>0</v>
      </c>
      <c r="F143" s="16" t="n">
        <v>160000</v>
      </c>
      <c r="G143" s="13" t="n">
        <v>7</v>
      </c>
      <c r="H143" s="15" t="n">
        <v>159993</v>
      </c>
    </row>
    <row r="144" customFormat="false" ht="15" hidden="false" customHeight="false" outlineLevel="0" collapsed="false">
      <c r="A144" s="8"/>
      <c r="B144" s="13" t="n">
        <v>140</v>
      </c>
      <c r="C144" s="14" t="n">
        <v>2</v>
      </c>
      <c r="D144" s="15" t="n">
        <v>159998</v>
      </c>
      <c r="E144" s="13" t="n">
        <v>0</v>
      </c>
      <c r="F144" s="16" t="n">
        <v>160000</v>
      </c>
      <c r="G144" s="13" t="n">
        <v>1</v>
      </c>
      <c r="H144" s="15" t="n">
        <v>159999</v>
      </c>
    </row>
    <row r="145" customFormat="false" ht="15" hidden="false" customHeight="false" outlineLevel="0" collapsed="false">
      <c r="A145" s="8"/>
      <c r="B145" s="17" t="s">
        <v>8</v>
      </c>
      <c r="C145" s="18" t="n">
        <f aca="false">SUM(C4:C144)</f>
        <v>598176</v>
      </c>
      <c r="D145" s="19" t="n">
        <f aca="false">SUM(D4:D144)</f>
        <v>21961824</v>
      </c>
      <c r="E145" s="20" t="n">
        <f aca="false">SUM(E4:E144)</f>
        <v>16142</v>
      </c>
      <c r="F145" s="21" t="n">
        <f aca="false">SUM(F4:F144)</f>
        <v>22543858</v>
      </c>
      <c r="G145" s="20" t="n">
        <f aca="false">SUM(G4:G144)</f>
        <v>598140</v>
      </c>
      <c r="H145" s="19" t="n">
        <f aca="false">SUM(H4:H144)</f>
        <v>21961860</v>
      </c>
    </row>
    <row r="150" customFormat="false" ht="15" hidden="false" customHeight="false" outlineLevel="0" collapsed="false">
      <c r="B150" s="22" t="s">
        <v>0</v>
      </c>
      <c r="C150" s="23" t="s">
        <v>9</v>
      </c>
      <c r="D150" s="23"/>
      <c r="E150" s="23"/>
      <c r="F150" s="23"/>
      <c r="G150" s="23"/>
      <c r="H150" s="23"/>
    </row>
    <row r="151" customFormat="false" ht="15" hidden="false" customHeight="false" outlineLevel="0" collapsed="false">
      <c r="B151" s="22"/>
      <c r="C151" s="24" t="s">
        <v>3</v>
      </c>
      <c r="D151" s="24"/>
      <c r="E151" s="24"/>
      <c r="F151" s="25" t="s">
        <v>4</v>
      </c>
      <c r="G151" s="25"/>
      <c r="H151" s="25"/>
    </row>
    <row r="152" customFormat="false" ht="15" hidden="false" customHeight="false" outlineLevel="0" collapsed="false">
      <c r="A152" s="26" t="s">
        <v>5</v>
      </c>
      <c r="B152" s="22"/>
      <c r="C152" s="27" t="str">
        <f aca="false">C3</f>
        <v>#e65a4a</v>
      </c>
      <c r="D152" s="28" t="str">
        <f aca="false">D3</f>
        <v>#fefefe</v>
      </c>
      <c r="E152" s="29"/>
      <c r="F152" s="30" t="str">
        <f aca="false">C3</f>
        <v>#e65a4a</v>
      </c>
      <c r="G152" s="28" t="str">
        <f aca="false">D3</f>
        <v>#fefefe</v>
      </c>
      <c r="H152" s="31"/>
    </row>
    <row r="153" customFormat="false" ht="15" hidden="false" customHeight="false" outlineLevel="0" collapsed="false">
      <c r="A153" s="26"/>
      <c r="B153" s="32" t="n">
        <v>0</v>
      </c>
      <c r="C153" s="33" t="n">
        <f aca="false">(ABS(C4-E4)/C4)*100</f>
        <v>0</v>
      </c>
      <c r="D153" s="33" t="n">
        <f aca="false">(ABS(D4-F4)/D4)*100</f>
        <v>0</v>
      </c>
      <c r="E153" s="29"/>
      <c r="F153" s="33" t="n">
        <f aca="false">(ABS(C4-G4)/C4)*100</f>
        <v>0</v>
      </c>
      <c r="G153" s="33" t="n">
        <f aca="false">(ABS(D4-H4)/D4)*100</f>
        <v>0</v>
      </c>
      <c r="H153" s="31"/>
    </row>
    <row r="154" customFormat="false" ht="15" hidden="false" customHeight="false" outlineLevel="0" collapsed="false">
      <c r="A154" s="26"/>
      <c r="B154" s="32" t="n">
        <v>1</v>
      </c>
      <c r="C154" s="33" t="n">
        <f aca="false">(ABS(C5-E5)/C5)*100</f>
        <v>100</v>
      </c>
      <c r="D154" s="33" t="n">
        <f aca="false">(ABS(D5-F5)/D5)*100</f>
        <v>0.00375014063027364</v>
      </c>
      <c r="E154" s="29"/>
      <c r="F154" s="33" t="n">
        <f aca="false">(ABS(C5-G5)/C5)*100</f>
        <v>16.6666666666667</v>
      </c>
      <c r="G154" s="33" t="n">
        <f aca="false">(ABS(D5-H5)/D5)*100</f>
        <v>0.000625023438378939</v>
      </c>
      <c r="H154" s="31"/>
    </row>
    <row r="155" customFormat="false" ht="15" hidden="false" customHeight="false" outlineLevel="0" collapsed="false">
      <c r="A155" s="26"/>
      <c r="B155" s="32" t="n">
        <v>2</v>
      </c>
      <c r="C155" s="33" t="n">
        <f aca="false">(ABS(C6-E6)/C6)*100</f>
        <v>100</v>
      </c>
      <c r="D155" s="33" t="n">
        <f aca="false">(ABS(D6-F6)/D6)*100</f>
        <v>0.0156274417877793</v>
      </c>
      <c r="E155" s="29"/>
      <c r="F155" s="33" t="n">
        <f aca="false">(ABS(C6-G6)/C6)*100</f>
        <v>0</v>
      </c>
      <c r="G155" s="33" t="n">
        <f aca="false">(ABS(D6-H6)/D6)*100</f>
        <v>0</v>
      </c>
      <c r="H155" s="31"/>
    </row>
    <row r="156" customFormat="false" ht="15" hidden="false" customHeight="false" outlineLevel="0" collapsed="false">
      <c r="A156" s="26"/>
      <c r="B156" s="32" t="n">
        <v>3</v>
      </c>
      <c r="C156" s="33" t="n">
        <f aca="false">(ABS(C7-E7)/C7)*100</f>
        <v>100</v>
      </c>
      <c r="D156" s="33" t="n">
        <f aca="false">(ABS(D7-F7)/D7)*100</f>
        <v>0.0243809428548209</v>
      </c>
      <c r="E156" s="29"/>
      <c r="F156" s="33" t="n">
        <f aca="false">(ABS(C7-G7)/C7)*100</f>
        <v>5.12820512820513</v>
      </c>
      <c r="G156" s="33" t="n">
        <f aca="false">(ABS(D7-H7)/D7)*100</f>
        <v>0.00125030476178569</v>
      </c>
      <c r="H156" s="31"/>
    </row>
    <row r="157" customFormat="false" ht="15" hidden="false" customHeight="false" outlineLevel="0" collapsed="false">
      <c r="A157" s="26"/>
      <c r="B157" s="32" t="n">
        <v>4</v>
      </c>
      <c r="C157" s="33" t="n">
        <f aca="false">(ABS(C8-E8)/C8)*100</f>
        <v>97.1830985915493</v>
      </c>
      <c r="D157" s="33" t="n">
        <f aca="false">(ABS(D8-F8)/D8)*100</f>
        <v>0.0431441452144389</v>
      </c>
      <c r="E157" s="29"/>
      <c r="F157" s="33" t="n">
        <f aca="false">(ABS(C8-G8)/C8)*100</f>
        <v>0</v>
      </c>
      <c r="G157" s="33" t="n">
        <f aca="false">(ABS(D8-H8)/D8)*100</f>
        <v>0</v>
      </c>
      <c r="H157" s="31"/>
    </row>
    <row r="158" customFormat="false" ht="15" hidden="false" customHeight="false" outlineLevel="0" collapsed="false">
      <c r="A158" s="26"/>
      <c r="B158" s="32" t="n">
        <v>5</v>
      </c>
      <c r="C158" s="33" t="n">
        <f aca="false">(ABS(C9-E9)/C9)*100</f>
        <v>100</v>
      </c>
      <c r="D158" s="33" t="n">
        <f aca="false">(ABS(D9-F9)/D9)*100</f>
        <v>0.0575330815218751</v>
      </c>
      <c r="E158" s="29"/>
      <c r="F158" s="33" t="n">
        <f aca="false">(ABS(C9-G9)/C9)*100</f>
        <v>11.9565217391304</v>
      </c>
      <c r="G158" s="33" t="n">
        <f aca="false">(ABS(D9-H9)/D9)*100</f>
        <v>0.00687895539935463</v>
      </c>
      <c r="H158" s="31"/>
    </row>
    <row r="159" customFormat="false" ht="15" hidden="false" customHeight="false" outlineLevel="0" collapsed="false">
      <c r="A159" s="26"/>
      <c r="B159" s="32" t="n">
        <v>6</v>
      </c>
      <c r="C159" s="33" t="n">
        <f aca="false">(ABS(C10-E10)/C10)*100</f>
        <v>98.3193277310924</v>
      </c>
      <c r="D159" s="33" t="n">
        <f aca="false">(ABS(D10-F10)/D10)*100</f>
        <v>0.0731794271989792</v>
      </c>
      <c r="E159" s="29"/>
      <c r="F159" s="33" t="n">
        <f aca="false">(ABS(C10-G10)/C10)*100</f>
        <v>0</v>
      </c>
      <c r="G159" s="33" t="n">
        <f aca="false">(ABS(D10-H10)/D10)*100</f>
        <v>0</v>
      </c>
      <c r="H159" s="31"/>
    </row>
    <row r="160" customFormat="false" ht="15" hidden="false" customHeight="false" outlineLevel="0" collapsed="false">
      <c r="A160" s="26"/>
      <c r="B160" s="32" t="n">
        <v>7</v>
      </c>
      <c r="C160" s="33" t="n">
        <f aca="false">(ABS(C11-E11)/C11)*100</f>
        <v>98.8950276243094</v>
      </c>
      <c r="D160" s="33" t="n">
        <f aca="false">(ABS(D11-F11)/D11)*100</f>
        <v>0.112001701925303</v>
      </c>
      <c r="E160" s="29"/>
      <c r="F160" s="33" t="n">
        <f aca="false">(ABS(C11-G11)/C11)*100</f>
        <v>0</v>
      </c>
      <c r="G160" s="33" t="n">
        <f aca="false">(ABS(D11-H11)/D11)*100</f>
        <v>0</v>
      </c>
      <c r="H160" s="31"/>
    </row>
    <row r="161" customFormat="false" ht="15" hidden="false" customHeight="false" outlineLevel="0" collapsed="false">
      <c r="A161" s="26"/>
      <c r="B161" s="32" t="n">
        <v>8</v>
      </c>
      <c r="C161" s="33" t="n">
        <f aca="false">(ABS(C12-E12)/C12)*100</f>
        <v>99.5327102803738</v>
      </c>
      <c r="D161" s="33" t="n">
        <f aca="false">(ABS(D12-F12)/D12)*100</f>
        <v>0.133303293154594</v>
      </c>
      <c r="E161" s="29"/>
      <c r="F161" s="33" t="n">
        <f aca="false">(ABS(C12-G12)/C12)*100</f>
        <v>0</v>
      </c>
      <c r="G161" s="33" t="n">
        <f aca="false">(ABS(D12-H12)/D12)*100</f>
        <v>0</v>
      </c>
      <c r="H161" s="31"/>
    </row>
    <row r="162" customFormat="false" ht="15" hidden="false" customHeight="false" outlineLevel="0" collapsed="false">
      <c r="A162" s="26"/>
      <c r="B162" s="32" t="n">
        <v>9</v>
      </c>
      <c r="C162" s="33" t="n">
        <f aca="false">(ABS(C13-E13)/C13)*100</f>
        <v>100</v>
      </c>
      <c r="D162" s="33" t="n">
        <f aca="false">(ABS(D13-F13)/D13)*100</f>
        <v>0.17217091876663</v>
      </c>
      <c r="E162" s="29"/>
      <c r="F162" s="33" t="n">
        <f aca="false">(ABS(C13-G13)/C13)*100</f>
        <v>6.54545454545455</v>
      </c>
      <c r="G162" s="33" t="n">
        <f aca="false">(ABS(D13-H13)/D13)*100</f>
        <v>0.0112693692283612</v>
      </c>
      <c r="H162" s="31"/>
    </row>
    <row r="163" customFormat="false" ht="15" hidden="false" customHeight="false" outlineLevel="0" collapsed="false">
      <c r="A163" s="26"/>
      <c r="B163" s="32" t="n">
        <v>10</v>
      </c>
      <c r="C163" s="33" t="n">
        <f aca="false">(ABS(C14-E14)/C14)*100</f>
        <v>100</v>
      </c>
      <c r="D163" s="33" t="n">
        <f aca="false">(ABS(D14-F14)/D14)*100</f>
        <v>0.212952524113742</v>
      </c>
      <c r="E163" s="29"/>
      <c r="F163" s="33" t="n">
        <f aca="false">(ABS(C14-G14)/C14)*100</f>
        <v>6.47058823529412</v>
      </c>
      <c r="G163" s="33" t="n">
        <f aca="false">(ABS(D14-H14)/D14)*100</f>
        <v>0.0137792809720656</v>
      </c>
      <c r="H163" s="31"/>
    </row>
    <row r="164" customFormat="false" ht="15" hidden="false" customHeight="false" outlineLevel="0" collapsed="false">
      <c r="A164" s="26"/>
      <c r="B164" s="32" t="n">
        <v>11</v>
      </c>
      <c r="C164" s="33" t="n">
        <f aca="false">(ABS(C15-E15)/C15)*100</f>
        <v>98.8009592326139</v>
      </c>
      <c r="D164" s="33" t="n">
        <f aca="false">(ABS(D15-F15)/D15)*100</f>
        <v>0.258172863024257</v>
      </c>
      <c r="E164" s="29"/>
      <c r="F164" s="33" t="n">
        <f aca="false">(ABS(C15-G15)/C15)*100</f>
        <v>0.719424460431655</v>
      </c>
      <c r="G164" s="33" t="n">
        <f aca="false">(ABS(D15-H15)/D15)*100</f>
        <v>0.00187989948804071</v>
      </c>
      <c r="H164" s="31"/>
    </row>
    <row r="165" customFormat="false" ht="15" hidden="false" customHeight="false" outlineLevel="0" collapsed="false">
      <c r="A165" s="26"/>
      <c r="B165" s="32" t="n">
        <v>12</v>
      </c>
      <c r="C165" s="33" t="n">
        <f aca="false">(ABS(C16-E16)/C16)*100</f>
        <v>92.4892703862661</v>
      </c>
      <c r="D165" s="33" t="n">
        <f aca="false">(ABS(D16-F16)/D16)*100</f>
        <v>0.270161846377575</v>
      </c>
      <c r="E165" s="29"/>
      <c r="F165" s="33" t="n">
        <f aca="false">(ABS(C16-G16)/C16)*100</f>
        <v>0.643776824034335</v>
      </c>
      <c r="G165" s="33" t="n">
        <f aca="false">(ABS(D16-H16)/D16)*100</f>
        <v>0.00188047688893904</v>
      </c>
      <c r="H165" s="31"/>
    </row>
    <row r="166" customFormat="false" ht="15" hidden="false" customHeight="false" outlineLevel="0" collapsed="false">
      <c r="A166" s="26"/>
      <c r="B166" s="32" t="n">
        <v>13</v>
      </c>
      <c r="C166" s="33" t="n">
        <f aca="false">(ABS(C17-E17)/C17)*100</f>
        <v>100</v>
      </c>
      <c r="D166" s="33" t="n">
        <f aca="false">(ABS(D17-F17)/D17)*100</f>
        <v>0.34556503960514</v>
      </c>
      <c r="E166" s="29"/>
      <c r="F166" s="33" t="n">
        <f aca="false">(ABS(C17-G17)/C17)*100</f>
        <v>0.362976406533575</v>
      </c>
      <c r="G166" s="33" t="n">
        <f aca="false">(ABS(D17-H17)/D17)*100</f>
        <v>0.00125431956299506</v>
      </c>
      <c r="H166" s="31"/>
    </row>
    <row r="167" customFormat="false" ht="15" hidden="false" customHeight="false" outlineLevel="0" collapsed="false">
      <c r="A167" s="26"/>
      <c r="B167" s="32" t="n">
        <v>14</v>
      </c>
      <c r="C167" s="33" t="n">
        <f aca="false">(ABS(C18-E18)/C18)*100</f>
        <v>89.4819466248038</v>
      </c>
      <c r="D167" s="33" t="n">
        <f aca="false">(ABS(D18-F18)/D18)*100</f>
        <v>0.357673989570979</v>
      </c>
      <c r="E167" s="29"/>
      <c r="F167" s="33" t="n">
        <f aca="false">(ABS(C18-G18)/C18)*100</f>
        <v>0.627943485086342</v>
      </c>
      <c r="G167" s="33" t="n">
        <f aca="false">(ABS(D18-H18)/D18)*100</f>
        <v>0.00250999290927003</v>
      </c>
      <c r="H167" s="31"/>
    </row>
    <row r="168" customFormat="false" ht="15" hidden="false" customHeight="false" outlineLevel="0" collapsed="false">
      <c r="A168" s="26"/>
      <c r="B168" s="32" t="n">
        <v>15</v>
      </c>
      <c r="C168" s="33" t="n">
        <f aca="false">(ABS(C19-E19)/C19)*100</f>
        <v>99.7340425531915</v>
      </c>
      <c r="D168" s="33" t="n">
        <f aca="false">(ABS(D19-F19)/D19)*100</f>
        <v>0.470963528584347</v>
      </c>
      <c r="E168" s="29"/>
      <c r="F168" s="33" t="n">
        <f aca="false">(ABS(C19-G19)/C19)*100</f>
        <v>0.930851063829787</v>
      </c>
      <c r="G168" s="33" t="n">
        <f aca="false">(ABS(D19-H19)/D19)*100</f>
        <v>0.00439565960012057</v>
      </c>
      <c r="H168" s="31"/>
    </row>
    <row r="169" customFormat="false" ht="15" hidden="false" customHeight="false" outlineLevel="0" collapsed="false">
      <c r="A169" s="26"/>
      <c r="B169" s="32" t="n">
        <v>16</v>
      </c>
      <c r="C169" s="33" t="n">
        <f aca="false">(ABS(C20-E20)/C20)*100</f>
        <v>99.2610837438424</v>
      </c>
      <c r="D169" s="33" t="n">
        <f aca="false">(ABS(D20-F20)/D20)*100</f>
        <v>0.506319571827022</v>
      </c>
      <c r="E169" s="29"/>
      <c r="F169" s="33" t="n">
        <f aca="false">(ABS(C20-G20)/C20)*100</f>
        <v>0.738916256157636</v>
      </c>
      <c r="G169" s="33" t="n">
        <f aca="false">(ABS(D20-H20)/D20)*100</f>
        <v>0.00376912832625575</v>
      </c>
      <c r="H169" s="31"/>
    </row>
    <row r="170" customFormat="false" ht="15" hidden="false" customHeight="false" outlineLevel="0" collapsed="false">
      <c r="A170" s="26"/>
      <c r="B170" s="32" t="n">
        <v>17</v>
      </c>
      <c r="C170" s="33" t="n">
        <f aca="false">(ABS(C21-E21)/C21)*100</f>
        <v>96.9148936170213</v>
      </c>
      <c r="D170" s="33" t="n">
        <f aca="false">(ABS(D21-F21)/D21)*100</f>
        <v>0.572739846598768</v>
      </c>
      <c r="E170" s="29"/>
      <c r="F170" s="33" t="n">
        <f aca="false">(ABS(C21-G21)/C21)*100</f>
        <v>0</v>
      </c>
      <c r="G170" s="33" t="n">
        <f aca="false">(ABS(D21-H21)/D21)*100</f>
        <v>0</v>
      </c>
      <c r="H170" s="31"/>
    </row>
    <row r="171" customFormat="false" ht="15" hidden="false" customHeight="false" outlineLevel="0" collapsed="false">
      <c r="A171" s="26"/>
      <c r="B171" s="32" t="n">
        <v>18</v>
      </c>
      <c r="C171" s="33" t="n">
        <f aca="false">(ABS(C22-E22)/C22)*100</f>
        <v>95.1566951566952</v>
      </c>
      <c r="D171" s="33" t="n">
        <f aca="false">(ABS(D22-F22)/D22)*100</f>
        <v>0.630398812182677</v>
      </c>
      <c r="E171" s="29"/>
      <c r="F171" s="33" t="n">
        <f aca="false">(ABS(C22-G22)/C22)*100</f>
        <v>0.56980056980057</v>
      </c>
      <c r="G171" s="33" t="n">
        <f aca="false">(ABS(D22-H22)/D22)*100</f>
        <v>0.00377484318672262</v>
      </c>
      <c r="H171" s="31"/>
    </row>
    <row r="172" customFormat="false" ht="15" hidden="false" customHeight="false" outlineLevel="0" collapsed="false">
      <c r="A172" s="26"/>
      <c r="B172" s="32" t="n">
        <v>19</v>
      </c>
      <c r="C172" s="33" t="n">
        <f aca="false">(ABS(C23-E23)/C23)*100</f>
        <v>97.7947413061917</v>
      </c>
      <c r="D172" s="33" t="n">
        <f aca="false">(ABS(D23-F23)/D23)*100</f>
        <v>0.725974524779469</v>
      </c>
      <c r="E172" s="29"/>
      <c r="F172" s="33" t="n">
        <f aca="false">(ABS(C23-G23)/C23)*100</f>
        <v>0.0848176420695505</v>
      </c>
      <c r="G172" s="33" t="n">
        <f aca="false">(ABS(D23-H23)/D23)*100</f>
        <v>0.000629639657224171</v>
      </c>
      <c r="H172" s="31"/>
    </row>
    <row r="173" customFormat="false" ht="15" hidden="false" customHeight="false" outlineLevel="0" collapsed="false">
      <c r="A173" s="26"/>
      <c r="B173" s="32" t="n">
        <v>20</v>
      </c>
      <c r="C173" s="33" t="n">
        <f aca="false">(ABS(C24-E24)/C24)*100</f>
        <v>99.6025437201908</v>
      </c>
      <c r="D173" s="33" t="n">
        <f aca="false">(ABS(D24-F24)/D24)*100</f>
        <v>0.789331115898754</v>
      </c>
      <c r="E173" s="29"/>
      <c r="F173" s="33" t="n">
        <f aca="false">(ABS(C24-G24)/C24)*100</f>
        <v>0.158982511923688</v>
      </c>
      <c r="G173" s="33" t="n">
        <f aca="false">(ABS(D24-H24)/D24)*100</f>
        <v>0.00125990601101158</v>
      </c>
      <c r="H173" s="31"/>
    </row>
    <row r="174" customFormat="false" ht="15" hidden="false" customHeight="false" outlineLevel="0" collapsed="false">
      <c r="A174" s="26"/>
      <c r="B174" s="32" t="n">
        <v>21</v>
      </c>
      <c r="C174" s="33" t="n">
        <f aca="false">(ABS(C25-E25)/C25)*100</f>
        <v>98.5734664764622</v>
      </c>
      <c r="D174" s="33" t="n">
        <f aca="false">(ABS(D25-F25)/D25)*100</f>
        <v>0.871385515580272</v>
      </c>
      <c r="E174" s="29"/>
      <c r="F174" s="33" t="n">
        <f aca="false">(ABS(C25-G25)/C25)*100</f>
        <v>0.21398002853067</v>
      </c>
      <c r="G174" s="33" t="n">
        <f aca="false">(ABS(D25-H25)/D25)*100</f>
        <v>0.00189157492528279</v>
      </c>
      <c r="H174" s="31"/>
    </row>
    <row r="175" customFormat="false" ht="15" hidden="false" customHeight="false" outlineLevel="0" collapsed="false">
      <c r="A175" s="26"/>
      <c r="B175" s="32" t="n">
        <v>22</v>
      </c>
      <c r="C175" s="33" t="n">
        <f aca="false">(ABS(C26-E26)/C26)*100</f>
        <v>99.7424339987122</v>
      </c>
      <c r="D175" s="33" t="n">
        <f aca="false">(ABS(D26-F26)/D26)*100</f>
        <v>0.97761396555315</v>
      </c>
      <c r="E175" s="29"/>
      <c r="F175" s="33" t="n">
        <f aca="false">(ABS(C26-G26)/C26)*100</f>
        <v>0.193174500965873</v>
      </c>
      <c r="G175" s="33" t="n">
        <f aca="false">(ABS(D26-H26)/D26)*100</f>
        <v>0.00189337759629403</v>
      </c>
      <c r="H175" s="31"/>
    </row>
    <row r="176" customFormat="false" ht="15" hidden="false" customHeight="false" outlineLevel="0" collapsed="false">
      <c r="A176" s="26"/>
      <c r="B176" s="32" t="n">
        <v>23</v>
      </c>
      <c r="C176" s="33" t="n">
        <f aca="false">(ABS(C27-E27)/C27)*100</f>
        <v>99.0654205607477</v>
      </c>
      <c r="D176" s="33" t="n">
        <f aca="false">(ABS(D27-F27)/D27)*100</f>
        <v>1.0714646719903</v>
      </c>
      <c r="E176" s="29"/>
      <c r="F176" s="33" t="n">
        <f aca="false">(ABS(C27-G27)/C27)*100</f>
        <v>0.233644859813084</v>
      </c>
      <c r="G176" s="33" t="n">
        <f aca="false">(ABS(D27-H27)/D27)*100</f>
        <v>0.00252703932073183</v>
      </c>
      <c r="H176" s="31"/>
    </row>
    <row r="177" customFormat="false" ht="15" hidden="false" customHeight="false" outlineLevel="0" collapsed="false">
      <c r="A177" s="26"/>
      <c r="B177" s="32" t="n">
        <v>24</v>
      </c>
      <c r="C177" s="33" t="n">
        <f aca="false">(ABS(C28-E28)/C28)*100</f>
        <v>87.5277161862528</v>
      </c>
      <c r="D177" s="33" t="n">
        <f aca="false">(ABS(D28-F28)/D28)*100</f>
        <v>0.998128903385673</v>
      </c>
      <c r="E177" s="29"/>
      <c r="F177" s="33" t="n">
        <f aca="false">(ABS(C28-G28)/C28)*100</f>
        <v>0.16629711751663</v>
      </c>
      <c r="G177" s="33" t="n">
        <f aca="false">(ABS(D28-H28)/D28)*100</f>
        <v>0.00189638170370932</v>
      </c>
      <c r="H177" s="31"/>
    </row>
    <row r="178" customFormat="false" ht="15" hidden="false" customHeight="false" outlineLevel="0" collapsed="false">
      <c r="A178" s="26"/>
      <c r="B178" s="32" t="n">
        <v>25</v>
      </c>
      <c r="C178" s="33" t="n">
        <f aca="false">(ABS(C29-E29)/C29)*100</f>
        <v>99.5947315096251</v>
      </c>
      <c r="D178" s="33" t="n">
        <f aca="false">(ABS(D29-F29)/D29)*100</f>
        <v>1.24409907230456</v>
      </c>
      <c r="E178" s="29"/>
      <c r="F178" s="33" t="n">
        <f aca="false">(ABS(C29-G29)/C29)*100</f>
        <v>0</v>
      </c>
      <c r="G178" s="33" t="n">
        <f aca="false">(ABS(D29-H29)/D29)*100</f>
        <v>0</v>
      </c>
      <c r="H178" s="31"/>
    </row>
    <row r="179" customFormat="false" ht="15" hidden="false" customHeight="false" outlineLevel="0" collapsed="false">
      <c r="A179" s="26"/>
      <c r="B179" s="32" t="n">
        <v>26</v>
      </c>
      <c r="C179" s="33" t="n">
        <f aca="false">(ABS(C30-E30)/C30)*100</f>
        <v>98.9776951672863</v>
      </c>
      <c r="D179" s="33" t="n">
        <f aca="false">(ABS(D30-F30)/D30)*100</f>
        <v>1.34939942222898</v>
      </c>
      <c r="E179" s="29"/>
      <c r="F179" s="33" t="n">
        <f aca="false">(ABS(C30-G30)/C30)*100</f>
        <v>0.0464684014869888</v>
      </c>
      <c r="G179" s="33" t="n">
        <f aca="false">(ABS(D30-H30)/D30)*100</f>
        <v>0.000633520855506563</v>
      </c>
      <c r="H179" s="31"/>
    </row>
    <row r="180" customFormat="false" ht="15" hidden="false" customHeight="false" outlineLevel="0" collapsed="false">
      <c r="A180" s="26"/>
      <c r="B180" s="32" t="n">
        <v>27</v>
      </c>
      <c r="C180" s="33" t="n">
        <f aca="false">(ABS(C31-E31)/C31)*100</f>
        <v>99.1866438356164</v>
      </c>
      <c r="D180" s="33" t="n">
        <f aca="false">(ABS(D31-F31)/D31)*100</f>
        <v>1.46958088086056</v>
      </c>
      <c r="E180" s="29"/>
      <c r="F180" s="33" t="n">
        <f aca="false">(ABS(C31-G31)/C31)*100</f>
        <v>0.128424657534247</v>
      </c>
      <c r="G180" s="33" t="n">
        <f aca="false">(ABS(D31-H31)/D31)*100</f>
        <v>0.001902780596712</v>
      </c>
      <c r="H180" s="31"/>
    </row>
    <row r="181" customFormat="false" ht="15" hidden="false" customHeight="false" outlineLevel="0" collapsed="false">
      <c r="A181" s="26"/>
      <c r="B181" s="32" t="n">
        <v>28</v>
      </c>
      <c r="C181" s="33" t="n">
        <f aca="false">(ABS(C32-E32)/C32)*100</f>
        <v>98.0310012568077</v>
      </c>
      <c r="D181" s="33" t="n">
        <f aca="false">(ABS(D32-F32)/D32)*100</f>
        <v>1.4846491088933</v>
      </c>
      <c r="E181" s="29"/>
      <c r="F181" s="33" t="n">
        <f aca="false">(ABS(C32-G32)/C32)*100</f>
        <v>0.125680770842061</v>
      </c>
      <c r="G181" s="33" t="n">
        <f aca="false">(ABS(D32-H32)/D32)*100</f>
        <v>0.00190339629345295</v>
      </c>
      <c r="H181" s="31"/>
    </row>
    <row r="182" customFormat="false" ht="15" hidden="false" customHeight="false" outlineLevel="0" collapsed="false">
      <c r="A182" s="26"/>
      <c r="B182" s="32" t="n">
        <v>29</v>
      </c>
      <c r="C182" s="33" t="n">
        <f aca="false">(ABS(C33-E33)/C33)*100</f>
        <v>99.7371385655276</v>
      </c>
      <c r="D182" s="33" t="n">
        <f aca="false">(ABS(D33-F33)/D33)*100</f>
        <v>1.68809625199413</v>
      </c>
      <c r="E182" s="29"/>
      <c r="F182" s="33" t="n">
        <f aca="false">(ABS(C33-G33)/C33)*100</f>
        <v>0.0375516334960571</v>
      </c>
      <c r="G182" s="33" t="n">
        <f aca="false">(ABS(D33-H33)/D33)*100</f>
        <v>0.000635578408130319</v>
      </c>
      <c r="H182" s="31"/>
    </row>
    <row r="183" customFormat="false" ht="15" hidden="false" customHeight="false" outlineLevel="0" collapsed="false">
      <c r="A183" s="26"/>
      <c r="B183" s="32" t="n">
        <v>30</v>
      </c>
      <c r="C183" s="33" t="n">
        <f aca="false">(ABS(C34-E34)/C34)*100</f>
        <v>98.7710674157303</v>
      </c>
      <c r="D183" s="33" t="n">
        <f aca="false">(ABS(D34-F34)/D34)*100</f>
        <v>1.78998676440643</v>
      </c>
      <c r="E183" s="29"/>
      <c r="F183" s="33" t="n">
        <f aca="false">(ABS(C34-G34)/C34)*100</f>
        <v>0.0702247191011236</v>
      </c>
      <c r="G183" s="33" t="n">
        <f aca="false">(ABS(D34-H34)/D34)*100</f>
        <v>0.00127265322744858</v>
      </c>
      <c r="H183" s="31"/>
    </row>
    <row r="184" customFormat="false" ht="15" hidden="false" customHeight="false" outlineLevel="0" collapsed="false">
      <c r="A184" s="26"/>
      <c r="B184" s="32" t="n">
        <v>31</v>
      </c>
      <c r="C184" s="33" t="n">
        <f aca="false">(ABS(C35-E35)/C35)*100</f>
        <v>99.8025666337611</v>
      </c>
      <c r="D184" s="33" t="n">
        <f aca="false">(ABS(D35-F35)/D35)*100</f>
        <v>1.93232713858857</v>
      </c>
      <c r="E184" s="29"/>
      <c r="F184" s="33" t="n">
        <f aca="false">(ABS(C35-G35)/C35)*100</f>
        <v>0.0329055610398157</v>
      </c>
      <c r="G184" s="33" t="n">
        <f aca="false">(ABS(D35-H35)/D35)*100</f>
        <v>0.000637100935901275</v>
      </c>
      <c r="H184" s="31"/>
    </row>
    <row r="185" customFormat="false" ht="15" hidden="false" customHeight="false" outlineLevel="0" collapsed="false">
      <c r="A185" s="26"/>
      <c r="B185" s="32" t="n">
        <v>32</v>
      </c>
      <c r="C185" s="33" t="n">
        <f aca="false">(ABS(C36-E36)/C36)*100</f>
        <v>99.7173366834171</v>
      </c>
      <c r="D185" s="33" t="n">
        <f aca="false">(ABS(D36-F36)/D36)*100</f>
        <v>2.02466585042343</v>
      </c>
      <c r="E185" s="29"/>
      <c r="F185" s="33" t="n">
        <f aca="false">(ABS(C36-G36)/C36)*100</f>
        <v>0.0314070351758794</v>
      </c>
      <c r="G185" s="33" t="n">
        <f aca="false">(ABS(D36-H36)/D36)*100</f>
        <v>0.000637690031629426</v>
      </c>
      <c r="H185" s="31"/>
    </row>
    <row r="186" customFormat="false" ht="15" hidden="false" customHeight="false" outlineLevel="0" collapsed="false">
      <c r="A186" s="26"/>
      <c r="B186" s="32" t="n">
        <v>33</v>
      </c>
      <c r="C186" s="33" t="n">
        <f aca="false">(ABS(C37-E37)/C37)*100</f>
        <v>99.9413661682791</v>
      </c>
      <c r="D186" s="33" t="n">
        <f aca="false">(ABS(D37-F37)/D37)*100</f>
        <v>2.17703670117314</v>
      </c>
      <c r="E186" s="29"/>
      <c r="F186" s="33" t="n">
        <f aca="false">(ABS(C37-G37)/C37)*100</f>
        <v>0.058633831720903</v>
      </c>
      <c r="G186" s="33" t="n">
        <f aca="false">(ABS(D37-H37)/D37)*100</f>
        <v>0.00127722892412622</v>
      </c>
      <c r="H186" s="31"/>
    </row>
    <row r="187" customFormat="false" ht="15" hidden="false" customHeight="false" outlineLevel="0" collapsed="false">
      <c r="A187" s="26"/>
      <c r="B187" s="32" t="n">
        <v>34</v>
      </c>
      <c r="C187" s="33" t="n">
        <f aca="false">(ABS(C38-E38)/C38)*100</f>
        <v>88.7393573194178</v>
      </c>
      <c r="D187" s="33" t="n">
        <f aca="false">(ABS(D38-F38)/D38)*100</f>
        <v>2.06639848042006</v>
      </c>
      <c r="E187" s="29"/>
      <c r="F187" s="33" t="n">
        <f aca="false">(ABS(C38-G38)/C38)*100</f>
        <v>0</v>
      </c>
      <c r="G187" s="33" t="n">
        <f aca="false">(ABS(D38-H38)/D38)*100</f>
        <v>0</v>
      </c>
      <c r="H187" s="31"/>
    </row>
    <row r="188" customFormat="false" ht="15" hidden="false" customHeight="false" outlineLevel="0" collapsed="false">
      <c r="A188" s="26"/>
      <c r="B188" s="32" t="n">
        <v>35</v>
      </c>
      <c r="C188" s="33" t="n">
        <f aca="false">(ABS(C39-E39)/C39)*100</f>
        <v>99.359795134443</v>
      </c>
      <c r="D188" s="33" t="n">
        <f aca="false">(ABS(D39-F39)/D39)*100</f>
        <v>2.48566578045421</v>
      </c>
      <c r="E188" s="29"/>
      <c r="F188" s="33" t="n">
        <f aca="false">(ABS(C39-G39)/C39)*100</f>
        <v>0.179257362355954</v>
      </c>
      <c r="G188" s="33" t="n">
        <f aca="false">(ABS(D39-H39)/D39)*100</f>
        <v>0.0044844485729844</v>
      </c>
      <c r="H188" s="31"/>
    </row>
    <row r="189" customFormat="false" ht="15" hidden="false" customHeight="false" outlineLevel="0" collapsed="false">
      <c r="A189" s="26"/>
      <c r="B189" s="32" t="n">
        <v>36</v>
      </c>
      <c r="C189" s="33" t="n">
        <f aca="false">(ABS(C40-E40)/C40)*100</f>
        <v>96.4705882352941</v>
      </c>
      <c r="D189" s="33" t="n">
        <f aca="false">(ABS(D40-F40)/D40)*100</f>
        <v>2.47043363994744</v>
      </c>
      <c r="E189" s="29"/>
      <c r="F189" s="33" t="n">
        <f aca="false">(ABS(C40-G40)/C40)*100</f>
        <v>0.0500625782227785</v>
      </c>
      <c r="G189" s="33" t="n">
        <f aca="false">(ABS(D40-H40)/D40)*100</f>
        <v>0.00128201019198103</v>
      </c>
      <c r="H189" s="31"/>
    </row>
    <row r="190" customFormat="false" ht="15" hidden="false" customHeight="false" outlineLevel="0" collapsed="false">
      <c r="A190" s="26"/>
      <c r="B190" s="32" t="n">
        <v>37</v>
      </c>
      <c r="C190" s="33" t="n">
        <f aca="false">(ABS(C41-E41)/C41)*100</f>
        <v>99.1081905655949</v>
      </c>
      <c r="D190" s="33" t="n">
        <f aca="false">(ABS(D41-F41)/D41)*100</f>
        <v>2.71158797732103</v>
      </c>
      <c r="E190" s="29"/>
      <c r="F190" s="33" t="n">
        <f aca="false">(ABS(C41-G41)/C41)*100</f>
        <v>0</v>
      </c>
      <c r="G190" s="33" t="n">
        <f aca="false">(ABS(D41-H41)/D41)*100</f>
        <v>0</v>
      </c>
      <c r="H190" s="31"/>
    </row>
    <row r="191" customFormat="false" ht="15" hidden="false" customHeight="false" outlineLevel="0" collapsed="false">
      <c r="A191" s="26"/>
      <c r="B191" s="32" t="n">
        <v>38</v>
      </c>
      <c r="C191" s="33" t="n">
        <f aca="false">(ABS(C42-E42)/C42)*100</f>
        <v>99.5118704237852</v>
      </c>
      <c r="D191" s="33" t="n">
        <f aca="false">(ABS(D42-F42)/D42)*100</f>
        <v>2.88437421620266</v>
      </c>
      <c r="E191" s="29"/>
      <c r="F191" s="33" t="n">
        <f aca="false">(ABS(C42-G42)/C42)*100</f>
        <v>0.0665631240292878</v>
      </c>
      <c r="G191" s="33" t="n">
        <f aca="false">(ABS(D42-H42)/D42)*100</f>
        <v>0.0019293473018078</v>
      </c>
      <c r="H191" s="31"/>
    </row>
    <row r="192" customFormat="false" ht="15" hidden="false" customHeight="false" outlineLevel="0" collapsed="false">
      <c r="A192" s="26"/>
      <c r="B192" s="32" t="n">
        <v>39</v>
      </c>
      <c r="C192" s="33" t="n">
        <f aca="false">(ABS(C43-E43)/C43)*100</f>
        <v>89.9283607248209</v>
      </c>
      <c r="D192" s="33" t="n">
        <f aca="false">(ABS(D43-F43)/D43)*100</f>
        <v>2.74904350290492</v>
      </c>
      <c r="E192" s="29"/>
      <c r="F192" s="33" t="n">
        <f aca="false">(ABS(C43-G43)/C43)*100</f>
        <v>0</v>
      </c>
      <c r="G192" s="33" t="n">
        <f aca="false">(ABS(D43-H43)/D43)*100</f>
        <v>0</v>
      </c>
      <c r="H192" s="31"/>
    </row>
    <row r="193" customFormat="false" ht="15" hidden="false" customHeight="false" outlineLevel="0" collapsed="false">
      <c r="A193" s="26"/>
      <c r="B193" s="32" t="n">
        <v>40</v>
      </c>
      <c r="C193" s="33" t="n">
        <f aca="false">(ABS(C44-E44)/C44)*100</f>
        <v>78.885930780258</v>
      </c>
      <c r="D193" s="33" t="n">
        <f aca="false">(ABS(D44-F44)/D44)*100</f>
        <v>2.48328680931168</v>
      </c>
      <c r="E193" s="29"/>
      <c r="F193" s="33" t="n">
        <f aca="false">(ABS(C44-G44)/C44)*100</f>
        <v>0.0819168543927913</v>
      </c>
      <c r="G193" s="33" t="n">
        <f aca="false">(ABS(D44-H44)/D44)*100</f>
        <v>0.00257869865972137</v>
      </c>
      <c r="H193" s="31"/>
    </row>
    <row r="194" customFormat="false" ht="15" hidden="false" customHeight="false" outlineLevel="0" collapsed="false">
      <c r="A194" s="26"/>
      <c r="B194" s="32" t="n">
        <v>41</v>
      </c>
      <c r="C194" s="33" t="n">
        <f aca="false">(ABS(C45-E45)/C45)*100</f>
        <v>99.7844827586207</v>
      </c>
      <c r="D194" s="33" t="n">
        <f aca="false">(ABS(D45-F45)/D45)*100</f>
        <v>3.28801260200393</v>
      </c>
      <c r="E194" s="29"/>
      <c r="F194" s="33" t="n">
        <f aca="false">(ABS(C45-G45)/C45)*100</f>
        <v>0</v>
      </c>
      <c r="G194" s="33" t="n">
        <f aca="false">(ABS(D45-H45)/D45)*100</f>
        <v>0</v>
      </c>
      <c r="H194" s="31"/>
    </row>
    <row r="195" customFormat="false" ht="15" hidden="false" customHeight="false" outlineLevel="0" collapsed="false">
      <c r="A195" s="26"/>
      <c r="B195" s="32" t="n">
        <v>42</v>
      </c>
      <c r="C195" s="33" t="n">
        <f aca="false">(ABS(C46-E46)/C46)*100</f>
        <v>100</v>
      </c>
      <c r="D195" s="33" t="n">
        <f aca="false">(ABS(D46-F46)/D46)*100</f>
        <v>3.47079860055745</v>
      </c>
      <c r="E195" s="29"/>
      <c r="F195" s="33" t="n">
        <f aca="false">(ABS(C46-G46)/C46)*100</f>
        <v>0.0186323830817962</v>
      </c>
      <c r="G195" s="33" t="n">
        <f aca="false">(ABS(D46-H46)/D46)*100</f>
        <v>0.000646692491253484</v>
      </c>
      <c r="H195" s="31"/>
    </row>
    <row r="196" customFormat="false" ht="15" hidden="false" customHeight="false" outlineLevel="0" collapsed="false">
      <c r="A196" s="26"/>
      <c r="B196" s="32" t="n">
        <v>43</v>
      </c>
      <c r="C196" s="33" t="n">
        <f aca="false">(ABS(C47-E47)/C47)*100</f>
        <v>99.6611982881598</v>
      </c>
      <c r="D196" s="33" t="n">
        <f aca="false">(ABS(D47-F47)/D47)*100</f>
        <v>3.62000621793875</v>
      </c>
      <c r="E196" s="29"/>
      <c r="F196" s="33" t="n">
        <f aca="false">(ABS(C47-G47)/C47)*100</f>
        <v>0</v>
      </c>
      <c r="G196" s="33" t="n">
        <f aca="false">(ABS(D47-H47)/D47)*100</f>
        <v>0</v>
      </c>
      <c r="H196" s="31"/>
    </row>
    <row r="197" customFormat="false" ht="15" hidden="false" customHeight="false" outlineLevel="0" collapsed="false">
      <c r="A197" s="26"/>
      <c r="B197" s="32" t="n">
        <v>44</v>
      </c>
      <c r="C197" s="33" t="n">
        <f aca="false">(ABS(C48-E48)/C48)*100</f>
        <v>99.547904712224</v>
      </c>
      <c r="D197" s="33" t="n">
        <f aca="false">(ABS(D48-F48)/D48)*100</f>
        <v>3.71153135514655</v>
      </c>
      <c r="E197" s="29"/>
      <c r="F197" s="33" t="n">
        <f aca="false">(ABS(C48-G48)/C48)*100</f>
        <v>0.0521648408972353</v>
      </c>
      <c r="G197" s="33" t="n">
        <f aca="false">(ABS(D48-H48)/D48)*100</f>
        <v>0.0019449072603388</v>
      </c>
      <c r="H197" s="31"/>
    </row>
    <row r="198" customFormat="false" ht="15" hidden="false" customHeight="false" outlineLevel="0" collapsed="false">
      <c r="A198" s="26"/>
      <c r="B198" s="32" t="n">
        <v>45</v>
      </c>
      <c r="C198" s="33" t="n">
        <f aca="false">(ABS(C49-E49)/C49)*100</f>
        <v>99.832299178266</v>
      </c>
      <c r="D198" s="33" t="n">
        <f aca="false">(ABS(D49-F49)/D49)*100</f>
        <v>3.86465589436304</v>
      </c>
      <c r="E198" s="29"/>
      <c r="F198" s="33" t="n">
        <f aca="false">(ABS(C49-G49)/C49)*100</f>
        <v>0.0167700821734027</v>
      </c>
      <c r="G198" s="33" t="n">
        <f aca="false">(ABS(D49-H49)/D49)*100</f>
        <v>0.000649194674006894</v>
      </c>
      <c r="H198" s="31"/>
    </row>
    <row r="199" customFormat="false" ht="15" hidden="false" customHeight="false" outlineLevel="0" collapsed="false">
      <c r="A199" s="26"/>
      <c r="B199" s="32" t="n">
        <v>46</v>
      </c>
      <c r="C199" s="33" t="n">
        <f aca="false">(ABS(C50-E50)/C50)*100</f>
        <v>99.7593068035944</v>
      </c>
      <c r="D199" s="33" t="n">
        <f aca="false">(ABS(D50-F50)/D50)*100</f>
        <v>4.04310389677956</v>
      </c>
      <c r="E199" s="29"/>
      <c r="F199" s="33" t="n">
        <f aca="false">(ABS(C50-G50)/C50)*100</f>
        <v>0.0160462130937099</v>
      </c>
      <c r="G199" s="33" t="n">
        <f aca="false">(ABS(D50-H50)/D50)*100</f>
        <v>0.000650330367826856</v>
      </c>
      <c r="H199" s="31"/>
    </row>
    <row r="200" customFormat="false" ht="15" hidden="false" customHeight="false" outlineLevel="0" collapsed="false">
      <c r="A200" s="26"/>
      <c r="B200" s="32" t="n">
        <v>47</v>
      </c>
      <c r="C200" s="33" t="n">
        <f aca="false">(ABS(C51-E51)/C51)*100</f>
        <v>88.2661726107766</v>
      </c>
      <c r="D200" s="33" t="n">
        <f aca="false">(ABS(D51-F51)/D51)*100</f>
        <v>3.72387199312155</v>
      </c>
      <c r="E200" s="29"/>
      <c r="F200" s="33" t="n">
        <f aca="false">(ABS(C51-G51)/C51)*100</f>
        <v>0.0463177396943029</v>
      </c>
      <c r="G200" s="33" t="n">
        <f aca="false">(ABS(D51-H51)/D51)*100</f>
        <v>0.00195410459670538</v>
      </c>
      <c r="H200" s="31"/>
    </row>
    <row r="201" customFormat="false" ht="15" hidden="false" customHeight="false" outlineLevel="0" collapsed="false">
      <c r="A201" s="26"/>
      <c r="B201" s="32" t="n">
        <v>48</v>
      </c>
      <c r="C201" s="33" t="n">
        <f aca="false">(ABS(C52-E52)/C52)*100</f>
        <v>98.8678090575276</v>
      </c>
      <c r="D201" s="33" t="n">
        <f aca="false">(ABS(D52-F52)/D52)*100</f>
        <v>4.21075952666423</v>
      </c>
      <c r="E201" s="29"/>
      <c r="F201" s="33" t="n">
        <f aca="false">(ABS(C52-G52)/C52)*100</f>
        <v>0.0305997552019584</v>
      </c>
      <c r="G201" s="33" t="n">
        <f aca="false">(ABS(D52-H52)/D52)*100</f>
        <v>0.00130323724130741</v>
      </c>
      <c r="H201" s="31"/>
    </row>
    <row r="202" customFormat="false" ht="15" hidden="false" customHeight="false" outlineLevel="0" collapsed="false">
      <c r="A202" s="26"/>
      <c r="B202" s="32" t="n">
        <v>49</v>
      </c>
      <c r="C202" s="33" t="n">
        <f aca="false">(ABS(C53-E53)/C53)*100</f>
        <v>95.4558695018934</v>
      </c>
      <c r="D202" s="33" t="n">
        <f aca="false">(ABS(D53-F53)/D53)*100</f>
        <v>4.27991171131166</v>
      </c>
      <c r="E202" s="29"/>
      <c r="F202" s="33" t="n">
        <f aca="false">(ABS(C53-G53)/C53)*100</f>
        <v>0.0291290416545296</v>
      </c>
      <c r="G202" s="33" t="n">
        <f aca="false">(ABS(D53-H53)/D53)*100</f>
        <v>0.00130604568547808</v>
      </c>
      <c r="H202" s="31"/>
    </row>
    <row r="203" customFormat="false" ht="15" hidden="false" customHeight="false" outlineLevel="0" collapsed="false">
      <c r="A203" s="26"/>
      <c r="B203" s="32" t="n">
        <v>50</v>
      </c>
      <c r="C203" s="33" t="n">
        <f aca="false">(ABS(C54-E54)/C54)*100</f>
        <v>99.0230780121761</v>
      </c>
      <c r="D203" s="33" t="n">
        <f aca="false">(ABS(D54-F54)/D54)*100</f>
        <v>4.57312488148715</v>
      </c>
      <c r="E203" s="29"/>
      <c r="F203" s="33" t="n">
        <f aca="false">(ABS(C54-G54)/C54)*100</f>
        <v>0.0849497380716409</v>
      </c>
      <c r="G203" s="33" t="n">
        <f aca="false">(ABS(D54-H54)/D54)*100</f>
        <v>0.00392318405618</v>
      </c>
      <c r="H203" s="31"/>
    </row>
    <row r="204" customFormat="false" ht="15" hidden="false" customHeight="false" outlineLevel="0" collapsed="false">
      <c r="A204" s="26"/>
      <c r="B204" s="32" t="n">
        <v>51</v>
      </c>
      <c r="C204" s="33" t="n">
        <f aca="false">(ABS(C55-E55)/C55)*100</f>
        <v>98.4404924760602</v>
      </c>
      <c r="D204" s="33" t="n">
        <f aca="false">(ABS(D55-F55)/D55)*100</f>
        <v>4.7128168183902</v>
      </c>
      <c r="E204" s="29"/>
      <c r="F204" s="33" t="n">
        <f aca="false">(ABS(C55-G55)/C55)*100</f>
        <v>0</v>
      </c>
      <c r="G204" s="33" t="n">
        <f aca="false">(ABS(D55-H55)/D55)*100</f>
        <v>0</v>
      </c>
      <c r="H204" s="31"/>
    </row>
    <row r="205" customFormat="false" ht="15" hidden="false" customHeight="false" outlineLevel="0" collapsed="false">
      <c r="A205" s="26"/>
      <c r="B205" s="32" t="n">
        <v>52</v>
      </c>
      <c r="C205" s="33" t="n">
        <f aca="false">(ABS(C56-E56)/C56)*100</f>
        <v>99.8387313533127</v>
      </c>
      <c r="D205" s="33" t="n">
        <f aca="false">(ABS(D56-F56)/D56)*100</f>
        <v>4.86959143675562</v>
      </c>
      <c r="E205" s="29"/>
      <c r="F205" s="33" t="n">
        <f aca="false">(ABS(C56-G56)/C56)*100</f>
        <v>0.0134390538906061</v>
      </c>
      <c r="G205" s="33" t="n">
        <f aca="false">(ABS(D56-H56)/D56)*100</f>
        <v>0.000655484107787807</v>
      </c>
      <c r="H205" s="31"/>
    </row>
    <row r="206" customFormat="false" ht="15" hidden="false" customHeight="false" outlineLevel="0" collapsed="false">
      <c r="A206" s="26"/>
      <c r="B206" s="32" t="n">
        <v>53</v>
      </c>
      <c r="C206" s="33" t="n">
        <f aca="false">(ABS(C57-E57)/C57)*100</f>
        <v>77.5816993464052</v>
      </c>
      <c r="D206" s="33" t="n">
        <f aca="false">(ABS(D57-F57)/D57)*100</f>
        <v>3.89563505086971</v>
      </c>
      <c r="E206" s="29"/>
      <c r="F206" s="33" t="n">
        <f aca="false">(ABS(C57-G57)/C57)*100</f>
        <v>0.0261437908496732</v>
      </c>
      <c r="G206" s="33" t="n">
        <f aca="false">(ABS(D57-H57)/D57)*100</f>
        <v>0.00131276665572694</v>
      </c>
      <c r="H206" s="31"/>
    </row>
    <row r="207" customFormat="false" ht="15" hidden="false" customHeight="false" outlineLevel="0" collapsed="false">
      <c r="A207" s="26"/>
      <c r="B207" s="32" t="n">
        <v>54</v>
      </c>
      <c r="C207" s="33" t="n">
        <f aca="false">(ABS(C58-E58)/C58)*100</f>
        <v>99.0332018827121</v>
      </c>
      <c r="D207" s="33" t="n">
        <f aca="false">(ABS(D58-F58)/D58)*100</f>
        <v>5.11703113600063</v>
      </c>
      <c r="E207" s="29"/>
      <c r="F207" s="33" t="n">
        <f aca="false">(ABS(C58-G58)/C58)*100</f>
        <v>0.0508841114362041</v>
      </c>
      <c r="G207" s="33" t="n">
        <f aca="false">(ABS(D58-H58)/D58)*100</f>
        <v>0.00262917463635228</v>
      </c>
      <c r="H207" s="31"/>
    </row>
    <row r="208" customFormat="false" ht="15" hidden="false" customHeight="false" outlineLevel="0" collapsed="false">
      <c r="A208" s="26"/>
      <c r="B208" s="32" t="n">
        <v>55</v>
      </c>
      <c r="C208" s="33" t="n">
        <f aca="false">(ABS(C59-E59)/C59)*100</f>
        <v>99.379498634897</v>
      </c>
      <c r="D208" s="33" t="n">
        <f aca="false">(ABS(D59-F59)/D59)*100</f>
        <v>5.2704321385792</v>
      </c>
      <c r="E208" s="29"/>
      <c r="F208" s="33" t="n">
        <f aca="false">(ABS(C59-G59)/C59)*100</f>
        <v>0.0372300819061802</v>
      </c>
      <c r="G208" s="33" t="n">
        <f aca="false">(ABS(D59-H59)/D59)*100</f>
        <v>0.00197443761435285</v>
      </c>
      <c r="H208" s="31"/>
    </row>
    <row r="209" customFormat="false" ht="15" hidden="false" customHeight="false" outlineLevel="0" collapsed="false">
      <c r="A209" s="26"/>
      <c r="B209" s="32" t="n">
        <v>56</v>
      </c>
      <c r="C209" s="33" t="n">
        <f aca="false">(ABS(C60-E60)/C60)*100</f>
        <v>94.5126442425731</v>
      </c>
      <c r="D209" s="33" t="n">
        <f aca="false">(ABS(D60-F60)/D60)*100</f>
        <v>5.07000144875999</v>
      </c>
      <c r="E209" s="29"/>
      <c r="F209" s="33" t="n">
        <f aca="false">(ABS(C60-G60)/C60)*100</f>
        <v>0</v>
      </c>
      <c r="G209" s="33" t="n">
        <f aca="false">(ABS(D60-H60)/D60)*100</f>
        <v>0</v>
      </c>
      <c r="H209" s="31"/>
    </row>
    <row r="210" customFormat="false" ht="15" hidden="false" customHeight="false" outlineLevel="0" collapsed="false">
      <c r="A210" s="26"/>
      <c r="B210" s="32" t="n">
        <v>57</v>
      </c>
      <c r="C210" s="33" t="n">
        <f aca="false">(ABS(C61-E61)/C61)*100</f>
        <v>99.4489698131289</v>
      </c>
      <c r="D210" s="33" t="n">
        <f aca="false">(ABS(D61-F61)/D61)*100</f>
        <v>5.47437554400865</v>
      </c>
      <c r="E210" s="29"/>
      <c r="F210" s="33" t="n">
        <f aca="false">(ABS(C61-G61)/C61)*100</f>
        <v>0</v>
      </c>
      <c r="G210" s="33" t="n">
        <f aca="false">(ABS(D61-H61)/D61)*100</f>
        <v>0</v>
      </c>
      <c r="H210" s="31"/>
    </row>
    <row r="211" customFormat="false" ht="15" hidden="false" customHeight="false" outlineLevel="0" collapsed="false">
      <c r="A211" s="26"/>
      <c r="B211" s="32" t="n">
        <v>58</v>
      </c>
      <c r="C211" s="33" t="n">
        <f aca="false">(ABS(C62-E62)/C62)*100</f>
        <v>99.5532039976484</v>
      </c>
      <c r="D211" s="33" t="n">
        <f aca="false">(ABS(D62-F62)/D62)*100</f>
        <v>5.58896333212317</v>
      </c>
      <c r="E211" s="29"/>
      <c r="F211" s="33" t="n">
        <f aca="false">(ABS(C62-G62)/C62)*100</f>
        <v>0.0470311581422693</v>
      </c>
      <c r="G211" s="33" t="n">
        <f aca="false">(ABS(D62-H62)/D62)*100</f>
        <v>0.00264035116670517</v>
      </c>
      <c r="H211" s="31"/>
    </row>
    <row r="212" customFormat="false" ht="15" hidden="false" customHeight="false" outlineLevel="0" collapsed="false">
      <c r="A212" s="26"/>
      <c r="B212" s="32" t="n">
        <v>59</v>
      </c>
      <c r="C212" s="33" t="n">
        <f aca="false">(ABS(C63-E63)/C63)*100</f>
        <v>96.4042871960355</v>
      </c>
      <c r="D212" s="33" t="n">
        <f aca="false">(ABS(D63-F63)/D63)*100</f>
        <v>5.52791049609114</v>
      </c>
      <c r="E212" s="29"/>
      <c r="F212" s="33" t="n">
        <f aca="false">(ABS(C63-G63)/C63)*100</f>
        <v>0.0115247205255273</v>
      </c>
      <c r="G212" s="33" t="n">
        <f aca="false">(ABS(D63-H63)/D63)*100</f>
        <v>0.00066083807484652</v>
      </c>
      <c r="H212" s="31"/>
    </row>
    <row r="213" customFormat="false" ht="15" hidden="false" customHeight="false" outlineLevel="0" collapsed="false">
      <c r="A213" s="26"/>
      <c r="B213" s="32" t="n">
        <v>60</v>
      </c>
      <c r="C213" s="33" t="n">
        <f aca="false">(ABS(C64-E64)/C64)*100</f>
        <v>99.6799634243914</v>
      </c>
      <c r="D213" s="33" t="n">
        <f aca="false">(ABS(D64-F64)/D64)*100</f>
        <v>5.76591229148898</v>
      </c>
      <c r="E213" s="29"/>
      <c r="F213" s="33" t="n">
        <f aca="false">(ABS(C64-G64)/C64)*100</f>
        <v>0.0228597554006172</v>
      </c>
      <c r="G213" s="33" t="n">
        <f aca="false">(ABS(D64-H64)/D64)*100</f>
        <v>0.00132230530707235</v>
      </c>
      <c r="H213" s="31"/>
    </row>
    <row r="214" customFormat="false" ht="15" hidden="false" customHeight="false" outlineLevel="0" collapsed="false">
      <c r="A214" s="26"/>
      <c r="B214" s="32" t="n">
        <v>61</v>
      </c>
      <c r="C214" s="33" t="n">
        <f aca="false">(ABS(C65-E65)/C65)*100</f>
        <v>99.6739374859456</v>
      </c>
      <c r="D214" s="33" t="n">
        <f aca="false">(ABS(D65-F65)/D65)*100</f>
        <v>5.8667425515863</v>
      </c>
      <c r="E214" s="29"/>
      <c r="F214" s="33" t="n">
        <f aca="false">(ABS(C65-G65)/C65)*100</f>
        <v>0.0224870699347875</v>
      </c>
      <c r="G214" s="33" t="n">
        <f aca="false">(ABS(D65-H65)/D65)*100</f>
        <v>0.0013235741797149</v>
      </c>
      <c r="H214" s="31"/>
    </row>
    <row r="215" customFormat="false" ht="15" hidden="false" customHeight="false" outlineLevel="0" collapsed="false">
      <c r="A215" s="26"/>
      <c r="B215" s="32" t="n">
        <v>62</v>
      </c>
      <c r="C215" s="33" t="n">
        <f aca="false">(ABS(C66-E66)/C66)*100</f>
        <v>99.866325052913</v>
      </c>
      <c r="D215" s="33" t="n">
        <f aca="false">(ABS(D66-F66)/D66)*100</f>
        <v>5.93618190606729</v>
      </c>
      <c r="E215" s="29"/>
      <c r="F215" s="33" t="n">
        <f aca="false">(ABS(C66-G66)/C66)*100</f>
        <v>0.0111395789239167</v>
      </c>
      <c r="G215" s="33" t="n">
        <f aca="false">(ABS(D66-H66)/D66)*100</f>
        <v>0.000662150798222787</v>
      </c>
      <c r="H215" s="31"/>
    </row>
    <row r="216" customFormat="false" ht="15" hidden="false" customHeight="false" outlineLevel="0" collapsed="false">
      <c r="A216" s="26"/>
      <c r="B216" s="32" t="n">
        <v>63</v>
      </c>
      <c r="C216" s="33" t="n">
        <f aca="false">(ABS(C67-E67)/C67)*100</f>
        <v>99.5278875713658</v>
      </c>
      <c r="D216" s="33" t="n">
        <f aca="false">(ABS(D67-F67)/D67)*100</f>
        <v>6.00760809055483</v>
      </c>
      <c r="E216" s="29"/>
      <c r="F216" s="33" t="n">
        <f aca="false">(ABS(C67-G67)/C67)*100</f>
        <v>0.0109793588054458</v>
      </c>
      <c r="G216" s="33" t="n">
        <f aca="false">(ABS(D67-H67)/D67)*100</f>
        <v>0.000662725658086579</v>
      </c>
      <c r="H216" s="31"/>
    </row>
    <row r="217" customFormat="false" ht="15" hidden="false" customHeight="false" outlineLevel="0" collapsed="false">
      <c r="A217" s="26"/>
      <c r="B217" s="32" t="n">
        <v>64</v>
      </c>
      <c r="C217" s="33" t="n">
        <f aca="false">(ABS(C68-E68)/C68)*100</f>
        <v>98.2152633307785</v>
      </c>
      <c r="D217" s="33" t="n">
        <f aca="false">(ABS(D68-F68)/D68)*100</f>
        <v>5.94563423412675</v>
      </c>
      <c r="E217" s="29"/>
      <c r="F217" s="33" t="n">
        <f aca="false">(ABS(C68-G68)/C68)*100</f>
        <v>0.0109493047191503</v>
      </c>
      <c r="G217" s="33" t="n">
        <f aca="false">(ABS(D68-H68)/D68)*100</f>
        <v>0.000662835477606103</v>
      </c>
      <c r="H217" s="31"/>
    </row>
    <row r="218" customFormat="false" ht="15" hidden="false" customHeight="false" outlineLevel="0" collapsed="false">
      <c r="A218" s="26"/>
      <c r="B218" s="32" t="n">
        <v>65</v>
      </c>
      <c r="C218" s="33" t="n">
        <f aca="false">(ABS(C69-E69)/C69)*100</f>
        <v>99.8698199175526</v>
      </c>
      <c r="D218" s="33" t="n">
        <f aca="false">(ABS(D69-F69)/D69)*100</f>
        <v>6.10550330941359</v>
      </c>
      <c r="E218" s="29"/>
      <c r="F218" s="33" t="n">
        <f aca="false">(ABS(C69-G69)/C69)*100</f>
        <v>0</v>
      </c>
      <c r="G218" s="33" t="n">
        <f aca="false">(ABS(D69-H69)/D69)*100</f>
        <v>0</v>
      </c>
      <c r="H218" s="31"/>
    </row>
    <row r="219" customFormat="false" ht="15" hidden="false" customHeight="false" outlineLevel="0" collapsed="false">
      <c r="A219" s="26"/>
      <c r="B219" s="32" t="n">
        <v>66</v>
      </c>
      <c r="C219" s="33" t="n">
        <f aca="false">(ABS(C70-E70)/C70)*100</f>
        <v>91.7339360671618</v>
      </c>
      <c r="D219" s="33" t="n">
        <f aca="false">(ABS(D70-F70)/D70)*100</f>
        <v>5.65526942651069</v>
      </c>
      <c r="E219" s="29"/>
      <c r="F219" s="33" t="n">
        <f aca="false">(ABS(C70-G70)/C70)*100</f>
        <v>0.0215262081584329</v>
      </c>
      <c r="G219" s="33" t="n">
        <f aca="false">(ABS(D70-H70)/D70)*100</f>
        <v>0.00132706075947687</v>
      </c>
      <c r="H219" s="31"/>
    </row>
    <row r="220" customFormat="false" ht="15" hidden="false" customHeight="false" outlineLevel="0" collapsed="false">
      <c r="A220" s="26"/>
      <c r="B220" s="32" t="n">
        <v>67</v>
      </c>
      <c r="C220" s="33" t="n">
        <f aca="false">(ABS(C71-E71)/C71)*100</f>
        <v>98.7308020477816</v>
      </c>
      <c r="D220" s="33" t="n">
        <f aca="false">(ABS(D71-F71)/D71)*100</f>
        <v>6.14576694285107</v>
      </c>
      <c r="E220" s="29"/>
      <c r="F220" s="33" t="n">
        <f aca="false">(ABS(C71-G71)/C71)*100</f>
        <v>0.0106655290102389</v>
      </c>
      <c r="G220" s="33" t="n">
        <f aca="false">(ABS(D71-H71)/D71)*100</f>
        <v>0.000663904822604631</v>
      </c>
      <c r="H220" s="31"/>
    </row>
    <row r="221" customFormat="false" ht="15" hidden="false" customHeight="false" outlineLevel="0" collapsed="false">
      <c r="A221" s="26"/>
      <c r="B221" s="32" t="n">
        <v>68</v>
      </c>
      <c r="C221" s="33" t="n">
        <f aca="false">(ABS(C72-E72)/C72)*100</f>
        <v>99.9464381360471</v>
      </c>
      <c r="D221" s="33" t="n">
        <f aca="false">(ABS(D72-F72)/D72)*100</f>
        <v>6.19254637772542</v>
      </c>
      <c r="E221" s="29"/>
      <c r="F221" s="33" t="n">
        <f aca="false">(ABS(C72-G72)/C72)*100</f>
        <v>0.0214247455811462</v>
      </c>
      <c r="G221" s="33" t="n">
        <f aca="false">(ABS(D72-H72)/D72)*100</f>
        <v>0.00132744831248133</v>
      </c>
      <c r="H221" s="31"/>
    </row>
    <row r="222" customFormat="false" ht="15" hidden="false" customHeight="false" outlineLevel="0" collapsed="false">
      <c r="A222" s="26"/>
      <c r="B222" s="32" t="n">
        <v>69</v>
      </c>
      <c r="C222" s="33" t="n">
        <f aca="false">(ABS(C73-E73)/C73)*100</f>
        <v>99.7763816419977</v>
      </c>
      <c r="D222" s="33" t="n">
        <f aca="false">(ABS(D73-F73)/D73)*100</f>
        <v>6.22140775119681</v>
      </c>
      <c r="E222" s="29"/>
      <c r="F222" s="33" t="n">
        <f aca="false">(ABS(C73-G73)/C73)*100</f>
        <v>0.0106484932382068</v>
      </c>
      <c r="G222" s="33" t="n">
        <f aca="false">(ABS(D73-H73)/D73)*100</f>
        <v>0.000663970944631463</v>
      </c>
      <c r="H222" s="31"/>
    </row>
    <row r="223" customFormat="false" ht="15" hidden="false" customHeight="false" outlineLevel="0" collapsed="false">
      <c r="A223" s="26"/>
      <c r="B223" s="32" t="n">
        <v>70</v>
      </c>
      <c r="C223" s="33" t="n">
        <f aca="false">(ABS(C74-E74)/C74)*100</f>
        <v>99.5851505159026</v>
      </c>
      <c r="D223" s="33" t="n">
        <f aca="false">(ABS(D74-F74)/D74)*100</f>
        <v>6.21650874175791</v>
      </c>
      <c r="E223" s="29"/>
      <c r="F223" s="33" t="n">
        <f aca="false">(ABS(C74-G74)/C74)*100</f>
        <v>0.0319114987767259</v>
      </c>
      <c r="G223" s="33" t="n">
        <f aca="false">(ABS(D74-H74)/D74)*100</f>
        <v>0.00199204509990106</v>
      </c>
      <c r="H223" s="31"/>
    </row>
    <row r="224" customFormat="false" ht="15" hidden="false" customHeight="false" outlineLevel="0" collapsed="false">
      <c r="A224" s="26"/>
      <c r="B224" s="32" t="n">
        <v>71</v>
      </c>
      <c r="C224" s="33" t="n">
        <f aca="false">(ABS(C75-E75)/C75)*100</f>
        <v>98.6582898519859</v>
      </c>
      <c r="D224" s="33" t="n">
        <f aca="false">(ABS(D75-F75)/D75)*100</f>
        <v>6.1516908020105</v>
      </c>
      <c r="E224" s="29"/>
      <c r="F224" s="33" t="n">
        <f aca="false">(ABS(C75-G75)/C75)*100</f>
        <v>0.0106484932382068</v>
      </c>
      <c r="G224" s="33" t="n">
        <f aca="false">(ABS(D75-H75)/D75)*100</f>
        <v>0.000663970944631463</v>
      </c>
      <c r="H224" s="31"/>
    </row>
    <row r="225" customFormat="false" ht="15" hidden="false" customHeight="false" outlineLevel="0" collapsed="false">
      <c r="A225" s="26"/>
      <c r="B225" s="32" t="n">
        <v>72</v>
      </c>
      <c r="C225" s="33" t="n">
        <f aca="false">(ABS(C76-E76)/C76)*100</f>
        <v>95.4248366013072</v>
      </c>
      <c r="D225" s="33" t="n">
        <f aca="false">(ABS(D76-F76)/D76)*100</f>
        <v>5.91104886936091</v>
      </c>
      <c r="E225" s="29"/>
      <c r="F225" s="33" t="n">
        <f aca="false">(ABS(C76-G76)/C76)*100</f>
        <v>0.0321440051430408</v>
      </c>
      <c r="G225" s="33" t="n">
        <f aca="false">(ABS(D76-H76)/D76)*100</f>
        <v>0.00199114603728753</v>
      </c>
      <c r="H225" s="31"/>
    </row>
    <row r="226" customFormat="false" ht="15" hidden="false" customHeight="false" outlineLevel="0" collapsed="false">
      <c r="A226" s="26"/>
      <c r="B226" s="32" t="n">
        <v>73</v>
      </c>
      <c r="C226" s="33" t="n">
        <f aca="false">(ABS(C77-E77)/C77)*100</f>
        <v>99.9037639007699</v>
      </c>
      <c r="D226" s="33" t="n">
        <f aca="false">(ABS(D77-F77)/D77)*100</f>
        <v>6.20187456853062</v>
      </c>
      <c r="E226" s="29"/>
      <c r="F226" s="33" t="n">
        <f aca="false">(ABS(C77-G77)/C77)*100</f>
        <v>0.0106928999144568</v>
      </c>
      <c r="G226" s="33" t="n">
        <f aca="false">(ABS(D77-H77)/D77)*100</f>
        <v>0.000663799054750146</v>
      </c>
      <c r="H226" s="31"/>
    </row>
    <row r="227" customFormat="false" ht="15" hidden="false" customHeight="false" outlineLevel="0" collapsed="false">
      <c r="A227" s="26"/>
      <c r="B227" s="32" t="n">
        <v>74</v>
      </c>
      <c r="C227" s="33" t="n">
        <f aca="false">(ABS(C78-E78)/C78)*100</f>
        <v>99.9031320632871</v>
      </c>
      <c r="D227" s="33" t="n">
        <f aca="false">(ABS(D78-F78)/D78)*100</f>
        <v>6.15888898473217</v>
      </c>
      <c r="E227" s="29"/>
      <c r="F227" s="33" t="n">
        <f aca="false">(ABS(C78-G78)/C78)*100</f>
        <v>0.0107631040792164</v>
      </c>
      <c r="G227" s="33" t="n">
        <f aca="false">(ABS(D78-H78)/D78)*100</f>
        <v>0.000663530379738436</v>
      </c>
      <c r="H227" s="31"/>
    </row>
    <row r="228" customFormat="false" ht="15" hidden="false" customHeight="false" outlineLevel="0" collapsed="false">
      <c r="A228" s="26"/>
      <c r="B228" s="32" t="n">
        <v>75</v>
      </c>
      <c r="C228" s="33" t="n">
        <f aca="false">(ABS(C79-E79)/C79)*100</f>
        <v>85.443722943723</v>
      </c>
      <c r="D228" s="33" t="n">
        <f aca="false">(ABS(D79-F79)/D79)*100</f>
        <v>5.23680021225789</v>
      </c>
      <c r="E228" s="29"/>
      <c r="F228" s="33" t="n">
        <f aca="false">(ABS(C79-G79)/C79)*100</f>
        <v>0.0108225108225108</v>
      </c>
      <c r="G228" s="33" t="n">
        <f aca="false">(ABS(D79-H79)/D79)*100</f>
        <v>0.000663305916688777</v>
      </c>
      <c r="H228" s="31"/>
    </row>
    <row r="229" customFormat="false" ht="15" hidden="false" customHeight="false" outlineLevel="0" collapsed="false">
      <c r="A229" s="26"/>
      <c r="B229" s="32" t="n">
        <v>76</v>
      </c>
      <c r="C229" s="33" t="n">
        <f aca="false">(ABS(C80-E80)/C80)*100</f>
        <v>99.6827827608838</v>
      </c>
      <c r="D229" s="33" t="n">
        <f aca="false">(ABS(D80-F80)/D80)*100</f>
        <v>6.04078007132535</v>
      </c>
      <c r="E229" s="29"/>
      <c r="F229" s="33" t="n">
        <f aca="false">(ABS(C80-G80)/C80)*100</f>
        <v>0.0109385254867644</v>
      </c>
      <c r="G229" s="33" t="n">
        <f aca="false">(ABS(D80-H80)/D80)*100</f>
        <v>0.000662875021543438</v>
      </c>
      <c r="H229" s="31"/>
    </row>
    <row r="230" customFormat="false" ht="15" hidden="false" customHeight="false" outlineLevel="0" collapsed="false">
      <c r="A230" s="26"/>
      <c r="B230" s="32" t="n">
        <v>77</v>
      </c>
      <c r="C230" s="33" t="n">
        <f aca="false">(ABS(C81-E81)/C81)*100</f>
        <v>99.8792270531401</v>
      </c>
      <c r="D230" s="33" t="n">
        <f aca="false">(ABS(D81-F81)/D81)*100</f>
        <v>6.0288153116136</v>
      </c>
      <c r="E230" s="29"/>
      <c r="F230" s="33" t="n">
        <f aca="false">(ABS(C81-G81)/C81)*100</f>
        <v>0.0219587176108915</v>
      </c>
      <c r="G230" s="33" t="n">
        <f aca="false">(ABS(D81-H81)/D81)*100</f>
        <v>0.00132545131617316</v>
      </c>
      <c r="H230" s="31"/>
    </row>
    <row r="231" customFormat="false" ht="15" hidden="false" customHeight="false" outlineLevel="0" collapsed="false">
      <c r="A231" s="26"/>
      <c r="B231" s="32" t="n">
        <v>78</v>
      </c>
      <c r="C231" s="33" t="n">
        <f aca="false">(ABS(C82-E82)/C82)*100</f>
        <v>99.4777197466385</v>
      </c>
      <c r="D231" s="33" t="n">
        <f aca="false">(ABS(D82-F82)/D82)*100</f>
        <v>5.92843756001616</v>
      </c>
      <c r="E231" s="29"/>
      <c r="F231" s="33" t="n">
        <f aca="false">(ABS(C82-G82)/C82)*100</f>
        <v>0.0111123458162018</v>
      </c>
      <c r="G231" s="33" t="n">
        <f aca="false">(ABS(D82-H82)/D82)*100</f>
        <v>0.00066224726988563</v>
      </c>
      <c r="H231" s="31"/>
    </row>
    <row r="232" customFormat="false" ht="15" hidden="false" customHeight="false" outlineLevel="0" collapsed="false">
      <c r="A232" s="26"/>
      <c r="B232" s="32" t="n">
        <v>79</v>
      </c>
      <c r="C232" s="33" t="n">
        <f aca="false">(ABS(C83-E83)/C83)*100</f>
        <v>97.2340903980211</v>
      </c>
      <c r="D232" s="33" t="n">
        <f aca="false">(ABS(D83-F83)/D83)*100</f>
        <v>5.72313475308724</v>
      </c>
      <c r="E232" s="29"/>
      <c r="F232" s="33" t="n">
        <f aca="false">(ABS(C83-G83)/C83)*100</f>
        <v>0.0112435349673937</v>
      </c>
      <c r="G232" s="33" t="n">
        <f aca="false">(ABS(D83-H83)/D83)*100</f>
        <v>0.000661787089857451</v>
      </c>
      <c r="H232" s="31"/>
    </row>
    <row r="233" customFormat="false" ht="15" hidden="false" customHeight="false" outlineLevel="0" collapsed="false">
      <c r="A233" s="26"/>
      <c r="B233" s="32" t="n">
        <v>80</v>
      </c>
      <c r="C233" s="33" t="n">
        <f aca="false">(ABS(C84-E84)/C84)*100</f>
        <v>83.1637901474454</v>
      </c>
      <c r="D233" s="33" t="n">
        <f aca="false">(ABS(D84-F84)/D84)*100</f>
        <v>4.81054670712921</v>
      </c>
      <c r="E233" s="29"/>
      <c r="F233" s="33" t="n">
        <f aca="false">(ABS(C84-G84)/C84)*100</f>
        <v>0.0228597554006172</v>
      </c>
      <c r="G233" s="33" t="n">
        <f aca="false">(ABS(D84-H84)/D84)*100</f>
        <v>0.00132230530707235</v>
      </c>
      <c r="H233" s="31"/>
    </row>
    <row r="234" customFormat="false" ht="15" hidden="false" customHeight="false" outlineLevel="0" collapsed="false">
      <c r="A234" s="26"/>
      <c r="B234" s="32" t="n">
        <v>81</v>
      </c>
      <c r="C234" s="33" t="n">
        <f aca="false">(ABS(C85-E85)/C85)*100</f>
        <v>99.781030310015</v>
      </c>
      <c r="D234" s="33" t="n">
        <f aca="false">(ABS(D85-F85)/D85)*100</f>
        <v>5.72153605202117</v>
      </c>
      <c r="E234" s="29"/>
      <c r="F234" s="33" t="n">
        <f aca="false">(ABS(C85-G85)/C85)*100</f>
        <v>0.0230494410510545</v>
      </c>
      <c r="G234" s="33" t="n">
        <f aca="false">(ABS(D85-H85)/D85)*100</f>
        <v>0.00132167614969304</v>
      </c>
      <c r="H234" s="31"/>
    </row>
    <row r="235" customFormat="false" ht="15" hidden="false" customHeight="false" outlineLevel="0" collapsed="false">
      <c r="A235" s="26"/>
      <c r="B235" s="32" t="n">
        <v>82</v>
      </c>
      <c r="C235" s="33" t="n">
        <f aca="false">(ABS(C86-E86)/C86)*100</f>
        <v>94.5207086706559</v>
      </c>
      <c r="D235" s="33" t="n">
        <f aca="false">(ABS(D86-F86)/D86)*100</f>
        <v>5.3182991477254</v>
      </c>
      <c r="E235" s="29"/>
      <c r="F235" s="33" t="n">
        <f aca="false">(ABS(C86-G86)/C86)*100</f>
        <v>0.0117329578786812</v>
      </c>
      <c r="G235" s="33" t="n">
        <f aca="false">(ABS(D86-H86)/D86)*100</f>
        <v>0.000660166229856678</v>
      </c>
      <c r="H235" s="31"/>
    </row>
    <row r="236" customFormat="false" ht="15" hidden="false" customHeight="false" outlineLevel="0" collapsed="false">
      <c r="A236" s="26"/>
      <c r="B236" s="32" t="n">
        <v>83</v>
      </c>
      <c r="C236" s="33" t="n">
        <f aca="false">(ABS(C87-E87)/C87)*100</f>
        <v>99.8318924111431</v>
      </c>
      <c r="D236" s="33" t="n">
        <f aca="false">(ABS(D87-F87)/D87)*100</f>
        <v>5.48156548341157</v>
      </c>
      <c r="E236" s="29"/>
      <c r="F236" s="33" t="n">
        <f aca="false">(ABS(C87-G87)/C87)*100</f>
        <v>0.0120076849183477</v>
      </c>
      <c r="G236" s="33" t="n">
        <f aca="false">(ABS(D87-H87)/D87)*100</f>
        <v>0.000659317474550346</v>
      </c>
      <c r="H236" s="31"/>
    </row>
    <row r="237" customFormat="false" ht="15" hidden="false" customHeight="false" outlineLevel="0" collapsed="false">
      <c r="A237" s="26"/>
      <c r="B237" s="32" t="n">
        <v>84</v>
      </c>
      <c r="C237" s="33" t="n">
        <f aca="false">(ABS(C88-E88)/C88)*100</f>
        <v>99.9148625638531</v>
      </c>
      <c r="D237" s="33" t="n">
        <f aca="false">(ABS(D88-F88)/D88)*100</f>
        <v>5.41251037699798</v>
      </c>
      <c r="E237" s="29"/>
      <c r="F237" s="33" t="n">
        <f aca="false">(ABS(C88-G88)/C88)*100</f>
        <v>0.072974945268791</v>
      </c>
      <c r="G237" s="33" t="n">
        <f aca="false">(ABS(D88-H88)/D88)*100</f>
        <v>0.00395314208910382</v>
      </c>
      <c r="H237" s="31"/>
    </row>
    <row r="238" customFormat="false" ht="15" hidden="false" customHeight="false" outlineLevel="0" collapsed="false">
      <c r="A238" s="26"/>
      <c r="B238" s="32" t="n">
        <v>85</v>
      </c>
      <c r="C238" s="33" t="n">
        <f aca="false">(ABS(C89-E89)/C89)*100</f>
        <v>99.4167287168032</v>
      </c>
      <c r="D238" s="33" t="n">
        <f aca="false">(ABS(D89-F89)/D89)*100</f>
        <v>5.27240657619355</v>
      </c>
      <c r="E238" s="29"/>
      <c r="F238" s="33" t="n">
        <f aca="false">(ABS(C89-G89)/C89)*100</f>
        <v>0</v>
      </c>
      <c r="G238" s="33" t="n">
        <f aca="false">(ABS(D89-H89)/D89)*100</f>
        <v>0</v>
      </c>
      <c r="H238" s="31"/>
    </row>
    <row r="239" customFormat="false" ht="15" hidden="false" customHeight="false" outlineLevel="0" collapsed="false">
      <c r="A239" s="26"/>
      <c r="B239" s="32" t="n">
        <v>86</v>
      </c>
      <c r="C239" s="33" t="n">
        <f aca="false">(ABS(C90-E90)/C90)*100</f>
        <v>99.6436752354289</v>
      </c>
      <c r="D239" s="33" t="n">
        <f aca="false">(ABS(D90-F90)/D90)*100</f>
        <v>5.14650786764996</v>
      </c>
      <c r="E239" s="29"/>
      <c r="F239" s="33" t="n">
        <f aca="false">(ABS(C90-G90)/C90)*100</f>
        <v>0</v>
      </c>
      <c r="G239" s="33" t="n">
        <f aca="false">(ABS(D90-H90)/D90)*100</f>
        <v>0</v>
      </c>
      <c r="H239" s="31"/>
    </row>
    <row r="240" customFormat="false" ht="15" hidden="false" customHeight="false" outlineLevel="0" collapsed="false">
      <c r="A240" s="26"/>
      <c r="B240" s="32" t="n">
        <v>87</v>
      </c>
      <c r="C240" s="33" t="n">
        <f aca="false">(ABS(C91-E91)/C91)*100</f>
        <v>99.7777777777778</v>
      </c>
      <c r="D240" s="33" t="n">
        <f aca="false">(ABS(D91-F91)/D91)*100</f>
        <v>5.01017394158188</v>
      </c>
      <c r="E240" s="29"/>
      <c r="F240" s="33" t="n">
        <f aca="false">(ABS(C91-G91)/C91)*100</f>
        <v>0.0392156862745098</v>
      </c>
      <c r="G240" s="33" t="n">
        <f aca="false">(ABS(D91-H91)/D91)*100</f>
        <v>0.00196914998359042</v>
      </c>
      <c r="H240" s="31"/>
    </row>
    <row r="241" customFormat="false" ht="15" hidden="false" customHeight="false" outlineLevel="0" collapsed="false">
      <c r="A241" s="26"/>
      <c r="B241" s="32" t="n">
        <v>88</v>
      </c>
      <c r="C241" s="33" t="n">
        <f aca="false">(ABS(C92-E92)/C92)*100</f>
        <v>99.0189490659858</v>
      </c>
      <c r="D241" s="33" t="n">
        <f aca="false">(ABS(D92-F92)/D92)*100</f>
        <v>4.82960690618056</v>
      </c>
      <c r="E241" s="29"/>
      <c r="F241" s="33" t="n">
        <f aca="false">(ABS(C92-G92)/C92)*100</f>
        <v>0.0403171616718183</v>
      </c>
      <c r="G241" s="33" t="n">
        <f aca="false">(ABS(D92-H92)/D92)*100</f>
        <v>0.00196645232336342</v>
      </c>
      <c r="H241" s="31"/>
    </row>
    <row r="242" customFormat="false" ht="15" hidden="false" customHeight="false" outlineLevel="0" collapsed="false">
      <c r="A242" s="26"/>
      <c r="B242" s="32" t="n">
        <v>89</v>
      </c>
      <c r="C242" s="33" t="n">
        <f aca="false">(ABS(C93-E93)/C93)*100</f>
        <v>95.4181916768334</v>
      </c>
      <c r="D242" s="33" t="n">
        <f aca="false">(ABS(D93-F93)/D93)*100</f>
        <v>4.61201784789973</v>
      </c>
      <c r="E242" s="29"/>
      <c r="F242" s="33" t="n">
        <f aca="false">(ABS(C93-G93)/C93)*100</f>
        <v>0.0406669377795852</v>
      </c>
      <c r="G242" s="33" t="n">
        <f aca="false">(ABS(D93-H93)/D93)*100</f>
        <v>0.00196562772321341</v>
      </c>
      <c r="H242" s="31"/>
    </row>
    <row r="243" customFormat="false" ht="15" hidden="false" customHeight="false" outlineLevel="0" collapsed="false">
      <c r="A243" s="26"/>
      <c r="B243" s="32" t="n">
        <v>90</v>
      </c>
      <c r="C243" s="33" t="n">
        <f aca="false">(ABS(C94-E94)/C94)*100</f>
        <v>99.5625793706787</v>
      </c>
      <c r="D243" s="33" t="n">
        <f aca="false">(ABS(D94-F94)/D94)*100</f>
        <v>4.61438857389496</v>
      </c>
      <c r="E243" s="29"/>
      <c r="F243" s="33" t="n">
        <f aca="false">(ABS(C94-G94)/C94)*100</f>
        <v>0.014110342881332</v>
      </c>
      <c r="G243" s="33" t="n">
        <f aca="false">(ABS(D94-H94)/D94)*100</f>
        <v>0.000653966634622302</v>
      </c>
      <c r="H243" s="31"/>
    </row>
    <row r="244" customFormat="false" ht="15" hidden="false" customHeight="false" outlineLevel="0" collapsed="false">
      <c r="A244" s="26"/>
      <c r="B244" s="32" t="n">
        <v>91</v>
      </c>
      <c r="C244" s="33" t="n">
        <f aca="false">(ABS(C95-E95)/C95)*100</f>
        <v>93.720017444396</v>
      </c>
      <c r="D244" s="33" t="n">
        <f aca="false">(ABS(D95-F95)/D95)*100</f>
        <v>4.21039570013258</v>
      </c>
      <c r="E244" s="29"/>
      <c r="F244" s="33" t="n">
        <f aca="false">(ABS(C95-G95)/C95)*100</f>
        <v>0.0290739933129815</v>
      </c>
      <c r="G244" s="33" t="n">
        <f aca="false">(ABS(D95-H95)/D95)*100</f>
        <v>0.00130615656898792</v>
      </c>
      <c r="H244" s="31"/>
    </row>
    <row r="245" customFormat="false" ht="15" hidden="false" customHeight="false" outlineLevel="0" collapsed="false">
      <c r="A245" s="26"/>
      <c r="B245" s="32" t="n">
        <v>92</v>
      </c>
      <c r="C245" s="33" t="n">
        <f aca="false">(ABS(C96-E96)/C96)*100</f>
        <v>95.2264381884945</v>
      </c>
      <c r="D245" s="33" t="n">
        <f aca="false">(ABS(D96-F96)/D96)*100</f>
        <v>4.05567429494865</v>
      </c>
      <c r="E245" s="29"/>
      <c r="F245" s="33" t="n">
        <f aca="false">(ABS(C96-G96)/C96)*100</f>
        <v>0.0305997552019584</v>
      </c>
      <c r="G245" s="33" t="n">
        <f aca="false">(ABS(D96-H96)/D96)*100</f>
        <v>0.00130323724130741</v>
      </c>
      <c r="H245" s="31"/>
    </row>
    <row r="246" customFormat="false" ht="15" hidden="false" customHeight="false" outlineLevel="0" collapsed="false">
      <c r="A246" s="26"/>
      <c r="B246" s="32" t="n">
        <v>93</v>
      </c>
      <c r="C246" s="33" t="n">
        <f aca="false">(ABS(C97-E97)/C97)*100</f>
        <v>99.7684113015285</v>
      </c>
      <c r="D246" s="33" t="n">
        <f aca="false">(ABS(D97-F97)/D97)*100</f>
        <v>4.20914130130339</v>
      </c>
      <c r="E246" s="29"/>
      <c r="F246" s="33" t="n">
        <f aca="false">(ABS(C97-G97)/C97)*100</f>
        <v>0.0308784931295353</v>
      </c>
      <c r="G246" s="33" t="n">
        <f aca="false">(ABS(D97-H97)/D97)*100</f>
        <v>0.00130273639780359</v>
      </c>
      <c r="H246" s="31"/>
    </row>
    <row r="247" customFormat="false" ht="15" hidden="false" customHeight="false" outlineLevel="0" collapsed="false">
      <c r="A247" s="26"/>
      <c r="B247" s="32" t="n">
        <v>94</v>
      </c>
      <c r="C247" s="33" t="n">
        <f aca="false">(ABS(C98-E98)/C98)*100</f>
        <v>94.5130755655383</v>
      </c>
      <c r="D247" s="33" t="n">
        <f aca="false">(ABS(D98-F98)/D98)*100</f>
        <v>3.83112111181203</v>
      </c>
      <c r="E247" s="29"/>
      <c r="F247" s="33" t="n">
        <f aca="false">(ABS(C98-G98)/C98)*100</f>
        <v>0.0802181934862827</v>
      </c>
      <c r="G247" s="33" t="n">
        <f aca="false">(ABS(D98-H98)/D98)*100</f>
        <v>0.00325167298575117</v>
      </c>
      <c r="H247" s="31"/>
    </row>
    <row r="248" customFormat="false" ht="15" hidden="false" customHeight="false" outlineLevel="0" collapsed="false">
      <c r="A248" s="26"/>
      <c r="B248" s="32" t="n">
        <v>95</v>
      </c>
      <c r="C248" s="33" t="n">
        <f aca="false">(ABS(C99-E99)/C99)*100</f>
        <v>96.125584502338</v>
      </c>
      <c r="D248" s="33" t="n">
        <f aca="false">(ABS(D99-F99)/D99)*100</f>
        <v>3.73737111393917</v>
      </c>
      <c r="E248" s="29"/>
      <c r="F248" s="33" t="n">
        <f aca="false">(ABS(C99-G99)/C99)*100</f>
        <v>0.083500334001336</v>
      </c>
      <c r="G248" s="33" t="n">
        <f aca="false">(ABS(D99-H99)/D99)*100</f>
        <v>0.00324650027270602</v>
      </c>
      <c r="H248" s="31"/>
    </row>
    <row r="249" customFormat="false" ht="15" hidden="false" customHeight="false" outlineLevel="0" collapsed="false">
      <c r="A249" s="26"/>
      <c r="B249" s="32" t="n">
        <v>96</v>
      </c>
      <c r="C249" s="33" t="n">
        <f aca="false">(ABS(C100-E100)/C100)*100</f>
        <v>99.7566063977747</v>
      </c>
      <c r="D249" s="33" t="n">
        <f aca="false">(ABS(D100-F100)/D100)*100</f>
        <v>3.71998340335045</v>
      </c>
      <c r="E249" s="29"/>
      <c r="F249" s="33" t="n">
        <f aca="false">(ABS(C100-G100)/C100)*100</f>
        <v>0.0347705146036161</v>
      </c>
      <c r="G249" s="33" t="n">
        <f aca="false">(ABS(D100-H100)/D100)*100</f>
        <v>0.00129661324620092</v>
      </c>
      <c r="H249" s="31"/>
    </row>
    <row r="250" customFormat="false" ht="15" hidden="false" customHeight="false" outlineLevel="0" collapsed="false">
      <c r="A250" s="26"/>
      <c r="B250" s="32" t="n">
        <v>97</v>
      </c>
      <c r="C250" s="33" t="n">
        <f aca="false">(ABS(C101-E101)/C101)*100</f>
        <v>96.2196861626248</v>
      </c>
      <c r="D250" s="33" t="n">
        <f aca="false">(ABS(D101-F101)/D101)*100</f>
        <v>3.49499974091922</v>
      </c>
      <c r="E250" s="29"/>
      <c r="F250" s="33" t="n">
        <f aca="false">(ABS(C101-G101)/C101)*100</f>
        <v>0.0713266761768902</v>
      </c>
      <c r="G250" s="33" t="n">
        <f aca="false">(ABS(D101-H101)/D101)*100</f>
        <v>0.00259080781387637</v>
      </c>
      <c r="H250" s="31"/>
    </row>
    <row r="251" customFormat="false" ht="15" hidden="false" customHeight="false" outlineLevel="0" collapsed="false">
      <c r="A251" s="26"/>
      <c r="B251" s="32" t="n">
        <v>98</v>
      </c>
      <c r="C251" s="33" t="n">
        <f aca="false">(ABS(C102-E102)/C102)*100</f>
        <v>92.2489286379728</v>
      </c>
      <c r="D251" s="33" t="n">
        <f aca="false">(ABS(D102-F102)/D102)*100</f>
        <v>3.201774524196</v>
      </c>
      <c r="E251" s="29"/>
      <c r="F251" s="33" t="n">
        <f aca="false">(ABS(C102-G102)/C102)*100</f>
        <v>0.0558971492453885</v>
      </c>
      <c r="G251" s="33" t="n">
        <f aca="false">(ABS(D102-H102)/D102)*100</f>
        <v>0.00194007747376045</v>
      </c>
      <c r="H251" s="31"/>
    </row>
    <row r="252" customFormat="false" ht="15" hidden="false" customHeight="false" outlineLevel="0" collapsed="false">
      <c r="A252" s="26"/>
      <c r="B252" s="32" t="n">
        <v>99</v>
      </c>
      <c r="C252" s="33" t="n">
        <f aca="false">(ABS(C103-E103)/C103)*100</f>
        <v>99.5711500974659</v>
      </c>
      <c r="D252" s="33" t="n">
        <f aca="false">(ABS(D103-F103)/D103)*100</f>
        <v>3.29825014528314</v>
      </c>
      <c r="E252" s="29"/>
      <c r="F252" s="33" t="n">
        <f aca="false">(ABS(C103-G103)/C103)*100</f>
        <v>0.0584795321637427</v>
      </c>
      <c r="G252" s="33" t="n">
        <f aca="false">(ABS(D103-H103)/D103)*100</f>
        <v>0.00193710854264867</v>
      </c>
      <c r="H252" s="31"/>
    </row>
    <row r="253" customFormat="false" ht="15" hidden="false" customHeight="false" outlineLevel="0" collapsed="false">
      <c r="A253" s="26"/>
      <c r="B253" s="32" t="n">
        <v>100</v>
      </c>
      <c r="C253" s="33" t="n">
        <f aca="false">(ABS(C104-E104)/C104)*100</f>
        <v>99.8185483870968</v>
      </c>
      <c r="D253" s="33" t="n">
        <f aca="false">(ABS(D104-F104)/D104)*100</f>
        <v>3.19336945304438</v>
      </c>
      <c r="E253" s="29"/>
      <c r="F253" s="33" t="n">
        <f aca="false">(ABS(C104-G104)/C104)*100</f>
        <v>0</v>
      </c>
      <c r="G253" s="33" t="n">
        <f aca="false">(ABS(D104-H104)/D104)*100</f>
        <v>0</v>
      </c>
      <c r="H253" s="31"/>
    </row>
    <row r="254" customFormat="false" ht="15" hidden="false" customHeight="false" outlineLevel="0" collapsed="false">
      <c r="A254" s="26"/>
      <c r="B254" s="32" t="n">
        <v>101</v>
      </c>
      <c r="C254" s="33" t="n">
        <f aca="false">(ABS(C105-E105)/C105)*100</f>
        <v>99.8715478484265</v>
      </c>
      <c r="D254" s="33" t="n">
        <f aca="false">(ABS(D105-F105)/D105)*100</f>
        <v>3.00330266724179</v>
      </c>
      <c r="E254" s="29"/>
      <c r="F254" s="33" t="n">
        <f aca="false">(ABS(C105-G105)/C105)*100</f>
        <v>0.0856347677156926</v>
      </c>
      <c r="G254" s="33" t="n">
        <f aca="false">(ABS(D105-H105)/D105)*100</f>
        <v>0.00257517913589864</v>
      </c>
      <c r="H254" s="31"/>
    </row>
    <row r="255" customFormat="false" ht="15" hidden="false" customHeight="false" outlineLevel="0" collapsed="false">
      <c r="A255" s="26"/>
      <c r="B255" s="32" t="n">
        <v>102</v>
      </c>
      <c r="C255" s="33" t="n">
        <f aca="false">(ABS(C106-E106)/C106)*100</f>
        <v>99.023307436182</v>
      </c>
      <c r="D255" s="33" t="n">
        <f aca="false">(ABS(D106-F106)/D106)*100</f>
        <v>2.86890253705907</v>
      </c>
      <c r="E255" s="29"/>
      <c r="F255" s="33" t="n">
        <f aca="false">(ABS(C106-G106)/C106)*100</f>
        <v>0.0665926748057714</v>
      </c>
      <c r="G255" s="33" t="n">
        <f aca="false">(ABS(D106-H106)/D106)*100</f>
        <v>0.00192932248625358</v>
      </c>
      <c r="H255" s="31"/>
    </row>
    <row r="256" customFormat="false" ht="15" hidden="false" customHeight="false" outlineLevel="0" collapsed="false">
      <c r="A256" s="26"/>
      <c r="B256" s="32" t="n">
        <v>103</v>
      </c>
      <c r="C256" s="33" t="n">
        <f aca="false">(ABS(C107-E107)/C107)*100</f>
        <v>99.2724712508801</v>
      </c>
      <c r="D256" s="33" t="n">
        <f aca="false">(ABS(D107-F107)/D107)*100</f>
        <v>2.71608267678616</v>
      </c>
      <c r="E256" s="29"/>
      <c r="F256" s="33" t="n">
        <f aca="false">(ABS(C107-G107)/C107)*100</f>
        <v>0.0234686693264492</v>
      </c>
      <c r="G256" s="33" t="n">
        <f aca="false">(ABS(D107-H107)/D107)*100</f>
        <v>0.000642099923590109</v>
      </c>
      <c r="H256" s="31"/>
    </row>
    <row r="257" customFormat="false" ht="15" hidden="false" customHeight="false" outlineLevel="0" collapsed="false">
      <c r="A257" s="26"/>
      <c r="B257" s="32" t="n">
        <v>104</v>
      </c>
      <c r="C257" s="33" t="n">
        <f aca="false">(ABS(C108-E108)/C108)*100</f>
        <v>98.2089552238806</v>
      </c>
      <c r="D257" s="33" t="n">
        <f aca="false">(ABS(D108-F108)/D108)*100</f>
        <v>2.53109372996538</v>
      </c>
      <c r="E257" s="29"/>
      <c r="F257" s="33" t="n">
        <f aca="false">(ABS(C108-G108)/C108)*100</f>
        <v>0.0746268656716418</v>
      </c>
      <c r="G257" s="33" t="n">
        <f aca="false">(ABS(D108-H108)/D108)*100</f>
        <v>0.00192332350301321</v>
      </c>
      <c r="H257" s="31"/>
    </row>
    <row r="258" customFormat="false" ht="15" hidden="false" customHeight="false" outlineLevel="0" collapsed="false">
      <c r="A258" s="26"/>
      <c r="B258" s="32" t="n">
        <v>105</v>
      </c>
      <c r="C258" s="33" t="n">
        <f aca="false">(ABS(C109-E109)/C109)*100</f>
        <v>99.5590142671855</v>
      </c>
      <c r="D258" s="33" t="n">
        <f aca="false">(ABS(D109-F109)/D109)*100</f>
        <v>2.45797175702072</v>
      </c>
      <c r="E258" s="29"/>
      <c r="F258" s="33" t="n">
        <f aca="false">(ABS(C109-G109)/C109)*100</f>
        <v>0.285343709468223</v>
      </c>
      <c r="G258" s="33" t="n">
        <f aca="false">(ABS(D109-H109)/D109)*100</f>
        <v>0.00704473406128919</v>
      </c>
      <c r="H258" s="31"/>
    </row>
    <row r="259" customFormat="false" ht="15" hidden="false" customHeight="false" outlineLevel="0" collapsed="false">
      <c r="A259" s="26"/>
      <c r="B259" s="32" t="n">
        <v>106</v>
      </c>
      <c r="C259" s="33" t="n">
        <f aca="false">(ABS(C110-E110)/C110)*100</f>
        <v>100</v>
      </c>
      <c r="D259" s="33" t="n">
        <f aca="false">(ABS(D110-F110)/D110)*100</f>
        <v>2.32861555778689</v>
      </c>
      <c r="E259" s="29"/>
      <c r="F259" s="33" t="n">
        <f aca="false">(ABS(C110-G110)/C110)*100</f>
        <v>0.0823949464432848</v>
      </c>
      <c r="G259" s="33" t="n">
        <f aca="false">(ABS(D110-H110)/D110)*100</f>
        <v>0.0019186615417085</v>
      </c>
      <c r="H259" s="31"/>
    </row>
    <row r="260" customFormat="false" ht="15" hidden="false" customHeight="false" outlineLevel="0" collapsed="false">
      <c r="A260" s="26"/>
      <c r="B260" s="32" t="n">
        <v>107</v>
      </c>
      <c r="C260" s="33" t="n">
        <f aca="false">(ABS(C111-E111)/C111)*100</f>
        <v>99.1261287503641</v>
      </c>
      <c r="D260" s="33" t="n">
        <f aca="false">(ABS(D111-F111)/D111)*100</f>
        <v>2.17351038213672</v>
      </c>
      <c r="E260" s="29"/>
      <c r="F260" s="33" t="n">
        <f aca="false">(ABS(C111-G111)/C111)*100</f>
        <v>0.466064666472473</v>
      </c>
      <c r="G260" s="33" t="n">
        <f aca="false">(ABS(D111-H111)/D111)*100</f>
        <v>0.0102192671508044</v>
      </c>
      <c r="H260" s="31"/>
    </row>
    <row r="261" customFormat="false" ht="15" hidden="false" customHeight="false" outlineLevel="0" collapsed="false">
      <c r="A261" s="26"/>
      <c r="B261" s="32" t="n">
        <v>108</v>
      </c>
      <c r="C261" s="33" t="n">
        <f aca="false">(ABS(C112-E112)/C112)*100</f>
        <v>99.6231155778894</v>
      </c>
      <c r="D261" s="33" t="n">
        <f aca="false">(ABS(D112-F112)/D112)*100</f>
        <v>2.02275278032854</v>
      </c>
      <c r="E261" s="29"/>
      <c r="F261" s="33" t="n">
        <f aca="false">(ABS(C112-G112)/C112)*100</f>
        <v>0.125628140703518</v>
      </c>
      <c r="G261" s="33" t="n">
        <f aca="false">(ABS(D112-H112)/D112)*100</f>
        <v>0.0025507601265177</v>
      </c>
      <c r="H261" s="31"/>
    </row>
    <row r="262" customFormat="false" ht="15" hidden="false" customHeight="false" outlineLevel="0" collapsed="false">
      <c r="A262" s="26"/>
      <c r="B262" s="32" t="n">
        <v>109</v>
      </c>
      <c r="C262" s="33" t="n">
        <f aca="false">(ABS(C113-E113)/C113)*100</f>
        <v>100</v>
      </c>
      <c r="D262" s="33" t="n">
        <f aca="false">(ABS(D113-F113)/D113)*100</f>
        <v>1.95108896506901</v>
      </c>
      <c r="E262" s="29"/>
      <c r="F262" s="33" t="n">
        <f aca="false">(ABS(C113-G113)/C113)*100</f>
        <v>0.326583932070542</v>
      </c>
      <c r="G262" s="33" t="n">
        <f aca="false">(ABS(D113-H113)/D113)*100</f>
        <v>0.00637194306031681</v>
      </c>
      <c r="H262" s="31"/>
    </row>
    <row r="263" customFormat="false" ht="15" hidden="false" customHeight="false" outlineLevel="0" collapsed="false">
      <c r="A263" s="26"/>
      <c r="B263" s="32" t="n">
        <v>110</v>
      </c>
      <c r="C263" s="33" t="n">
        <f aca="false">(ABS(C114-E114)/C114)*100</f>
        <v>100</v>
      </c>
      <c r="D263" s="33" t="n">
        <f aca="false">(ABS(D114-F114)/D114)*100</f>
        <v>1.81225819588679</v>
      </c>
      <c r="E263" s="29"/>
      <c r="F263" s="33" t="n">
        <f aca="false">(ABS(C114-G114)/C114)*100</f>
        <v>0.38623595505618</v>
      </c>
      <c r="G263" s="33" t="n">
        <f aca="false">(ABS(D114-H114)/D114)*100</f>
        <v>0.00699959275096722</v>
      </c>
      <c r="H263" s="31"/>
    </row>
    <row r="264" customFormat="false" ht="15" hidden="false" customHeight="false" outlineLevel="0" collapsed="false">
      <c r="A264" s="26"/>
      <c r="B264" s="32" t="n">
        <v>111</v>
      </c>
      <c r="C264" s="33" t="n">
        <f aca="false">(ABS(C115-E115)/C115)*100</f>
        <v>100</v>
      </c>
      <c r="D264" s="33" t="n">
        <f aca="false">(ABS(D115-F115)/D115)*100</f>
        <v>1.64086470965652</v>
      </c>
      <c r="E264" s="29"/>
      <c r="F264" s="33" t="n">
        <f aca="false">(ABS(C115-G115)/C115)*100</f>
        <v>1.66473093302362</v>
      </c>
      <c r="G264" s="33" t="n">
        <f aca="false">(ABS(D115-H115)/D115)*100</f>
        <v>0.0273159823907202</v>
      </c>
      <c r="H264" s="31"/>
    </row>
    <row r="265" customFormat="false" ht="15" hidden="false" customHeight="false" outlineLevel="0" collapsed="false">
      <c r="A265" s="26"/>
      <c r="B265" s="32" t="n">
        <v>112</v>
      </c>
      <c r="C265" s="33" t="n">
        <f aca="false">(ABS(C116-E116)/C116)*100</f>
        <v>83.1561733442355</v>
      </c>
      <c r="D265" s="33" t="n">
        <f aca="false">(ABS(D116-F116)/D116)*100</f>
        <v>1.29098594767508</v>
      </c>
      <c r="E265" s="29"/>
      <c r="F265" s="33" t="n">
        <f aca="false">(ABS(C116-G116)/C116)*100</f>
        <v>0</v>
      </c>
      <c r="G265" s="33" t="n">
        <f aca="false">(ABS(D116-H116)/D116)*100</f>
        <v>0</v>
      </c>
      <c r="H265" s="31"/>
    </row>
    <row r="266" customFormat="false" ht="15" hidden="false" customHeight="false" outlineLevel="0" collapsed="false">
      <c r="A266" s="26"/>
      <c r="B266" s="32" t="n">
        <v>113</v>
      </c>
      <c r="C266" s="33" t="n">
        <f aca="false">(ABS(C117-E117)/C117)*100</f>
        <v>100</v>
      </c>
      <c r="D266" s="33" t="n">
        <f aca="false">(ABS(D117-F117)/D117)*100</f>
        <v>1.48163182463974</v>
      </c>
      <c r="E266" s="29"/>
      <c r="F266" s="33" t="n">
        <f aca="false">(ABS(C117-G117)/C117)*100</f>
        <v>0.299657534246575</v>
      </c>
      <c r="G266" s="33" t="n">
        <f aca="false">(ABS(D117-H117)/D117)*100</f>
        <v>0.00443982139232799</v>
      </c>
      <c r="H266" s="31"/>
    </row>
    <row r="267" customFormat="false" ht="15" hidden="false" customHeight="false" outlineLevel="0" collapsed="false">
      <c r="A267" s="26"/>
      <c r="B267" s="32" t="n">
        <v>114</v>
      </c>
      <c r="C267" s="33" t="n">
        <f aca="false">(ABS(C118-E118)/C118)*100</f>
        <v>99.1658943466172</v>
      </c>
      <c r="D267" s="33" t="n">
        <f aca="false">(ABS(D118-F118)/D118)*100</f>
        <v>1.35578616591275</v>
      </c>
      <c r="E267" s="29"/>
      <c r="F267" s="33" t="n">
        <f aca="false">(ABS(C118-G118)/C118)*100</f>
        <v>0.046339202965709</v>
      </c>
      <c r="G267" s="33" t="n">
        <f aca="false">(ABS(D118-H118)/D118)*100</f>
        <v>0.000633544937342406</v>
      </c>
      <c r="H267" s="31"/>
    </row>
    <row r="268" customFormat="false" ht="15" hidden="false" customHeight="false" outlineLevel="0" collapsed="false">
      <c r="A268" s="26"/>
      <c r="B268" s="32" t="n">
        <v>115</v>
      </c>
      <c r="C268" s="33" t="n">
        <f aca="false">(ABS(C119-E119)/C119)*100</f>
        <v>98.5815602836879</v>
      </c>
      <c r="D268" s="33" t="n">
        <f aca="false">(ABS(D119-F119)/D119)*100</f>
        <v>1.23144292711326</v>
      </c>
      <c r="E268" s="29"/>
      <c r="F268" s="33" t="n">
        <f aca="false">(ABS(C119-G119)/C119)*100</f>
        <v>0.709219858156028</v>
      </c>
      <c r="G268" s="33" t="n">
        <f aca="false">(ABS(D119-H119)/D119)*100</f>
        <v>0.00885930163390834</v>
      </c>
      <c r="H268" s="31"/>
    </row>
    <row r="269" customFormat="false" ht="15" hidden="false" customHeight="false" outlineLevel="0" collapsed="false">
      <c r="A269" s="26"/>
      <c r="B269" s="32" t="n">
        <v>116</v>
      </c>
      <c r="C269" s="33" t="n">
        <f aca="false">(ABS(C120-E120)/C120)*100</f>
        <v>99.2239467849224</v>
      </c>
      <c r="D269" s="33" t="n">
        <f aca="false">(ABS(D120-F120)/D120)*100</f>
        <v>1.1315077498799</v>
      </c>
      <c r="E269" s="29"/>
      <c r="F269" s="33" t="n">
        <f aca="false">(ABS(C120-G120)/C120)*100</f>
        <v>0.221729490022173</v>
      </c>
      <c r="G269" s="33" t="n">
        <f aca="false">(ABS(D120-H120)/D120)*100</f>
        <v>0.0025285089382791</v>
      </c>
      <c r="H269" s="31"/>
    </row>
    <row r="270" customFormat="false" ht="15" hidden="false" customHeight="false" outlineLevel="0" collapsed="false">
      <c r="A270" s="26"/>
      <c r="B270" s="32" t="n">
        <v>117</v>
      </c>
      <c r="C270" s="33" t="n">
        <f aca="false">(ABS(C121-E121)/C121)*100</f>
        <v>94.8014018691589</v>
      </c>
      <c r="D270" s="33" t="n">
        <f aca="false">(ABS(D121-F121)/D121)*100</f>
        <v>1.02534620438694</v>
      </c>
      <c r="E270" s="29"/>
      <c r="F270" s="33" t="n">
        <f aca="false">(ABS(C121-G121)/C121)*100</f>
        <v>0.175233644859813</v>
      </c>
      <c r="G270" s="33" t="n">
        <f aca="false">(ABS(D121-H121)/D121)*100</f>
        <v>0.00189527949054887</v>
      </c>
      <c r="H270" s="31"/>
    </row>
    <row r="271" customFormat="false" ht="15" hidden="false" customHeight="false" outlineLevel="0" collapsed="false">
      <c r="A271" s="26"/>
      <c r="B271" s="32" t="n">
        <v>118</v>
      </c>
      <c r="C271" s="33" t="n">
        <f aca="false">(ABS(C122-E122)/C122)*100</f>
        <v>100</v>
      </c>
      <c r="D271" s="33" t="n">
        <f aca="false">(ABS(D122-F122)/D122)*100</f>
        <v>0.980138469014876</v>
      </c>
      <c r="E271" s="29"/>
      <c r="F271" s="33" t="n">
        <f aca="false">(ABS(C122-G122)/C122)*100</f>
        <v>2.76883451384417</v>
      </c>
      <c r="G271" s="33" t="n">
        <f aca="false">(ABS(D122-H122)/D122)*100</f>
        <v>0.0271384122135477</v>
      </c>
      <c r="H271" s="31"/>
    </row>
    <row r="272" customFormat="false" ht="15" hidden="false" customHeight="false" outlineLevel="0" collapsed="false">
      <c r="A272" s="26"/>
      <c r="B272" s="32" t="n">
        <v>119</v>
      </c>
      <c r="C272" s="33" t="n">
        <f aca="false">(ABS(C123-E123)/C123)*100</f>
        <v>100</v>
      </c>
      <c r="D272" s="33" t="n">
        <f aca="false">(ABS(D123-F123)/D123)*100</f>
        <v>0.883996015082158</v>
      </c>
      <c r="E272" s="29"/>
      <c r="F272" s="33" t="n">
        <f aca="false">(ABS(C123-G123)/C123)*100</f>
        <v>0</v>
      </c>
      <c r="G272" s="33" t="n">
        <f aca="false">(ABS(D123-H123)/D123)*100</f>
        <v>0</v>
      </c>
      <c r="H272" s="31"/>
    </row>
    <row r="273" customFormat="false" ht="15" hidden="false" customHeight="false" outlineLevel="0" collapsed="false">
      <c r="A273" s="26"/>
      <c r="B273" s="32" t="n">
        <v>120</v>
      </c>
      <c r="C273" s="33" t="n">
        <f aca="false">(ABS(C124-E124)/C124)*100</f>
        <v>98.1774960380349</v>
      </c>
      <c r="D273" s="33" t="n">
        <f aca="false">(ABS(D124-F124)/D124)*100</f>
        <v>0.780531441746778</v>
      </c>
      <c r="E273" s="29"/>
      <c r="F273" s="33" t="n">
        <f aca="false">(ABS(C124-G124)/C124)*100</f>
        <v>0</v>
      </c>
      <c r="G273" s="33" t="n">
        <f aca="false">(ABS(D124-H124)/D124)*100</f>
        <v>0</v>
      </c>
      <c r="H273" s="31"/>
    </row>
    <row r="274" customFormat="false" ht="15" hidden="false" customHeight="false" outlineLevel="0" collapsed="false">
      <c r="A274" s="26"/>
      <c r="B274" s="32" t="n">
        <v>121</v>
      </c>
      <c r="C274" s="33" t="n">
        <f aca="false">(ABS(C125-E125)/C125)*100</f>
        <v>100</v>
      </c>
      <c r="D274" s="33" t="n">
        <f aca="false">(ABS(D125-F125)/D125)*100</f>
        <v>0.742345155867297</v>
      </c>
      <c r="E274" s="29"/>
      <c r="F274" s="33" t="n">
        <f aca="false">(ABS(C125-G125)/C125)*100</f>
        <v>2.79898218829517</v>
      </c>
      <c r="G274" s="33" t="n">
        <f aca="false">(ABS(D125-H125)/D125)*100</f>
        <v>0.0207781086883976</v>
      </c>
      <c r="H274" s="31"/>
    </row>
    <row r="275" customFormat="false" ht="15" hidden="false" customHeight="false" outlineLevel="0" collapsed="false">
      <c r="A275" s="26"/>
      <c r="B275" s="32" t="n">
        <v>122</v>
      </c>
      <c r="C275" s="33" t="n">
        <f aca="false">(ABS(C126-E126)/C126)*100</f>
        <v>79.9620132953466</v>
      </c>
      <c r="D275" s="33" t="n">
        <f aca="false">(ABS(D126-F126)/D126)*100</f>
        <v>0.529736327203408</v>
      </c>
      <c r="E275" s="29"/>
      <c r="F275" s="33" t="n">
        <f aca="false">(ABS(C126-G126)/C126)*100</f>
        <v>0.664767331433998</v>
      </c>
      <c r="G275" s="33" t="n">
        <f aca="false">(ABS(D126-H126)/D126)*100</f>
        <v>0.00440398371784305</v>
      </c>
      <c r="H275" s="31"/>
    </row>
    <row r="276" customFormat="false" ht="15" hidden="false" customHeight="false" outlineLevel="0" collapsed="false">
      <c r="A276" s="26"/>
      <c r="B276" s="32" t="n">
        <v>123</v>
      </c>
      <c r="C276" s="33" t="n">
        <f aca="false">(ABS(C127-E127)/C127)*100</f>
        <v>85.2051835853132</v>
      </c>
      <c r="D276" s="33" t="n">
        <f aca="false">(ABS(D127-F127)/D127)*100</f>
        <v>0.495995574386763</v>
      </c>
      <c r="E276" s="29"/>
      <c r="F276" s="33" t="n">
        <f aca="false">(ABS(C127-G127)/C127)*100</f>
        <v>0.107991360691145</v>
      </c>
      <c r="G276" s="33" t="n">
        <f aca="false">(ABS(D127-H127)/D127)*100</f>
        <v>0.000628638243836202</v>
      </c>
      <c r="H276" s="31"/>
    </row>
    <row r="277" customFormat="false" ht="15" hidden="false" customHeight="false" outlineLevel="0" collapsed="false">
      <c r="A277" s="26"/>
      <c r="B277" s="32" t="n">
        <v>124</v>
      </c>
      <c r="C277" s="33" t="n">
        <f aca="false">(ABS(C128-E128)/C128)*100</f>
        <v>99.3865030674847</v>
      </c>
      <c r="D277" s="33" t="n">
        <f aca="false">(ABS(D128-F128)/D128)*100</f>
        <v>0.508841913496875</v>
      </c>
      <c r="E277" s="29"/>
      <c r="F277" s="33" t="n">
        <f aca="false">(ABS(C128-G128)/C128)*100</f>
        <v>0.245398773006135</v>
      </c>
      <c r="G277" s="33" t="n">
        <f aca="false">(ABS(D128-H128)/D128)*100</f>
        <v>0.00125639978641204</v>
      </c>
      <c r="H277" s="31"/>
    </row>
    <row r="278" customFormat="false" ht="15" hidden="false" customHeight="false" outlineLevel="0" collapsed="false">
      <c r="A278" s="26"/>
      <c r="B278" s="32" t="n">
        <v>125</v>
      </c>
      <c r="C278" s="33" t="n">
        <f aca="false">(ABS(C129-E129)/C129)*100</f>
        <v>99.8675496688742</v>
      </c>
      <c r="D278" s="33" t="n">
        <f aca="false">(ABS(D129-F129)/D129)*100</f>
        <v>0.473484253822726</v>
      </c>
      <c r="E278" s="29"/>
      <c r="F278" s="33" t="n">
        <f aca="false">(ABS(C129-G129)/C129)*100</f>
        <v>1.05960264900662</v>
      </c>
      <c r="G278" s="33" t="n">
        <f aca="false">(ABS(D129-H129)/D129)*100</f>
        <v>0.0050237056108512</v>
      </c>
      <c r="H278" s="31"/>
    </row>
    <row r="279" customFormat="false" ht="15" hidden="false" customHeight="false" outlineLevel="0" collapsed="false">
      <c r="A279" s="26"/>
      <c r="B279" s="32" t="n">
        <v>126</v>
      </c>
      <c r="C279" s="33" t="n">
        <f aca="false">(ABS(C130-E130)/C130)*100</f>
        <v>100</v>
      </c>
      <c r="D279" s="33" t="n">
        <f aca="false">(ABS(D130-F130)/D130)*100</f>
        <v>0.387747675396218</v>
      </c>
      <c r="E279" s="29"/>
      <c r="F279" s="33" t="n">
        <f aca="false">(ABS(C130-G130)/C130)*100</f>
        <v>0.647249190938511</v>
      </c>
      <c r="G279" s="33" t="n">
        <f aca="false">(ABS(D130-H130)/D130)*100</f>
        <v>0.00250969369188491</v>
      </c>
      <c r="H279" s="31"/>
    </row>
    <row r="280" customFormat="false" ht="15" hidden="false" customHeight="false" outlineLevel="0" collapsed="false">
      <c r="A280" s="26"/>
      <c r="B280" s="32" t="n">
        <v>127</v>
      </c>
      <c r="C280" s="33" t="n">
        <f aca="false">(ABS(C131-E131)/C131)*100</f>
        <v>97.6406533575318</v>
      </c>
      <c r="D280" s="33" t="n">
        <f aca="false">(ABS(D131-F131)/D131)*100</f>
        <v>0.337411962445672</v>
      </c>
      <c r="E280" s="29"/>
      <c r="F280" s="33" t="n">
        <f aca="false">(ABS(C131-G131)/C131)*100</f>
        <v>0</v>
      </c>
      <c r="G280" s="33" t="n">
        <f aca="false">(ABS(D131-H131)/D131)*100</f>
        <v>0</v>
      </c>
      <c r="H280" s="31"/>
    </row>
    <row r="281" customFormat="false" ht="15" hidden="false" customHeight="false" outlineLevel="0" collapsed="false">
      <c r="A281" s="26"/>
      <c r="B281" s="32" t="n">
        <v>128</v>
      </c>
      <c r="C281" s="33" t="n">
        <f aca="false">(ABS(C132-E132)/C132)*100</f>
        <v>92.0600858369099</v>
      </c>
      <c r="D281" s="33" t="n">
        <f aca="false">(ABS(D132-F132)/D132)*100</f>
        <v>0.268908195118282</v>
      </c>
      <c r="E281" s="29"/>
      <c r="F281" s="33" t="n">
        <f aca="false">(ABS(C132-G132)/C132)*100</f>
        <v>0.643776824034335</v>
      </c>
      <c r="G281" s="33" t="n">
        <f aca="false">(ABS(D132-H132)/D132)*100</f>
        <v>0.00188047688893904</v>
      </c>
      <c r="H281" s="31"/>
    </row>
    <row r="282" customFormat="false" ht="15" hidden="false" customHeight="false" outlineLevel="0" collapsed="false">
      <c r="A282" s="26"/>
      <c r="B282" s="32" t="n">
        <v>129</v>
      </c>
      <c r="C282" s="33" t="n">
        <f aca="false">(ABS(C133-E133)/C133)*100</f>
        <v>100</v>
      </c>
      <c r="D282" s="33" t="n">
        <f aca="false">(ABS(D133-F133)/D133)*100</f>
        <v>0.261306028837658</v>
      </c>
      <c r="E282" s="29"/>
      <c r="F282" s="33" t="n">
        <f aca="false">(ABS(C133-G133)/C133)*100</f>
        <v>0</v>
      </c>
      <c r="G282" s="33" t="n">
        <f aca="false">(ABS(D133-H133)/D133)*100</f>
        <v>0</v>
      </c>
      <c r="H282" s="31"/>
    </row>
    <row r="283" customFormat="false" ht="15" hidden="false" customHeight="false" outlineLevel="0" collapsed="false">
      <c r="A283" s="26"/>
      <c r="B283" s="32" t="n">
        <v>130</v>
      </c>
      <c r="C283" s="33" t="n">
        <f aca="false">(ABS(C134-E134)/C134)*100</f>
        <v>98.2352941176471</v>
      </c>
      <c r="D283" s="33" t="n">
        <f aca="false">(ABS(D134-F134)/D134)*100</f>
        <v>0.209194538394087</v>
      </c>
      <c r="E283" s="29"/>
      <c r="F283" s="33" t="n">
        <f aca="false">(ABS(C134-G134)/C134)*100</f>
        <v>1.17647058823529</v>
      </c>
      <c r="G283" s="33" t="n">
        <f aca="false">(ABS(D134-H134)/D134)*100</f>
        <v>0.00250532381310284</v>
      </c>
      <c r="H283" s="31"/>
    </row>
    <row r="284" customFormat="false" ht="15" hidden="false" customHeight="false" outlineLevel="0" collapsed="false">
      <c r="A284" s="26"/>
      <c r="B284" s="32" t="n">
        <v>131</v>
      </c>
      <c r="C284" s="33" t="n">
        <f aca="false">(ABS(C135-E135)/C135)*100</f>
        <v>100</v>
      </c>
      <c r="D284" s="33" t="n">
        <f aca="false">(ABS(D135-F135)/D135)*100</f>
        <v>0.17217091876663</v>
      </c>
      <c r="E284" s="29"/>
      <c r="F284" s="33" t="n">
        <f aca="false">(ABS(C135-G135)/C135)*100</f>
        <v>0.363636363636364</v>
      </c>
      <c r="G284" s="33" t="n">
        <f aca="false">(ABS(D135-H135)/D135)*100</f>
        <v>0.000626076068242291</v>
      </c>
      <c r="H284" s="31"/>
    </row>
    <row r="285" customFormat="false" ht="15" hidden="false" customHeight="false" outlineLevel="0" collapsed="false">
      <c r="A285" s="26"/>
      <c r="B285" s="32" t="n">
        <v>132</v>
      </c>
      <c r="C285" s="33" t="n">
        <f aca="false">(ABS(C136-E136)/C136)*100</f>
        <v>100</v>
      </c>
      <c r="D285" s="33" t="n">
        <f aca="false">(ABS(D136-F136)/D136)*100</f>
        <v>0.131422492020777</v>
      </c>
      <c r="E285" s="29"/>
      <c r="F285" s="33" t="n">
        <f aca="false">(ABS(C136-G136)/C136)*100</f>
        <v>0.476190476190476</v>
      </c>
      <c r="G285" s="33" t="n">
        <f aca="false">(ABS(D136-H136)/D136)*100</f>
        <v>0.00062582139057513</v>
      </c>
      <c r="H285" s="31"/>
    </row>
    <row r="286" customFormat="false" ht="15" hidden="false" customHeight="false" outlineLevel="0" collapsed="false">
      <c r="A286" s="26"/>
      <c r="B286" s="32" t="n">
        <v>133</v>
      </c>
      <c r="C286" s="33" t="n">
        <f aca="false">(ABS(C137-E137)/C137)*100</f>
        <v>92.2651933701658</v>
      </c>
      <c r="D286" s="33" t="n">
        <f aca="false">(ABS(D137-F137)/D137)*100</f>
        <v>0.104493207941484</v>
      </c>
      <c r="E286" s="29"/>
      <c r="F286" s="33" t="n">
        <f aca="false">(ABS(C137-G137)/C137)*100</f>
        <v>0</v>
      </c>
      <c r="G286" s="33" t="n">
        <f aca="false">(ABS(D137-H137)/D137)*100</f>
        <v>0</v>
      </c>
      <c r="H286" s="31"/>
    </row>
    <row r="287" customFormat="false" ht="15" hidden="false" customHeight="false" outlineLevel="0" collapsed="false">
      <c r="A287" s="26"/>
      <c r="B287" s="32" t="n">
        <v>134</v>
      </c>
      <c r="C287" s="33" t="n">
        <f aca="false">(ABS(C138-E138)/C138)*100</f>
        <v>100</v>
      </c>
      <c r="D287" s="33" t="n">
        <f aca="false">(ABS(D138-F138)/D138)*100</f>
        <v>0.0825681186979258</v>
      </c>
      <c r="E287" s="29"/>
      <c r="F287" s="33" t="n">
        <f aca="false">(ABS(C138-G138)/C138)*100</f>
        <v>2.27272727272727</v>
      </c>
      <c r="G287" s="33" t="n">
        <f aca="false">(ABS(D138-H138)/D138)*100</f>
        <v>0.00187654815222559</v>
      </c>
      <c r="H287" s="31"/>
    </row>
    <row r="288" customFormat="false" ht="15" hidden="false" customHeight="false" outlineLevel="0" collapsed="false">
      <c r="A288" s="26"/>
      <c r="B288" s="32" t="n">
        <v>135</v>
      </c>
      <c r="C288" s="33" t="n">
        <f aca="false">(ABS(C139-E139)/C139)*100</f>
        <v>97.7777777777778</v>
      </c>
      <c r="D288" s="33" t="n">
        <f aca="false">(ABS(D139-F139)/D139)*100</f>
        <v>0.0550309549121381</v>
      </c>
      <c r="E288" s="29"/>
      <c r="F288" s="33" t="n">
        <f aca="false">(ABS(C139-G139)/C139)*100</f>
        <v>0</v>
      </c>
      <c r="G288" s="33" t="n">
        <f aca="false">(ABS(D139-H139)/D139)*100</f>
        <v>0</v>
      </c>
      <c r="H288" s="31"/>
    </row>
    <row r="289" customFormat="false" ht="15" hidden="false" customHeight="false" outlineLevel="0" collapsed="false">
      <c r="A289" s="26"/>
      <c r="B289" s="32" t="n">
        <v>136</v>
      </c>
      <c r="C289" s="33" t="n">
        <f aca="false">(ABS(C140-E140)/C140)*100</f>
        <v>91.5492957746479</v>
      </c>
      <c r="D289" s="33" t="n">
        <f aca="false">(ABS(D140-F140)/D140)*100</f>
        <v>0.0406430353469352</v>
      </c>
      <c r="E289" s="29"/>
      <c r="F289" s="33" t="n">
        <f aca="false">(ABS(C140-G140)/C140)*100</f>
        <v>0</v>
      </c>
      <c r="G289" s="33" t="n">
        <f aca="false">(ABS(D140-H140)/D140)*100</f>
        <v>0</v>
      </c>
      <c r="H289" s="31"/>
    </row>
    <row r="290" customFormat="false" ht="15" hidden="false" customHeight="false" outlineLevel="0" collapsed="false">
      <c r="A290" s="26"/>
      <c r="B290" s="32" t="n">
        <v>137</v>
      </c>
      <c r="C290" s="33" t="n">
        <f aca="false">(ABS(C141-E141)/C141)*100</f>
        <v>100</v>
      </c>
      <c r="D290" s="33" t="n">
        <f aca="false">(ABS(D141-F141)/D141)*100</f>
        <v>0.0243809428548209</v>
      </c>
      <c r="E290" s="29"/>
      <c r="F290" s="33" t="n">
        <f aca="false">(ABS(C141-G141)/C141)*100</f>
        <v>2.56410256410256</v>
      </c>
      <c r="G290" s="33" t="n">
        <f aca="false">(ABS(D141-H141)/D141)*100</f>
        <v>0.000625152380892843</v>
      </c>
      <c r="H290" s="31"/>
    </row>
    <row r="291" customFormat="false" ht="15" hidden="false" customHeight="false" outlineLevel="0" collapsed="false">
      <c r="A291" s="26"/>
      <c r="B291" s="32" t="n">
        <v>138</v>
      </c>
      <c r="C291" s="33" t="n">
        <f aca="false">(ABS(C142-E142)/C142)*100</f>
        <v>100</v>
      </c>
      <c r="D291" s="33" t="n">
        <f aca="false">(ABS(D142-F142)/D142)*100</f>
        <v>0.0137518908849967</v>
      </c>
      <c r="E291" s="29"/>
      <c r="F291" s="33" t="n">
        <f aca="false">(ABS(C142-G142)/C142)*100</f>
        <v>0</v>
      </c>
      <c r="G291" s="33" t="n">
        <f aca="false">(ABS(D142-H142)/D142)*100</f>
        <v>0</v>
      </c>
      <c r="H291" s="31"/>
    </row>
    <row r="292" customFormat="false" ht="15" hidden="false" customHeight="false" outlineLevel="0" collapsed="false">
      <c r="A292" s="26"/>
      <c r="B292" s="32" t="n">
        <v>139</v>
      </c>
      <c r="C292" s="33" t="n">
        <f aca="false">(ABS(C143-E143)/C143)*100</f>
        <v>100</v>
      </c>
      <c r="D292" s="33" t="n">
        <f aca="false">(ABS(D143-F143)/D143)*100</f>
        <v>0.00375014063027364</v>
      </c>
      <c r="E292" s="29"/>
      <c r="F292" s="33" t="n">
        <f aca="false">(ABS(C143-G143)/C143)*100</f>
        <v>16.6666666666667</v>
      </c>
      <c r="G292" s="33" t="n">
        <f aca="false">(ABS(D143-H143)/D143)*100</f>
        <v>0.000625023438378939</v>
      </c>
      <c r="H292" s="31"/>
    </row>
    <row r="293" customFormat="false" ht="15" hidden="false" customHeight="false" outlineLevel="0" collapsed="false">
      <c r="A293" s="26"/>
      <c r="B293" s="32" t="n">
        <v>140</v>
      </c>
      <c r="C293" s="33" t="n">
        <f aca="false">(ABS(C144-E144)/C144)*100</f>
        <v>100</v>
      </c>
      <c r="D293" s="33" t="n">
        <f aca="false">(ABS(D144-F144)/D144)*100</f>
        <v>0.00125001562519532</v>
      </c>
      <c r="E293" s="34" t="s">
        <v>10</v>
      </c>
      <c r="F293" s="33" t="n">
        <f aca="false">(ABS(C144-G144)/C144)*100</f>
        <v>50</v>
      </c>
      <c r="G293" s="33" t="n">
        <f aca="false">(ABS(D144-H144)/D144)*100</f>
        <v>0.000625007812597658</v>
      </c>
      <c r="H293" s="34" t="s">
        <v>10</v>
      </c>
    </row>
    <row r="294" customFormat="false" ht="15" hidden="false" customHeight="false" outlineLevel="0" collapsed="false">
      <c r="A294" s="26"/>
      <c r="B294" s="35" t="s">
        <v>8</v>
      </c>
      <c r="C294" s="36" t="n">
        <f aca="false">(ABS(SUM(C4:C144)-SUM(E4:E144))/SUM(C4:C144))*100</f>
        <v>97.3014631145348</v>
      </c>
      <c r="D294" s="37" t="n">
        <f aca="false">(ABS(SUM(D4:D144)-SUM(F4:F144))/SUM(D4:D144))*100</f>
        <v>2.65020792444198</v>
      </c>
      <c r="E294" s="38" t="n">
        <f aca="false">SUM(C153:D293)/(141*2)</f>
        <v>49.7140215413333</v>
      </c>
      <c r="F294" s="37" t="n">
        <f aca="false">(ABS(SUM(C4:C144)-SUM(G4:G144))/SUM(C4:C144))*100</f>
        <v>0.00601829561868079</v>
      </c>
      <c r="G294" s="37" t="n">
        <f aca="false">(ABS(SUM(D4:D144)-SUM(H4:H144))/SUM(D4:D144))*100</f>
        <v>0.000163920810949036</v>
      </c>
      <c r="H294" s="38" t="n">
        <f aca="false">SUM(F153:G293)/(141*2)</f>
        <v>0.50591999002917</v>
      </c>
    </row>
  </sheetData>
  <mergeCells count="11">
    <mergeCell ref="B1:B3"/>
    <mergeCell ref="C1:D2"/>
    <mergeCell ref="E1:H1"/>
    <mergeCell ref="E2:F2"/>
    <mergeCell ref="G2:H2"/>
    <mergeCell ref="A3:A145"/>
    <mergeCell ref="B150:B152"/>
    <mergeCell ref="C150:H150"/>
    <mergeCell ref="C151:E151"/>
    <mergeCell ref="F151:H151"/>
    <mergeCell ref="A152:A2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4"/>
  <sheetViews>
    <sheetView showFormulas="false" showGridLines="true" showRowColHeaders="true" showZeros="true" rightToLeft="false" tabSelected="false" showOutlineSymbols="true" defaultGridColor="true" view="normal" topLeftCell="A282" colorId="64" zoomScale="100" zoomScaleNormal="100" zoomScalePageLayoutView="100" workbookViewId="0">
      <selection pane="topLeft" activeCell="G309" activeCellId="0" sqref="G309"/>
    </sheetView>
  </sheetViews>
  <sheetFormatPr defaultColWidth="8.68359375" defaultRowHeight="15" zeroHeight="false" outlineLevelRow="0" outlineLevelCol="0"/>
  <cols>
    <col collapsed="false" customWidth="true" hidden="false" outlineLevel="0" max="7" min="7" style="1" width="26.97"/>
  </cols>
  <sheetData>
    <row r="1" customFormat="false" ht="15" hidden="false" customHeight="false" outlineLevel="0" collapsed="false">
      <c r="A1" s="39"/>
      <c r="B1" s="22" t="s">
        <v>0</v>
      </c>
      <c r="C1" s="40" t="s">
        <v>1</v>
      </c>
      <c r="D1" s="40"/>
      <c r="E1" s="40" t="s">
        <v>2</v>
      </c>
      <c r="F1" s="40"/>
      <c r="G1" s="40"/>
      <c r="H1" s="40"/>
    </row>
    <row r="2" customFormat="false" ht="15" hidden="false" customHeight="false" outlineLevel="0" collapsed="false">
      <c r="A2" s="39"/>
      <c r="B2" s="22"/>
      <c r="C2" s="40"/>
      <c r="D2" s="40"/>
      <c r="E2" s="6" t="s">
        <v>3</v>
      </c>
      <c r="F2" s="6"/>
      <c r="G2" s="41" t="s">
        <v>4</v>
      </c>
      <c r="H2" s="41"/>
    </row>
    <row r="3" customFormat="false" ht="15" hidden="false" customHeight="false" outlineLevel="0" collapsed="false">
      <c r="A3" s="26" t="s">
        <v>11</v>
      </c>
      <c r="B3" s="22"/>
      <c r="C3" s="42" t="s">
        <v>12</v>
      </c>
      <c r="D3" s="43" t="s">
        <v>13</v>
      </c>
      <c r="E3" s="42" t="s">
        <v>12</v>
      </c>
      <c r="F3" s="44" t="s">
        <v>13</v>
      </c>
      <c r="G3" s="42" t="s">
        <v>12</v>
      </c>
      <c r="H3" s="43" t="s">
        <v>13</v>
      </c>
    </row>
    <row r="4" customFormat="false" ht="15" hidden="false" customHeight="false" outlineLevel="0" collapsed="false">
      <c r="A4" s="26"/>
      <c r="B4" s="32" t="n">
        <v>0</v>
      </c>
      <c r="C4" s="45" t="n">
        <v>2</v>
      </c>
      <c r="D4" s="46" t="n">
        <v>159998</v>
      </c>
      <c r="E4" s="32" t="n">
        <v>2</v>
      </c>
      <c r="F4" s="47" t="n">
        <v>159998</v>
      </c>
      <c r="G4" s="32" t="n">
        <v>2</v>
      </c>
      <c r="H4" s="46" t="n">
        <v>159998</v>
      </c>
    </row>
    <row r="5" customFormat="false" ht="15" hidden="false" customHeight="false" outlineLevel="0" collapsed="false">
      <c r="A5" s="26"/>
      <c r="B5" s="32" t="n">
        <v>1</v>
      </c>
      <c r="C5" s="45" t="n">
        <v>6</v>
      </c>
      <c r="D5" s="46" t="n">
        <v>159994</v>
      </c>
      <c r="E5" s="32" t="n">
        <v>0</v>
      </c>
      <c r="F5" s="47" t="n">
        <v>160000</v>
      </c>
      <c r="G5" s="32" t="n">
        <v>5</v>
      </c>
      <c r="H5" s="46" t="n">
        <v>159995</v>
      </c>
    </row>
    <row r="6" customFormat="false" ht="15" hidden="false" customHeight="false" outlineLevel="0" collapsed="false">
      <c r="A6" s="26"/>
      <c r="B6" s="32" t="n">
        <v>2</v>
      </c>
      <c r="C6" s="45" t="n">
        <v>25</v>
      </c>
      <c r="D6" s="46" t="n">
        <v>159975</v>
      </c>
      <c r="E6" s="32" t="n">
        <v>0</v>
      </c>
      <c r="F6" s="47" t="n">
        <v>160000</v>
      </c>
      <c r="G6" s="32" t="n">
        <v>25</v>
      </c>
      <c r="H6" s="46" t="n">
        <v>159975</v>
      </c>
    </row>
    <row r="7" customFormat="false" ht="15" hidden="false" customHeight="false" outlineLevel="0" collapsed="false">
      <c r="A7" s="26"/>
      <c r="B7" s="32" t="n">
        <v>3</v>
      </c>
      <c r="C7" s="45" t="n">
        <v>39</v>
      </c>
      <c r="D7" s="46" t="n">
        <v>159961</v>
      </c>
      <c r="E7" s="32" t="n">
        <v>0</v>
      </c>
      <c r="F7" s="47" t="n">
        <v>160000</v>
      </c>
      <c r="G7" s="32" t="n">
        <v>37</v>
      </c>
      <c r="H7" s="46" t="n">
        <v>159963</v>
      </c>
    </row>
    <row r="8" customFormat="false" ht="15" hidden="false" customHeight="false" outlineLevel="0" collapsed="false">
      <c r="A8" s="26"/>
      <c r="B8" s="32" t="n">
        <v>4</v>
      </c>
      <c r="C8" s="45" t="n">
        <v>71</v>
      </c>
      <c r="D8" s="46" t="n">
        <v>159929</v>
      </c>
      <c r="E8" s="32" t="n">
        <v>0</v>
      </c>
      <c r="F8" s="47" t="n">
        <v>160000</v>
      </c>
      <c r="G8" s="32" t="n">
        <v>71</v>
      </c>
      <c r="H8" s="46" t="n">
        <v>159929</v>
      </c>
    </row>
    <row r="9" customFormat="false" ht="15" hidden="false" customHeight="false" outlineLevel="0" collapsed="false">
      <c r="A9" s="26"/>
      <c r="B9" s="32" t="n">
        <v>5</v>
      </c>
      <c r="C9" s="45" t="n">
        <v>92</v>
      </c>
      <c r="D9" s="46" t="n">
        <v>159908</v>
      </c>
      <c r="E9" s="32" t="n">
        <v>0</v>
      </c>
      <c r="F9" s="47" t="n">
        <v>160000</v>
      </c>
      <c r="G9" s="32" t="n">
        <v>81</v>
      </c>
      <c r="H9" s="46" t="n">
        <v>159919</v>
      </c>
    </row>
    <row r="10" customFormat="false" ht="15" hidden="false" customHeight="false" outlineLevel="0" collapsed="false">
      <c r="A10" s="26"/>
      <c r="B10" s="32" t="n">
        <v>6</v>
      </c>
      <c r="C10" s="45" t="n">
        <v>119</v>
      </c>
      <c r="D10" s="46" t="n">
        <v>159881</v>
      </c>
      <c r="E10" s="32" t="n">
        <v>21</v>
      </c>
      <c r="F10" s="47" t="n">
        <v>159979</v>
      </c>
      <c r="G10" s="32" t="n">
        <v>119</v>
      </c>
      <c r="H10" s="46" t="n">
        <v>159881</v>
      </c>
    </row>
    <row r="11" customFormat="false" ht="15" hidden="false" customHeight="false" outlineLevel="0" collapsed="false">
      <c r="A11" s="26"/>
      <c r="B11" s="32" t="n">
        <v>7</v>
      </c>
      <c r="C11" s="45" t="n">
        <v>181</v>
      </c>
      <c r="D11" s="46" t="n">
        <v>159819</v>
      </c>
      <c r="E11" s="32" t="n">
        <v>3</v>
      </c>
      <c r="F11" s="47" t="n">
        <v>159997</v>
      </c>
      <c r="G11" s="32" t="n">
        <v>181</v>
      </c>
      <c r="H11" s="46" t="n">
        <v>159819</v>
      </c>
    </row>
    <row r="12" customFormat="false" ht="15" hidden="false" customHeight="false" outlineLevel="0" collapsed="false">
      <c r="A12" s="26"/>
      <c r="B12" s="32" t="n">
        <v>8</v>
      </c>
      <c r="C12" s="45" t="n">
        <v>214</v>
      </c>
      <c r="D12" s="46" t="n">
        <v>159786</v>
      </c>
      <c r="E12" s="32" t="n">
        <v>3</v>
      </c>
      <c r="F12" s="47" t="n">
        <v>159997</v>
      </c>
      <c r="G12" s="32" t="n">
        <v>215</v>
      </c>
      <c r="H12" s="46" t="n">
        <v>159785</v>
      </c>
    </row>
    <row r="13" customFormat="false" ht="15" hidden="false" customHeight="false" outlineLevel="0" collapsed="false">
      <c r="A13" s="26"/>
      <c r="B13" s="32" t="n">
        <v>9</v>
      </c>
      <c r="C13" s="45" t="n">
        <v>275</v>
      </c>
      <c r="D13" s="46" t="n">
        <v>159725</v>
      </c>
      <c r="E13" s="32" t="n">
        <v>0</v>
      </c>
      <c r="F13" s="47" t="n">
        <v>160000</v>
      </c>
      <c r="G13" s="32" t="n">
        <v>293</v>
      </c>
      <c r="H13" s="46" t="n">
        <v>159707</v>
      </c>
    </row>
    <row r="14" customFormat="false" ht="15" hidden="false" customHeight="false" outlineLevel="0" collapsed="false">
      <c r="A14" s="26"/>
      <c r="B14" s="32" t="n">
        <v>10</v>
      </c>
      <c r="C14" s="45" t="n">
        <v>340</v>
      </c>
      <c r="D14" s="46" t="n">
        <v>159660</v>
      </c>
      <c r="E14" s="32" t="n">
        <v>0</v>
      </c>
      <c r="F14" s="47" t="n">
        <v>160000</v>
      </c>
      <c r="G14" s="32" t="n">
        <v>318</v>
      </c>
      <c r="H14" s="46" t="n">
        <v>159682</v>
      </c>
    </row>
    <row r="15" customFormat="false" ht="15" hidden="false" customHeight="false" outlineLevel="0" collapsed="false">
      <c r="A15" s="26"/>
      <c r="B15" s="32" t="n">
        <v>11</v>
      </c>
      <c r="C15" s="45" t="n">
        <v>417</v>
      </c>
      <c r="D15" s="46" t="n">
        <v>159583</v>
      </c>
      <c r="E15" s="32" t="n">
        <v>4</v>
      </c>
      <c r="F15" s="47" t="n">
        <v>159996</v>
      </c>
      <c r="G15" s="32" t="n">
        <v>415</v>
      </c>
      <c r="H15" s="46" t="n">
        <v>159585</v>
      </c>
    </row>
    <row r="16" customFormat="false" ht="15" hidden="false" customHeight="false" outlineLevel="0" collapsed="false">
      <c r="A16" s="26"/>
      <c r="B16" s="32" t="n">
        <v>12</v>
      </c>
      <c r="C16" s="45" t="n">
        <v>466</v>
      </c>
      <c r="D16" s="46" t="n">
        <v>159534</v>
      </c>
      <c r="E16" s="32" t="n">
        <v>14</v>
      </c>
      <c r="F16" s="47" t="n">
        <v>159986</v>
      </c>
      <c r="G16" s="32" t="n">
        <v>463</v>
      </c>
      <c r="H16" s="46" t="n">
        <v>159537</v>
      </c>
    </row>
    <row r="17" customFormat="false" ht="15" hidden="false" customHeight="false" outlineLevel="0" collapsed="false">
      <c r="A17" s="26"/>
      <c r="B17" s="32" t="n">
        <v>13</v>
      </c>
      <c r="C17" s="45" t="n">
        <v>551</v>
      </c>
      <c r="D17" s="46" t="n">
        <v>159449</v>
      </c>
      <c r="E17" s="32" t="n">
        <v>0</v>
      </c>
      <c r="F17" s="47" t="n">
        <v>160000</v>
      </c>
      <c r="G17" s="32" t="n">
        <v>554</v>
      </c>
      <c r="H17" s="46" t="n">
        <v>159446</v>
      </c>
    </row>
    <row r="18" customFormat="false" ht="15" hidden="false" customHeight="false" outlineLevel="0" collapsed="false">
      <c r="A18" s="26"/>
      <c r="B18" s="32" t="n">
        <v>14</v>
      </c>
      <c r="C18" s="45" t="n">
        <v>637</v>
      </c>
      <c r="D18" s="46" t="n">
        <v>159363</v>
      </c>
      <c r="E18" s="32" t="n">
        <v>23</v>
      </c>
      <c r="F18" s="47" t="n">
        <v>159977</v>
      </c>
      <c r="G18" s="32" t="n">
        <v>632</v>
      </c>
      <c r="H18" s="46" t="n">
        <v>159368</v>
      </c>
    </row>
    <row r="19" customFormat="false" ht="15" hidden="false" customHeight="false" outlineLevel="0" collapsed="false">
      <c r="A19" s="26"/>
      <c r="B19" s="32" t="n">
        <v>15</v>
      </c>
      <c r="C19" s="45" t="n">
        <v>752</v>
      </c>
      <c r="D19" s="46" t="n">
        <v>159248</v>
      </c>
      <c r="E19" s="32" t="n">
        <v>8</v>
      </c>
      <c r="F19" s="47" t="n">
        <v>159992</v>
      </c>
      <c r="G19" s="32" t="n">
        <v>746</v>
      </c>
      <c r="H19" s="46" t="n">
        <v>159254</v>
      </c>
    </row>
    <row r="20" customFormat="false" ht="15" hidden="false" customHeight="false" outlineLevel="0" collapsed="false">
      <c r="A20" s="26"/>
      <c r="B20" s="32" t="n">
        <v>16</v>
      </c>
      <c r="C20" s="45" t="n">
        <v>812</v>
      </c>
      <c r="D20" s="46" t="n">
        <v>159188</v>
      </c>
      <c r="E20" s="32" t="n">
        <v>2</v>
      </c>
      <c r="F20" s="47" t="n">
        <v>159998</v>
      </c>
      <c r="G20" s="32" t="n">
        <v>818</v>
      </c>
      <c r="H20" s="46" t="n">
        <v>159182</v>
      </c>
    </row>
    <row r="21" customFormat="false" ht="15" hidden="false" customHeight="false" outlineLevel="0" collapsed="false">
      <c r="A21" s="26"/>
      <c r="B21" s="32" t="n">
        <v>17</v>
      </c>
      <c r="C21" s="45" t="n">
        <v>940</v>
      </c>
      <c r="D21" s="46" t="n">
        <v>159060</v>
      </c>
      <c r="E21" s="32" t="n">
        <v>1</v>
      </c>
      <c r="F21" s="47" t="n">
        <v>159999</v>
      </c>
      <c r="G21" s="32" t="n">
        <v>942</v>
      </c>
      <c r="H21" s="46" t="n">
        <v>159058</v>
      </c>
    </row>
    <row r="22" customFormat="false" ht="15" hidden="false" customHeight="false" outlineLevel="0" collapsed="false">
      <c r="A22" s="26"/>
      <c r="B22" s="32" t="n">
        <v>18</v>
      </c>
      <c r="C22" s="45" t="n">
        <v>1053</v>
      </c>
      <c r="D22" s="46" t="n">
        <v>158947</v>
      </c>
      <c r="E22" s="32" t="n">
        <v>11</v>
      </c>
      <c r="F22" s="47" t="n">
        <v>159989</v>
      </c>
      <c r="G22" s="32" t="n">
        <v>1048</v>
      </c>
      <c r="H22" s="46" t="n">
        <v>158952</v>
      </c>
    </row>
    <row r="23" customFormat="false" ht="15" hidden="false" customHeight="false" outlineLevel="0" collapsed="false">
      <c r="A23" s="26"/>
      <c r="B23" s="32" t="n">
        <v>19</v>
      </c>
      <c r="C23" s="45" t="n">
        <v>1179</v>
      </c>
      <c r="D23" s="46" t="n">
        <v>158821</v>
      </c>
      <c r="E23" s="32" t="n">
        <v>52</v>
      </c>
      <c r="F23" s="47" t="n">
        <v>159948</v>
      </c>
      <c r="G23" s="32" t="n">
        <v>1181</v>
      </c>
      <c r="H23" s="46" t="n">
        <v>158819</v>
      </c>
    </row>
    <row r="24" customFormat="false" ht="15" hidden="false" customHeight="false" outlineLevel="0" collapsed="false">
      <c r="A24" s="26"/>
      <c r="B24" s="32" t="n">
        <v>20</v>
      </c>
      <c r="C24" s="45" t="n">
        <v>1258</v>
      </c>
      <c r="D24" s="46" t="n">
        <v>158742</v>
      </c>
      <c r="E24" s="32" t="n">
        <v>3</v>
      </c>
      <c r="F24" s="47" t="n">
        <v>159997</v>
      </c>
      <c r="G24" s="32" t="n">
        <v>1258</v>
      </c>
      <c r="H24" s="46" t="n">
        <v>158742</v>
      </c>
    </row>
    <row r="25" customFormat="false" ht="15" hidden="false" customHeight="false" outlineLevel="0" collapsed="false">
      <c r="A25" s="26"/>
      <c r="B25" s="32" t="n">
        <v>21</v>
      </c>
      <c r="C25" s="45" t="n">
        <v>1402</v>
      </c>
      <c r="D25" s="46" t="n">
        <v>158598</v>
      </c>
      <c r="E25" s="32" t="n">
        <v>1</v>
      </c>
      <c r="F25" s="47" t="n">
        <v>159999</v>
      </c>
      <c r="G25" s="32" t="n">
        <v>1406</v>
      </c>
      <c r="H25" s="46" t="n">
        <v>158594</v>
      </c>
    </row>
    <row r="26" customFormat="false" ht="15" hidden="false" customHeight="false" outlineLevel="0" collapsed="false">
      <c r="A26" s="26"/>
      <c r="B26" s="32" t="n">
        <v>22</v>
      </c>
      <c r="C26" s="45" t="n">
        <v>1553</v>
      </c>
      <c r="D26" s="46" t="n">
        <v>158447</v>
      </c>
      <c r="E26" s="32" t="n">
        <v>14</v>
      </c>
      <c r="F26" s="47" t="n">
        <v>159986</v>
      </c>
      <c r="G26" s="32" t="n">
        <v>1550</v>
      </c>
      <c r="H26" s="46" t="n">
        <v>158450</v>
      </c>
    </row>
    <row r="27" customFormat="false" ht="15" hidden="false" customHeight="false" outlineLevel="0" collapsed="false">
      <c r="A27" s="26"/>
      <c r="B27" s="32" t="n">
        <v>23</v>
      </c>
      <c r="C27" s="45" t="n">
        <v>1712</v>
      </c>
      <c r="D27" s="46" t="n">
        <v>158288</v>
      </c>
      <c r="E27" s="32" t="n">
        <v>13</v>
      </c>
      <c r="F27" s="47" t="n">
        <v>159987</v>
      </c>
      <c r="G27" s="32" t="n">
        <v>1708</v>
      </c>
      <c r="H27" s="46" t="n">
        <v>158292</v>
      </c>
    </row>
    <row r="28" customFormat="false" ht="15" hidden="false" customHeight="false" outlineLevel="0" collapsed="false">
      <c r="A28" s="26"/>
      <c r="B28" s="32" t="n">
        <v>24</v>
      </c>
      <c r="C28" s="45" t="n">
        <v>1804</v>
      </c>
      <c r="D28" s="46" t="n">
        <v>158196</v>
      </c>
      <c r="E28" s="32" t="n">
        <v>46</v>
      </c>
      <c r="F28" s="47" t="n">
        <v>159954</v>
      </c>
      <c r="G28" s="32" t="n">
        <v>1807</v>
      </c>
      <c r="H28" s="46" t="n">
        <v>158193</v>
      </c>
    </row>
    <row r="29" customFormat="false" ht="15" hidden="false" customHeight="false" outlineLevel="0" collapsed="false">
      <c r="A29" s="26"/>
      <c r="B29" s="32" t="n">
        <v>25</v>
      </c>
      <c r="C29" s="45" t="n">
        <v>1974</v>
      </c>
      <c r="D29" s="46" t="n">
        <v>158026</v>
      </c>
      <c r="E29" s="32" t="n">
        <v>92</v>
      </c>
      <c r="F29" s="47" t="n">
        <v>159908</v>
      </c>
      <c r="G29" s="32" t="n">
        <v>1977</v>
      </c>
      <c r="H29" s="46" t="n">
        <v>158023</v>
      </c>
    </row>
    <row r="30" customFormat="false" ht="15" hidden="false" customHeight="false" outlineLevel="0" collapsed="false">
      <c r="A30" s="26"/>
      <c r="B30" s="32" t="n">
        <v>26</v>
      </c>
      <c r="C30" s="45" t="n">
        <v>2152</v>
      </c>
      <c r="D30" s="46" t="n">
        <v>157848</v>
      </c>
      <c r="E30" s="32" t="n">
        <v>36</v>
      </c>
      <c r="F30" s="47" t="n">
        <v>159964</v>
      </c>
      <c r="G30" s="32" t="n">
        <v>2151</v>
      </c>
      <c r="H30" s="46" t="n">
        <v>157849</v>
      </c>
    </row>
    <row r="31" customFormat="false" ht="15" hidden="false" customHeight="false" outlineLevel="0" collapsed="false">
      <c r="A31" s="26"/>
      <c r="B31" s="32" t="n">
        <v>27</v>
      </c>
      <c r="C31" s="45" t="n">
        <v>2336</v>
      </c>
      <c r="D31" s="46" t="n">
        <v>157664</v>
      </c>
      <c r="E31" s="32" t="n">
        <v>59</v>
      </c>
      <c r="F31" s="47" t="n">
        <v>159941</v>
      </c>
      <c r="G31" s="32" t="n">
        <v>2334</v>
      </c>
      <c r="H31" s="46" t="n">
        <v>157666</v>
      </c>
    </row>
    <row r="32" customFormat="false" ht="15" hidden="false" customHeight="false" outlineLevel="0" collapsed="false">
      <c r="A32" s="26"/>
      <c r="B32" s="32" t="n">
        <v>28</v>
      </c>
      <c r="C32" s="45" t="n">
        <v>2387</v>
      </c>
      <c r="D32" s="46" t="n">
        <v>157613</v>
      </c>
      <c r="E32" s="32" t="n">
        <v>28</v>
      </c>
      <c r="F32" s="47" t="n">
        <v>159972</v>
      </c>
      <c r="G32" s="32" t="n">
        <v>2391</v>
      </c>
      <c r="H32" s="46" t="n">
        <v>157609</v>
      </c>
    </row>
    <row r="33" customFormat="false" ht="15" hidden="false" customHeight="false" outlineLevel="0" collapsed="false">
      <c r="A33" s="26"/>
      <c r="B33" s="32" t="n">
        <v>29</v>
      </c>
      <c r="C33" s="45" t="n">
        <v>2663</v>
      </c>
      <c r="D33" s="46" t="n">
        <v>157337</v>
      </c>
      <c r="E33" s="32" t="n">
        <v>6</v>
      </c>
      <c r="F33" s="47" t="n">
        <v>159994</v>
      </c>
      <c r="G33" s="32" t="n">
        <v>2665</v>
      </c>
      <c r="H33" s="46" t="n">
        <v>157335</v>
      </c>
    </row>
    <row r="34" customFormat="false" ht="15" hidden="false" customHeight="false" outlineLevel="0" collapsed="false">
      <c r="A34" s="26"/>
      <c r="B34" s="32" t="n">
        <v>30</v>
      </c>
      <c r="C34" s="45" t="n">
        <v>2848</v>
      </c>
      <c r="D34" s="46" t="n">
        <v>157152</v>
      </c>
      <c r="E34" s="32" t="n">
        <v>9</v>
      </c>
      <c r="F34" s="47" t="n">
        <v>159991</v>
      </c>
      <c r="G34" s="32" t="n">
        <v>2847</v>
      </c>
      <c r="H34" s="46" t="n">
        <v>157153</v>
      </c>
    </row>
    <row r="35" customFormat="false" ht="15" hidden="false" customHeight="false" outlineLevel="0" collapsed="false">
      <c r="A35" s="26"/>
      <c r="B35" s="32" t="n">
        <v>31</v>
      </c>
      <c r="C35" s="45" t="n">
        <v>3039</v>
      </c>
      <c r="D35" s="46" t="n">
        <v>156961</v>
      </c>
      <c r="E35" s="32" t="n">
        <v>22</v>
      </c>
      <c r="F35" s="47" t="n">
        <v>159978</v>
      </c>
      <c r="G35" s="32" t="n">
        <v>3041</v>
      </c>
      <c r="H35" s="46" t="n">
        <v>156959</v>
      </c>
    </row>
    <row r="36" customFormat="false" ht="15" hidden="false" customHeight="false" outlineLevel="0" collapsed="false">
      <c r="A36" s="26"/>
      <c r="B36" s="32" t="n">
        <v>32</v>
      </c>
      <c r="C36" s="45" t="n">
        <v>3184</v>
      </c>
      <c r="D36" s="46" t="n">
        <v>156816</v>
      </c>
      <c r="E36" s="32" t="n">
        <v>26</v>
      </c>
      <c r="F36" s="47" t="n">
        <v>159974</v>
      </c>
      <c r="G36" s="32" t="n">
        <v>3186</v>
      </c>
      <c r="H36" s="46" t="n">
        <v>156814</v>
      </c>
    </row>
    <row r="37" customFormat="false" ht="15" hidden="false" customHeight="false" outlineLevel="0" collapsed="false">
      <c r="A37" s="26"/>
      <c r="B37" s="32" t="n">
        <v>33</v>
      </c>
      <c r="C37" s="45" t="n">
        <v>3411</v>
      </c>
      <c r="D37" s="46" t="n">
        <v>156589</v>
      </c>
      <c r="E37" s="32" t="n">
        <v>6</v>
      </c>
      <c r="F37" s="47" t="n">
        <v>159994</v>
      </c>
      <c r="G37" s="32" t="n">
        <v>3413</v>
      </c>
      <c r="H37" s="46" t="n">
        <v>156587</v>
      </c>
    </row>
    <row r="38" customFormat="false" ht="15" hidden="false" customHeight="false" outlineLevel="0" collapsed="false">
      <c r="A38" s="26"/>
      <c r="B38" s="32" t="n">
        <v>34</v>
      </c>
      <c r="C38" s="45" t="n">
        <v>3641</v>
      </c>
      <c r="D38" s="46" t="n">
        <v>156359</v>
      </c>
      <c r="E38" s="32" t="n">
        <v>17</v>
      </c>
      <c r="F38" s="47" t="n">
        <v>159983</v>
      </c>
      <c r="G38" s="32" t="n">
        <v>3642</v>
      </c>
      <c r="H38" s="46" t="n">
        <v>156358</v>
      </c>
    </row>
    <row r="39" customFormat="false" ht="15" hidden="false" customHeight="false" outlineLevel="0" collapsed="false">
      <c r="A39" s="26"/>
      <c r="B39" s="32" t="n">
        <v>35</v>
      </c>
      <c r="C39" s="45" t="n">
        <v>3905</v>
      </c>
      <c r="D39" s="46" t="n">
        <v>156095</v>
      </c>
      <c r="E39" s="32" t="n">
        <v>31</v>
      </c>
      <c r="F39" s="47" t="n">
        <v>159969</v>
      </c>
      <c r="G39" s="32" t="n">
        <v>3899</v>
      </c>
      <c r="H39" s="46" t="n">
        <v>156101</v>
      </c>
    </row>
    <row r="40" customFormat="false" ht="15" hidden="false" customHeight="false" outlineLevel="0" collapsed="false">
      <c r="A40" s="26"/>
      <c r="B40" s="32" t="n">
        <v>36</v>
      </c>
      <c r="C40" s="45" t="n">
        <v>3995</v>
      </c>
      <c r="D40" s="46" t="n">
        <v>156005</v>
      </c>
      <c r="E40" s="32" t="n">
        <v>592</v>
      </c>
      <c r="F40" s="47" t="n">
        <v>159408</v>
      </c>
      <c r="G40" s="32" t="n">
        <v>3998</v>
      </c>
      <c r="H40" s="46" t="n">
        <v>156002</v>
      </c>
    </row>
    <row r="41" customFormat="false" ht="15" hidden="false" customHeight="false" outlineLevel="0" collapsed="false">
      <c r="A41" s="26"/>
      <c r="B41" s="32" t="n">
        <v>37</v>
      </c>
      <c r="C41" s="45" t="n">
        <v>4261</v>
      </c>
      <c r="D41" s="46" t="n">
        <v>155739</v>
      </c>
      <c r="E41" s="32" t="n">
        <v>8</v>
      </c>
      <c r="F41" s="47" t="n">
        <v>159992</v>
      </c>
      <c r="G41" s="32" t="n">
        <v>4262</v>
      </c>
      <c r="H41" s="46" t="n">
        <v>155738</v>
      </c>
    </row>
    <row r="42" customFormat="false" ht="15" hidden="false" customHeight="false" outlineLevel="0" collapsed="false">
      <c r="A42" s="26"/>
      <c r="B42" s="32" t="n">
        <v>38</v>
      </c>
      <c r="C42" s="45" t="n">
        <v>4507</v>
      </c>
      <c r="D42" s="46" t="n">
        <v>155493</v>
      </c>
      <c r="E42" s="32" t="n">
        <v>114</v>
      </c>
      <c r="F42" s="47" t="n">
        <v>159886</v>
      </c>
      <c r="G42" s="32" t="n">
        <v>4505</v>
      </c>
      <c r="H42" s="46" t="n">
        <v>155495</v>
      </c>
    </row>
    <row r="43" customFormat="false" ht="15" hidden="false" customHeight="false" outlineLevel="0" collapsed="false">
      <c r="A43" s="26"/>
      <c r="B43" s="32" t="n">
        <v>39</v>
      </c>
      <c r="C43" s="45" t="n">
        <v>4746</v>
      </c>
      <c r="D43" s="46" t="n">
        <v>155254</v>
      </c>
      <c r="E43" s="32" t="n">
        <v>80</v>
      </c>
      <c r="F43" s="47" t="n">
        <v>159920</v>
      </c>
      <c r="G43" s="32" t="n">
        <v>4745</v>
      </c>
      <c r="H43" s="46" t="n">
        <v>155255</v>
      </c>
    </row>
    <row r="44" customFormat="false" ht="15" hidden="false" customHeight="false" outlineLevel="0" collapsed="false">
      <c r="A44" s="26"/>
      <c r="B44" s="32" t="n">
        <v>40</v>
      </c>
      <c r="C44" s="45" t="n">
        <v>4883</v>
      </c>
      <c r="D44" s="46" t="n">
        <v>155117</v>
      </c>
      <c r="E44" s="32" t="n">
        <v>1037</v>
      </c>
      <c r="F44" s="47" t="n">
        <v>158963</v>
      </c>
      <c r="G44" s="32" t="n">
        <v>4888</v>
      </c>
      <c r="H44" s="46" t="n">
        <v>155112</v>
      </c>
    </row>
    <row r="45" customFormat="false" ht="15" hidden="false" customHeight="false" outlineLevel="0" collapsed="false">
      <c r="A45" s="26"/>
      <c r="B45" s="32" t="n">
        <v>41</v>
      </c>
      <c r="C45" s="45" t="n">
        <v>5104</v>
      </c>
      <c r="D45" s="46" t="n">
        <v>154896</v>
      </c>
      <c r="E45" s="32" t="n">
        <v>18</v>
      </c>
      <c r="F45" s="47" t="n">
        <v>159982</v>
      </c>
      <c r="G45" s="32" t="n">
        <v>5105</v>
      </c>
      <c r="H45" s="46" t="n">
        <v>154895</v>
      </c>
    </row>
    <row r="46" customFormat="false" ht="15" hidden="false" customHeight="false" outlineLevel="0" collapsed="false">
      <c r="A46" s="26"/>
      <c r="B46" s="32" t="n">
        <v>42</v>
      </c>
      <c r="C46" s="45" t="n">
        <v>5367</v>
      </c>
      <c r="D46" s="46" t="n">
        <v>154633</v>
      </c>
      <c r="E46" s="32" t="n">
        <v>746</v>
      </c>
      <c r="F46" s="47" t="n">
        <v>159254</v>
      </c>
      <c r="G46" s="32" t="n">
        <v>5369</v>
      </c>
      <c r="H46" s="46" t="n">
        <v>154631</v>
      </c>
    </row>
    <row r="47" customFormat="false" ht="15" hidden="false" customHeight="false" outlineLevel="0" collapsed="false">
      <c r="A47" s="26"/>
      <c r="B47" s="32" t="n">
        <v>43</v>
      </c>
      <c r="C47" s="45" t="n">
        <v>5608</v>
      </c>
      <c r="D47" s="46" t="n">
        <v>154392</v>
      </c>
      <c r="E47" s="32" t="n">
        <v>28</v>
      </c>
      <c r="F47" s="47" t="n">
        <v>159972</v>
      </c>
      <c r="G47" s="32" t="n">
        <v>5609</v>
      </c>
      <c r="H47" s="46" t="n">
        <v>154391</v>
      </c>
    </row>
    <row r="48" customFormat="false" ht="15" hidden="false" customHeight="false" outlineLevel="0" collapsed="false">
      <c r="A48" s="26"/>
      <c r="B48" s="32" t="n">
        <v>44</v>
      </c>
      <c r="C48" s="45" t="n">
        <v>5751</v>
      </c>
      <c r="D48" s="46" t="n">
        <v>154249</v>
      </c>
      <c r="E48" s="32" t="n">
        <v>15</v>
      </c>
      <c r="F48" s="47" t="n">
        <v>159985</v>
      </c>
      <c r="G48" s="32" t="n">
        <v>5749</v>
      </c>
      <c r="H48" s="46" t="n">
        <v>154251</v>
      </c>
    </row>
    <row r="49" customFormat="false" ht="15" hidden="false" customHeight="false" outlineLevel="0" collapsed="false">
      <c r="A49" s="26"/>
      <c r="B49" s="32" t="n">
        <v>45</v>
      </c>
      <c r="C49" s="45" t="n">
        <v>5963</v>
      </c>
      <c r="D49" s="46" t="n">
        <v>154037</v>
      </c>
      <c r="E49" s="32" t="n">
        <v>61</v>
      </c>
      <c r="F49" s="47" t="n">
        <v>159939</v>
      </c>
      <c r="G49" s="32" t="n">
        <v>5965</v>
      </c>
      <c r="H49" s="46" t="n">
        <v>154035</v>
      </c>
    </row>
    <row r="50" customFormat="false" ht="15" hidden="false" customHeight="false" outlineLevel="0" collapsed="false">
      <c r="A50" s="26"/>
      <c r="B50" s="32" t="n">
        <v>46</v>
      </c>
      <c r="C50" s="45" t="n">
        <v>6232</v>
      </c>
      <c r="D50" s="46" t="n">
        <v>153768</v>
      </c>
      <c r="E50" s="32" t="n">
        <v>6</v>
      </c>
      <c r="F50" s="47" t="n">
        <v>159994</v>
      </c>
      <c r="G50" s="32" t="n">
        <v>6234</v>
      </c>
      <c r="H50" s="46" t="n">
        <v>153766</v>
      </c>
    </row>
    <row r="51" customFormat="false" ht="15" hidden="false" customHeight="false" outlineLevel="0" collapsed="false">
      <c r="A51" s="26"/>
      <c r="B51" s="32" t="n">
        <v>47</v>
      </c>
      <c r="C51" s="45" t="n">
        <v>6477</v>
      </c>
      <c r="D51" s="46" t="n">
        <v>153523</v>
      </c>
      <c r="E51" s="32" t="n">
        <v>349</v>
      </c>
      <c r="F51" s="47" t="n">
        <v>159651</v>
      </c>
      <c r="G51" s="32" t="n">
        <v>6479</v>
      </c>
      <c r="H51" s="46" t="n">
        <v>153521</v>
      </c>
    </row>
    <row r="52" customFormat="false" ht="15" hidden="false" customHeight="false" outlineLevel="0" collapsed="false">
      <c r="A52" s="26"/>
      <c r="B52" s="32" t="n">
        <v>48</v>
      </c>
      <c r="C52" s="45" t="n">
        <v>6536</v>
      </c>
      <c r="D52" s="46" t="n">
        <v>153464</v>
      </c>
      <c r="E52" s="32" t="n">
        <v>105</v>
      </c>
      <c r="F52" s="47" t="n">
        <v>159895</v>
      </c>
      <c r="G52" s="32" t="n">
        <v>6539</v>
      </c>
      <c r="H52" s="46" t="n">
        <v>153461</v>
      </c>
    </row>
    <row r="53" customFormat="false" ht="15" hidden="false" customHeight="false" outlineLevel="0" collapsed="false">
      <c r="A53" s="26"/>
      <c r="B53" s="32" t="n">
        <v>49</v>
      </c>
      <c r="C53" s="45" t="n">
        <v>6866</v>
      </c>
      <c r="D53" s="46" t="n">
        <v>153134</v>
      </c>
      <c r="E53" s="32" t="n">
        <v>103</v>
      </c>
      <c r="F53" s="47" t="n">
        <v>159897</v>
      </c>
      <c r="G53" s="32" t="n">
        <v>6865</v>
      </c>
      <c r="H53" s="46" t="n">
        <v>153135</v>
      </c>
    </row>
    <row r="54" customFormat="false" ht="15" hidden="false" customHeight="false" outlineLevel="0" collapsed="false">
      <c r="A54" s="26"/>
      <c r="B54" s="32" t="n">
        <v>50</v>
      </c>
      <c r="C54" s="45" t="n">
        <v>7063</v>
      </c>
      <c r="D54" s="46" t="n">
        <v>152937</v>
      </c>
      <c r="E54" s="32" t="n">
        <v>249</v>
      </c>
      <c r="F54" s="47" t="n">
        <v>159751</v>
      </c>
      <c r="G54" s="32" t="n">
        <v>7059</v>
      </c>
      <c r="H54" s="46" t="n">
        <v>152941</v>
      </c>
    </row>
    <row r="55" customFormat="false" ht="15" hidden="false" customHeight="false" outlineLevel="0" collapsed="false">
      <c r="A55" s="26"/>
      <c r="B55" s="32" t="n">
        <v>51</v>
      </c>
      <c r="C55" s="45" t="n">
        <v>7310</v>
      </c>
      <c r="D55" s="46" t="n">
        <v>152690</v>
      </c>
      <c r="E55" s="32" t="n">
        <v>46</v>
      </c>
      <c r="F55" s="47" t="n">
        <v>159954</v>
      </c>
      <c r="G55" s="32" t="n">
        <v>7309</v>
      </c>
      <c r="H55" s="46" t="n">
        <v>152691</v>
      </c>
    </row>
    <row r="56" customFormat="false" ht="15" hidden="false" customHeight="false" outlineLevel="0" collapsed="false">
      <c r="A56" s="26"/>
      <c r="B56" s="32" t="n">
        <v>52</v>
      </c>
      <c r="C56" s="45" t="n">
        <v>7441</v>
      </c>
      <c r="D56" s="46" t="n">
        <v>152559</v>
      </c>
      <c r="E56" s="32" t="n">
        <v>162</v>
      </c>
      <c r="F56" s="47" t="n">
        <v>159838</v>
      </c>
      <c r="G56" s="32" t="n">
        <v>7439</v>
      </c>
      <c r="H56" s="46" t="n">
        <v>152561</v>
      </c>
    </row>
    <row r="57" customFormat="false" ht="15" hidden="false" customHeight="false" outlineLevel="0" collapsed="false">
      <c r="A57" s="26"/>
      <c r="B57" s="32" t="n">
        <v>53</v>
      </c>
      <c r="C57" s="45" t="n">
        <v>7650</v>
      </c>
      <c r="D57" s="46" t="n">
        <v>152350</v>
      </c>
      <c r="E57" s="32" t="n">
        <v>85</v>
      </c>
      <c r="F57" s="47" t="n">
        <v>159915</v>
      </c>
      <c r="G57" s="32" t="n">
        <v>7652</v>
      </c>
      <c r="H57" s="46" t="n">
        <v>152348</v>
      </c>
    </row>
    <row r="58" customFormat="false" ht="15" hidden="false" customHeight="false" outlineLevel="0" collapsed="false">
      <c r="A58" s="26"/>
      <c r="B58" s="32" t="n">
        <v>54</v>
      </c>
      <c r="C58" s="45" t="n">
        <v>7861</v>
      </c>
      <c r="D58" s="46" t="n">
        <v>152139</v>
      </c>
      <c r="E58" s="32" t="n">
        <v>2800</v>
      </c>
      <c r="F58" s="47" t="n">
        <v>157200</v>
      </c>
      <c r="G58" s="32" t="n">
        <v>7863</v>
      </c>
      <c r="H58" s="46" t="n">
        <v>152137</v>
      </c>
    </row>
    <row r="59" customFormat="false" ht="15" hidden="false" customHeight="false" outlineLevel="0" collapsed="false">
      <c r="A59" s="26"/>
      <c r="B59" s="32" t="n">
        <v>55</v>
      </c>
      <c r="C59" s="45" t="n">
        <v>8058</v>
      </c>
      <c r="D59" s="46" t="n">
        <v>151942</v>
      </c>
      <c r="E59" s="32" t="n">
        <v>43</v>
      </c>
      <c r="F59" s="47" t="n">
        <v>159957</v>
      </c>
      <c r="G59" s="32" t="n">
        <v>8059</v>
      </c>
      <c r="H59" s="46" t="n">
        <v>151941</v>
      </c>
    </row>
    <row r="60" customFormat="false" ht="15" hidden="false" customHeight="false" outlineLevel="0" collapsed="false">
      <c r="A60" s="26"/>
      <c r="B60" s="32" t="n">
        <v>56</v>
      </c>
      <c r="C60" s="45" t="n">
        <v>8146</v>
      </c>
      <c r="D60" s="46" t="n">
        <v>151854</v>
      </c>
      <c r="E60" s="32" t="n">
        <v>1235</v>
      </c>
      <c r="F60" s="47" t="n">
        <v>158765</v>
      </c>
      <c r="G60" s="32" t="n">
        <v>8148</v>
      </c>
      <c r="H60" s="46" t="n">
        <v>151852</v>
      </c>
    </row>
    <row r="61" customFormat="false" ht="15" hidden="false" customHeight="false" outlineLevel="0" collapsed="false">
      <c r="A61" s="26"/>
      <c r="B61" s="32" t="n">
        <v>57</v>
      </c>
      <c r="C61" s="45" t="n">
        <v>8348</v>
      </c>
      <c r="D61" s="46" t="n">
        <v>151652</v>
      </c>
      <c r="E61" s="32" t="n">
        <v>18</v>
      </c>
      <c r="F61" s="47" t="n">
        <v>159982</v>
      </c>
      <c r="G61" s="32" t="n">
        <v>8354</v>
      </c>
      <c r="H61" s="46" t="n">
        <v>151646</v>
      </c>
    </row>
    <row r="62" customFormat="false" ht="15" hidden="false" customHeight="false" outlineLevel="0" collapsed="false">
      <c r="A62" s="26"/>
      <c r="B62" s="32" t="n">
        <v>58</v>
      </c>
      <c r="C62" s="45" t="n">
        <v>8505</v>
      </c>
      <c r="D62" s="46" t="n">
        <v>151495</v>
      </c>
      <c r="E62" s="32" t="n">
        <v>8</v>
      </c>
      <c r="F62" s="47" t="n">
        <v>159992</v>
      </c>
      <c r="G62" s="32" t="n">
        <v>8505</v>
      </c>
      <c r="H62" s="46" t="n">
        <v>151495</v>
      </c>
    </row>
    <row r="63" customFormat="false" ht="15" hidden="false" customHeight="false" outlineLevel="0" collapsed="false">
      <c r="A63" s="26"/>
      <c r="B63" s="32" t="n">
        <v>59</v>
      </c>
      <c r="C63" s="45" t="n">
        <v>8677</v>
      </c>
      <c r="D63" s="46" t="n">
        <v>151323</v>
      </c>
      <c r="E63" s="32" t="n">
        <v>1380</v>
      </c>
      <c r="F63" s="47" t="n">
        <v>158620</v>
      </c>
      <c r="G63" s="32" t="n">
        <v>8681</v>
      </c>
      <c r="H63" s="46" t="n">
        <v>151319</v>
      </c>
    </row>
    <row r="64" customFormat="false" ht="15" hidden="false" customHeight="false" outlineLevel="0" collapsed="false">
      <c r="A64" s="26"/>
      <c r="B64" s="32" t="n">
        <v>60</v>
      </c>
      <c r="C64" s="45" t="n">
        <v>8749</v>
      </c>
      <c r="D64" s="46" t="n">
        <v>151251</v>
      </c>
      <c r="E64" s="32" t="n">
        <v>116</v>
      </c>
      <c r="F64" s="47" t="n">
        <v>159884</v>
      </c>
      <c r="G64" s="32" t="n">
        <v>8749</v>
      </c>
      <c r="H64" s="46" t="n">
        <v>151251</v>
      </c>
    </row>
    <row r="65" customFormat="false" ht="15" hidden="false" customHeight="false" outlineLevel="0" collapsed="false">
      <c r="A65" s="26"/>
      <c r="B65" s="32" t="n">
        <v>61</v>
      </c>
      <c r="C65" s="45" t="n">
        <v>8894</v>
      </c>
      <c r="D65" s="46" t="n">
        <v>151106</v>
      </c>
      <c r="E65" s="32" t="n">
        <v>752</v>
      </c>
      <c r="F65" s="47" t="n">
        <v>159248</v>
      </c>
      <c r="G65" s="32" t="n">
        <v>8894</v>
      </c>
      <c r="H65" s="46" t="n">
        <v>151106</v>
      </c>
    </row>
    <row r="66" customFormat="false" ht="15" hidden="false" customHeight="false" outlineLevel="0" collapsed="false">
      <c r="A66" s="26"/>
      <c r="B66" s="32" t="n">
        <v>62</v>
      </c>
      <c r="C66" s="45" t="n">
        <v>8977</v>
      </c>
      <c r="D66" s="46" t="n">
        <v>151023</v>
      </c>
      <c r="E66" s="32" t="n">
        <v>620</v>
      </c>
      <c r="F66" s="47" t="n">
        <v>159380</v>
      </c>
      <c r="G66" s="32" t="n">
        <v>8976</v>
      </c>
      <c r="H66" s="46" t="n">
        <v>151024</v>
      </c>
    </row>
    <row r="67" customFormat="false" ht="15" hidden="false" customHeight="false" outlineLevel="0" collapsed="false">
      <c r="A67" s="26"/>
      <c r="B67" s="32" t="n">
        <v>63</v>
      </c>
      <c r="C67" s="45" t="n">
        <v>9108</v>
      </c>
      <c r="D67" s="46" t="n">
        <v>150892</v>
      </c>
      <c r="E67" s="32" t="n">
        <v>14</v>
      </c>
      <c r="F67" s="47" t="n">
        <v>159986</v>
      </c>
      <c r="G67" s="32" t="n">
        <v>9106</v>
      </c>
      <c r="H67" s="46" t="n">
        <v>150894</v>
      </c>
    </row>
    <row r="68" customFormat="false" ht="15" hidden="false" customHeight="false" outlineLevel="0" collapsed="false">
      <c r="A68" s="26"/>
      <c r="B68" s="32" t="n">
        <v>64</v>
      </c>
      <c r="C68" s="45" t="n">
        <v>9133</v>
      </c>
      <c r="D68" s="46" t="n">
        <v>150867</v>
      </c>
      <c r="E68" s="32" t="n">
        <v>16</v>
      </c>
      <c r="F68" s="47" t="n">
        <v>159984</v>
      </c>
      <c r="G68" s="32" t="n">
        <v>9135</v>
      </c>
      <c r="H68" s="46" t="n">
        <v>150865</v>
      </c>
    </row>
    <row r="69" customFormat="false" ht="15" hidden="false" customHeight="false" outlineLevel="0" collapsed="false">
      <c r="A69" s="26"/>
      <c r="B69" s="32" t="n">
        <v>65</v>
      </c>
      <c r="C69" s="45" t="n">
        <v>9218</v>
      </c>
      <c r="D69" s="46" t="n">
        <v>150782</v>
      </c>
      <c r="E69" s="32" t="n">
        <v>19</v>
      </c>
      <c r="F69" s="47" t="n">
        <v>159981</v>
      </c>
      <c r="G69" s="32" t="n">
        <v>9221</v>
      </c>
      <c r="H69" s="46" t="n">
        <v>150779</v>
      </c>
    </row>
    <row r="70" customFormat="false" ht="15" hidden="false" customHeight="false" outlineLevel="0" collapsed="false">
      <c r="A70" s="26"/>
      <c r="B70" s="32" t="n">
        <v>66</v>
      </c>
      <c r="C70" s="45" t="n">
        <v>9291</v>
      </c>
      <c r="D70" s="46" t="n">
        <v>150709</v>
      </c>
      <c r="E70" s="32" t="n">
        <v>7</v>
      </c>
      <c r="F70" s="47" t="n">
        <v>159993</v>
      </c>
      <c r="G70" s="32" t="n">
        <v>9294</v>
      </c>
      <c r="H70" s="46" t="n">
        <v>150706</v>
      </c>
    </row>
    <row r="71" customFormat="false" ht="15" hidden="false" customHeight="false" outlineLevel="0" collapsed="false">
      <c r="A71" s="26"/>
      <c r="B71" s="32" t="n">
        <v>67</v>
      </c>
      <c r="C71" s="45" t="n">
        <v>9376</v>
      </c>
      <c r="D71" s="46" t="n">
        <v>150624</v>
      </c>
      <c r="E71" s="32" t="n">
        <v>25</v>
      </c>
      <c r="F71" s="47" t="n">
        <v>159975</v>
      </c>
      <c r="G71" s="32" t="n">
        <v>9378</v>
      </c>
      <c r="H71" s="46" t="n">
        <v>150622</v>
      </c>
    </row>
    <row r="72" customFormat="false" ht="15" hidden="false" customHeight="false" outlineLevel="0" collapsed="false">
      <c r="A72" s="26"/>
      <c r="B72" s="32" t="n">
        <v>68</v>
      </c>
      <c r="C72" s="45" t="n">
        <v>9335</v>
      </c>
      <c r="D72" s="46" t="n">
        <v>150665</v>
      </c>
      <c r="E72" s="32" t="n">
        <v>12</v>
      </c>
      <c r="F72" s="47" t="n">
        <v>159988</v>
      </c>
      <c r="G72" s="32" t="n">
        <v>9337</v>
      </c>
      <c r="H72" s="46" t="n">
        <v>150663</v>
      </c>
    </row>
    <row r="73" customFormat="false" ht="15" hidden="false" customHeight="false" outlineLevel="0" collapsed="false">
      <c r="A73" s="26"/>
      <c r="B73" s="32" t="n">
        <v>69</v>
      </c>
      <c r="C73" s="45" t="n">
        <v>9391</v>
      </c>
      <c r="D73" s="46" t="n">
        <v>150609</v>
      </c>
      <c r="E73" s="32" t="n">
        <v>530</v>
      </c>
      <c r="F73" s="47" t="n">
        <v>159470</v>
      </c>
      <c r="G73" s="32" t="n">
        <v>9394</v>
      </c>
      <c r="H73" s="46" t="n">
        <v>150606</v>
      </c>
    </row>
    <row r="74" customFormat="false" ht="15" hidden="false" customHeight="false" outlineLevel="0" collapsed="false">
      <c r="A74" s="26"/>
      <c r="B74" s="32" t="n">
        <v>70</v>
      </c>
      <c r="C74" s="45" t="n">
        <v>9401</v>
      </c>
      <c r="D74" s="46" t="n">
        <v>150599</v>
      </c>
      <c r="E74" s="32" t="n">
        <v>58</v>
      </c>
      <c r="F74" s="47" t="n">
        <v>159942</v>
      </c>
      <c r="G74" s="32" t="n">
        <v>9405</v>
      </c>
      <c r="H74" s="46" t="n">
        <v>150595</v>
      </c>
    </row>
    <row r="75" customFormat="false" ht="15" hidden="false" customHeight="false" outlineLevel="0" collapsed="false">
      <c r="A75" s="26"/>
      <c r="B75" s="32" t="n">
        <v>71</v>
      </c>
      <c r="C75" s="45" t="n">
        <v>9391</v>
      </c>
      <c r="D75" s="46" t="n">
        <v>150609</v>
      </c>
      <c r="E75" s="32" t="n">
        <v>80</v>
      </c>
      <c r="F75" s="47" t="n">
        <v>159920</v>
      </c>
      <c r="G75" s="32" t="n">
        <v>9389</v>
      </c>
      <c r="H75" s="46" t="n">
        <v>150611</v>
      </c>
    </row>
    <row r="76" customFormat="false" ht="15" hidden="false" customHeight="false" outlineLevel="0" collapsed="false">
      <c r="A76" s="26"/>
      <c r="B76" s="32" t="n">
        <v>72</v>
      </c>
      <c r="C76" s="45" t="n">
        <v>9333</v>
      </c>
      <c r="D76" s="46" t="n">
        <v>150667</v>
      </c>
      <c r="E76" s="32" t="n">
        <v>1261</v>
      </c>
      <c r="F76" s="47" t="n">
        <v>158739</v>
      </c>
      <c r="G76" s="32" t="n">
        <v>9338</v>
      </c>
      <c r="H76" s="46" t="n">
        <v>150662</v>
      </c>
    </row>
    <row r="77" customFormat="false" ht="15" hidden="false" customHeight="false" outlineLevel="0" collapsed="false">
      <c r="A77" s="26"/>
      <c r="B77" s="32" t="n">
        <v>73</v>
      </c>
      <c r="C77" s="45" t="n">
        <v>9352</v>
      </c>
      <c r="D77" s="46" t="n">
        <v>150648</v>
      </c>
      <c r="E77" s="32" t="n">
        <v>17</v>
      </c>
      <c r="F77" s="47" t="n">
        <v>159983</v>
      </c>
      <c r="G77" s="32" t="n">
        <v>9352</v>
      </c>
      <c r="H77" s="46" t="n">
        <v>150648</v>
      </c>
    </row>
    <row r="78" customFormat="false" ht="15" hidden="false" customHeight="false" outlineLevel="0" collapsed="false">
      <c r="A78" s="26"/>
      <c r="B78" s="32" t="n">
        <v>74</v>
      </c>
      <c r="C78" s="45" t="n">
        <v>9291</v>
      </c>
      <c r="D78" s="46" t="n">
        <v>150709</v>
      </c>
      <c r="E78" s="32" t="n">
        <v>19</v>
      </c>
      <c r="F78" s="47" t="n">
        <v>159981</v>
      </c>
      <c r="G78" s="32" t="n">
        <v>9295</v>
      </c>
      <c r="H78" s="46" t="n">
        <v>150705</v>
      </c>
    </row>
    <row r="79" customFormat="false" ht="15" hidden="false" customHeight="false" outlineLevel="0" collapsed="false">
      <c r="A79" s="26"/>
      <c r="B79" s="32" t="n">
        <v>75</v>
      </c>
      <c r="C79" s="45" t="n">
        <v>9240</v>
      </c>
      <c r="D79" s="46" t="n">
        <v>150760</v>
      </c>
      <c r="E79" s="32" t="n">
        <v>141</v>
      </c>
      <c r="F79" s="47" t="n">
        <v>159859</v>
      </c>
      <c r="G79" s="32" t="n">
        <v>9242</v>
      </c>
      <c r="H79" s="46" t="n">
        <v>150758</v>
      </c>
    </row>
    <row r="80" customFormat="false" ht="15" hidden="false" customHeight="false" outlineLevel="0" collapsed="false">
      <c r="A80" s="26"/>
      <c r="B80" s="32" t="n">
        <v>76</v>
      </c>
      <c r="C80" s="45" t="n">
        <v>9142</v>
      </c>
      <c r="D80" s="46" t="n">
        <v>150858</v>
      </c>
      <c r="E80" s="32" t="n">
        <v>709</v>
      </c>
      <c r="F80" s="47" t="n">
        <v>159291</v>
      </c>
      <c r="G80" s="32" t="n">
        <v>9146</v>
      </c>
      <c r="H80" s="46" t="n">
        <v>150854</v>
      </c>
    </row>
    <row r="81" customFormat="false" ht="15" hidden="false" customHeight="false" outlineLevel="0" collapsed="false">
      <c r="A81" s="26"/>
      <c r="B81" s="32" t="n">
        <v>77</v>
      </c>
      <c r="C81" s="45" t="n">
        <v>9108</v>
      </c>
      <c r="D81" s="46" t="n">
        <v>150892</v>
      </c>
      <c r="E81" s="32" t="n">
        <v>994</v>
      </c>
      <c r="F81" s="47" t="n">
        <v>159006</v>
      </c>
      <c r="G81" s="32" t="n">
        <v>9110</v>
      </c>
      <c r="H81" s="46" t="n">
        <v>150890</v>
      </c>
    </row>
    <row r="82" customFormat="false" ht="15" hidden="false" customHeight="false" outlineLevel="0" collapsed="false">
      <c r="A82" s="26"/>
      <c r="B82" s="32" t="n">
        <v>78</v>
      </c>
      <c r="C82" s="45" t="n">
        <v>8999</v>
      </c>
      <c r="D82" s="46" t="n">
        <v>151001</v>
      </c>
      <c r="E82" s="32" t="n">
        <v>1134</v>
      </c>
      <c r="F82" s="47" t="n">
        <v>158866</v>
      </c>
      <c r="G82" s="32" t="n">
        <v>9004</v>
      </c>
      <c r="H82" s="46" t="n">
        <v>150996</v>
      </c>
    </row>
    <row r="83" customFormat="false" ht="15" hidden="false" customHeight="false" outlineLevel="0" collapsed="false">
      <c r="A83" s="26"/>
      <c r="B83" s="32" t="n">
        <v>79</v>
      </c>
      <c r="C83" s="45" t="n">
        <v>8894</v>
      </c>
      <c r="D83" s="46" t="n">
        <v>151106</v>
      </c>
      <c r="E83" s="32" t="n">
        <v>174</v>
      </c>
      <c r="F83" s="47" t="n">
        <v>159826</v>
      </c>
      <c r="G83" s="32" t="n">
        <v>8893</v>
      </c>
      <c r="H83" s="46" t="n">
        <v>151107</v>
      </c>
    </row>
    <row r="84" customFormat="false" ht="15" hidden="false" customHeight="false" outlineLevel="0" collapsed="false">
      <c r="A84" s="26"/>
      <c r="B84" s="32" t="n">
        <v>80</v>
      </c>
      <c r="C84" s="45" t="n">
        <v>8749</v>
      </c>
      <c r="D84" s="46" t="n">
        <v>151251</v>
      </c>
      <c r="E84" s="32" t="n">
        <v>49</v>
      </c>
      <c r="F84" s="47" t="n">
        <v>159951</v>
      </c>
      <c r="G84" s="32" t="n">
        <v>8750</v>
      </c>
      <c r="H84" s="46" t="n">
        <v>151250</v>
      </c>
    </row>
    <row r="85" customFormat="false" ht="15" hidden="false" customHeight="false" outlineLevel="0" collapsed="false">
      <c r="A85" s="26"/>
      <c r="B85" s="32" t="n">
        <v>81</v>
      </c>
      <c r="C85" s="45" t="n">
        <v>8677</v>
      </c>
      <c r="D85" s="46" t="n">
        <v>151323</v>
      </c>
      <c r="E85" s="32" t="n">
        <v>324</v>
      </c>
      <c r="F85" s="47" t="n">
        <v>159676</v>
      </c>
      <c r="G85" s="32" t="n">
        <v>8677</v>
      </c>
      <c r="H85" s="46" t="n">
        <v>151323</v>
      </c>
    </row>
    <row r="86" customFormat="false" ht="15" hidden="false" customHeight="false" outlineLevel="0" collapsed="false">
      <c r="A86" s="26"/>
      <c r="B86" s="32" t="n">
        <v>82</v>
      </c>
      <c r="C86" s="45" t="n">
        <v>8523</v>
      </c>
      <c r="D86" s="46" t="n">
        <v>151477</v>
      </c>
      <c r="E86" s="32" t="n">
        <v>672</v>
      </c>
      <c r="F86" s="47" t="n">
        <v>159328</v>
      </c>
      <c r="G86" s="32" t="n">
        <v>8523</v>
      </c>
      <c r="H86" s="46" t="n">
        <v>151477</v>
      </c>
    </row>
    <row r="87" customFormat="false" ht="15" hidden="false" customHeight="false" outlineLevel="0" collapsed="false">
      <c r="A87" s="26"/>
      <c r="B87" s="32" t="n">
        <v>83</v>
      </c>
      <c r="C87" s="45" t="n">
        <v>8328</v>
      </c>
      <c r="D87" s="46" t="n">
        <v>151672</v>
      </c>
      <c r="E87" s="32" t="n">
        <v>10</v>
      </c>
      <c r="F87" s="47" t="n">
        <v>159990</v>
      </c>
      <c r="G87" s="32" t="n">
        <v>8332</v>
      </c>
      <c r="H87" s="46" t="n">
        <v>151668</v>
      </c>
    </row>
    <row r="88" customFormat="false" ht="15" hidden="false" customHeight="false" outlineLevel="0" collapsed="false">
      <c r="A88" s="26"/>
      <c r="B88" s="32" t="n">
        <v>84</v>
      </c>
      <c r="C88" s="45" t="n">
        <v>8222</v>
      </c>
      <c r="D88" s="46" t="n">
        <v>151778</v>
      </c>
      <c r="E88" s="32" t="n">
        <v>81</v>
      </c>
      <c r="F88" s="47" t="n">
        <v>159919</v>
      </c>
      <c r="G88" s="32" t="n">
        <v>8222</v>
      </c>
      <c r="H88" s="46" t="n">
        <v>151778</v>
      </c>
    </row>
    <row r="89" customFormat="false" ht="15" hidden="false" customHeight="false" outlineLevel="0" collapsed="false">
      <c r="A89" s="26"/>
      <c r="B89" s="32" t="n">
        <v>85</v>
      </c>
      <c r="C89" s="45" t="n">
        <v>8058</v>
      </c>
      <c r="D89" s="46" t="n">
        <v>151942</v>
      </c>
      <c r="E89" s="32" t="n">
        <v>9</v>
      </c>
      <c r="F89" s="47" t="n">
        <v>159991</v>
      </c>
      <c r="G89" s="32" t="n">
        <v>8062</v>
      </c>
      <c r="H89" s="46" t="n">
        <v>151938</v>
      </c>
    </row>
    <row r="90" customFormat="false" ht="15" hidden="false" customHeight="false" outlineLevel="0" collapsed="false">
      <c r="A90" s="26"/>
      <c r="B90" s="32" t="n">
        <v>86</v>
      </c>
      <c r="C90" s="45" t="n">
        <v>7858</v>
      </c>
      <c r="D90" s="46" t="n">
        <v>152142</v>
      </c>
      <c r="E90" s="32" t="n">
        <v>1790</v>
      </c>
      <c r="F90" s="47" t="n">
        <v>158210</v>
      </c>
      <c r="G90" s="32" t="n">
        <v>7858</v>
      </c>
      <c r="H90" s="46" t="n">
        <v>152142</v>
      </c>
    </row>
    <row r="91" customFormat="false" ht="15" hidden="false" customHeight="false" outlineLevel="0" collapsed="false">
      <c r="A91" s="26"/>
      <c r="B91" s="32" t="n">
        <v>87</v>
      </c>
      <c r="C91" s="45" t="n">
        <v>7650</v>
      </c>
      <c r="D91" s="46" t="n">
        <v>152350</v>
      </c>
      <c r="E91" s="32" t="n">
        <v>62</v>
      </c>
      <c r="F91" s="47" t="n">
        <v>159938</v>
      </c>
      <c r="G91" s="32" t="n">
        <v>7655</v>
      </c>
      <c r="H91" s="46" t="n">
        <v>152345</v>
      </c>
    </row>
    <row r="92" customFormat="false" ht="15" hidden="false" customHeight="false" outlineLevel="0" collapsed="false">
      <c r="A92" s="26"/>
      <c r="B92" s="32" t="n">
        <v>88</v>
      </c>
      <c r="C92" s="45" t="n">
        <v>7441</v>
      </c>
      <c r="D92" s="46" t="n">
        <v>152559</v>
      </c>
      <c r="E92" s="32" t="n">
        <v>31</v>
      </c>
      <c r="F92" s="47" t="n">
        <v>159969</v>
      </c>
      <c r="G92" s="32" t="n">
        <v>7444</v>
      </c>
      <c r="H92" s="46" t="n">
        <v>152556</v>
      </c>
    </row>
    <row r="93" customFormat="false" ht="15" hidden="false" customHeight="false" outlineLevel="0" collapsed="false">
      <c r="A93" s="26"/>
      <c r="B93" s="32" t="n">
        <v>89</v>
      </c>
      <c r="C93" s="45" t="n">
        <v>7377</v>
      </c>
      <c r="D93" s="46" t="n">
        <v>152623</v>
      </c>
      <c r="E93" s="32" t="n">
        <v>15</v>
      </c>
      <c r="F93" s="47" t="n">
        <v>159985</v>
      </c>
      <c r="G93" s="32" t="n">
        <v>7379</v>
      </c>
      <c r="H93" s="46" t="n">
        <v>152621</v>
      </c>
    </row>
    <row r="94" customFormat="false" ht="15" hidden="false" customHeight="false" outlineLevel="0" collapsed="false">
      <c r="A94" s="26"/>
      <c r="B94" s="32" t="n">
        <v>90</v>
      </c>
      <c r="C94" s="45" t="n">
        <v>7087</v>
      </c>
      <c r="D94" s="46" t="n">
        <v>152913</v>
      </c>
      <c r="E94" s="32" t="n">
        <v>205</v>
      </c>
      <c r="F94" s="47" t="n">
        <v>159795</v>
      </c>
      <c r="G94" s="32" t="n">
        <v>7087</v>
      </c>
      <c r="H94" s="46" t="n">
        <v>152913</v>
      </c>
    </row>
    <row r="95" customFormat="false" ht="15" hidden="false" customHeight="false" outlineLevel="0" collapsed="false">
      <c r="A95" s="26"/>
      <c r="B95" s="32" t="n">
        <v>91</v>
      </c>
      <c r="C95" s="45" t="n">
        <v>6879</v>
      </c>
      <c r="D95" s="46" t="n">
        <v>153121</v>
      </c>
      <c r="E95" s="32" t="n">
        <v>77</v>
      </c>
      <c r="F95" s="47" t="n">
        <v>159923</v>
      </c>
      <c r="G95" s="32" t="n">
        <v>6881</v>
      </c>
      <c r="H95" s="46" t="n">
        <v>153119</v>
      </c>
    </row>
    <row r="96" customFormat="false" ht="15" hidden="false" customHeight="false" outlineLevel="0" collapsed="false">
      <c r="A96" s="26"/>
      <c r="B96" s="32" t="n">
        <v>92</v>
      </c>
      <c r="C96" s="45" t="n">
        <v>6536</v>
      </c>
      <c r="D96" s="46" t="n">
        <v>153464</v>
      </c>
      <c r="E96" s="32" t="n">
        <v>94</v>
      </c>
      <c r="F96" s="47" t="n">
        <v>159906</v>
      </c>
      <c r="G96" s="32" t="n">
        <v>6533</v>
      </c>
      <c r="H96" s="46" t="n">
        <v>153467</v>
      </c>
    </row>
    <row r="97" customFormat="false" ht="15" hidden="false" customHeight="false" outlineLevel="0" collapsed="false">
      <c r="A97" s="26"/>
      <c r="B97" s="32" t="n">
        <v>93</v>
      </c>
      <c r="C97" s="45" t="n">
        <v>6477</v>
      </c>
      <c r="D97" s="46" t="n">
        <v>153523</v>
      </c>
      <c r="E97" s="32" t="n">
        <v>17</v>
      </c>
      <c r="F97" s="47" t="n">
        <v>159983</v>
      </c>
      <c r="G97" s="32" t="n">
        <v>6475</v>
      </c>
      <c r="H97" s="46" t="n">
        <v>153525</v>
      </c>
    </row>
    <row r="98" customFormat="false" ht="15" hidden="false" customHeight="false" outlineLevel="0" collapsed="false">
      <c r="A98" s="26"/>
      <c r="B98" s="32" t="n">
        <v>94</v>
      </c>
      <c r="C98" s="45" t="n">
        <v>6233</v>
      </c>
      <c r="D98" s="46" t="n">
        <v>153767</v>
      </c>
      <c r="E98" s="32" t="n">
        <v>18</v>
      </c>
      <c r="F98" s="47" t="n">
        <v>159982</v>
      </c>
      <c r="G98" s="32" t="n">
        <v>6229</v>
      </c>
      <c r="H98" s="46" t="n">
        <v>153771</v>
      </c>
    </row>
    <row r="99" customFormat="false" ht="15" hidden="false" customHeight="false" outlineLevel="0" collapsed="false">
      <c r="A99" s="26"/>
      <c r="B99" s="32" t="n">
        <v>95</v>
      </c>
      <c r="C99" s="45" t="n">
        <v>5988</v>
      </c>
      <c r="D99" s="46" t="n">
        <v>154012</v>
      </c>
      <c r="E99" s="32" t="n">
        <v>127</v>
      </c>
      <c r="F99" s="47" t="n">
        <v>159873</v>
      </c>
      <c r="G99" s="32" t="n">
        <v>5983</v>
      </c>
      <c r="H99" s="46" t="n">
        <v>154017</v>
      </c>
    </row>
    <row r="100" customFormat="false" ht="15" hidden="false" customHeight="false" outlineLevel="0" collapsed="false">
      <c r="A100" s="26"/>
      <c r="B100" s="32" t="n">
        <v>96</v>
      </c>
      <c r="C100" s="45" t="n">
        <v>5752</v>
      </c>
      <c r="D100" s="46" t="n">
        <v>154248</v>
      </c>
      <c r="E100" s="32" t="n">
        <v>8</v>
      </c>
      <c r="F100" s="47" t="n">
        <v>159992</v>
      </c>
      <c r="G100" s="32" t="n">
        <v>5753</v>
      </c>
      <c r="H100" s="46" t="n">
        <v>154247</v>
      </c>
    </row>
    <row r="101" customFormat="false" ht="15" hidden="false" customHeight="false" outlineLevel="0" collapsed="false">
      <c r="A101" s="26"/>
      <c r="B101" s="32" t="n">
        <v>97</v>
      </c>
      <c r="C101" s="45" t="n">
        <v>5608</v>
      </c>
      <c r="D101" s="46" t="n">
        <v>154392</v>
      </c>
      <c r="E101" s="32" t="n">
        <v>15</v>
      </c>
      <c r="F101" s="47" t="n">
        <v>159985</v>
      </c>
      <c r="G101" s="32" t="n">
        <v>5615</v>
      </c>
      <c r="H101" s="46" t="n">
        <v>154385</v>
      </c>
    </row>
    <row r="102" customFormat="false" ht="15" hidden="false" customHeight="false" outlineLevel="0" collapsed="false">
      <c r="A102" s="26"/>
      <c r="B102" s="32" t="n">
        <v>98</v>
      </c>
      <c r="C102" s="45" t="n">
        <v>5367</v>
      </c>
      <c r="D102" s="46" t="n">
        <v>154633</v>
      </c>
      <c r="E102" s="32" t="n">
        <v>23</v>
      </c>
      <c r="F102" s="47" t="n">
        <v>159977</v>
      </c>
      <c r="G102" s="32" t="n">
        <v>5367</v>
      </c>
      <c r="H102" s="46" t="n">
        <v>154633</v>
      </c>
    </row>
    <row r="103" customFormat="false" ht="15" hidden="false" customHeight="false" outlineLevel="0" collapsed="false">
      <c r="A103" s="26"/>
      <c r="B103" s="32" t="n">
        <v>99</v>
      </c>
      <c r="C103" s="45" t="n">
        <v>5130</v>
      </c>
      <c r="D103" s="46" t="n">
        <v>154870</v>
      </c>
      <c r="E103" s="32" t="n">
        <v>18</v>
      </c>
      <c r="F103" s="47" t="n">
        <v>159982</v>
      </c>
      <c r="G103" s="32" t="n">
        <v>5127</v>
      </c>
      <c r="H103" s="46" t="n">
        <v>154873</v>
      </c>
    </row>
    <row r="104" customFormat="false" ht="15" hidden="false" customHeight="false" outlineLevel="0" collapsed="false">
      <c r="A104" s="26"/>
      <c r="B104" s="32" t="n">
        <v>100</v>
      </c>
      <c r="C104" s="45" t="n">
        <v>4960</v>
      </c>
      <c r="D104" s="46" t="n">
        <v>155040</v>
      </c>
      <c r="E104" s="32" t="n">
        <v>126</v>
      </c>
      <c r="F104" s="47" t="n">
        <v>159874</v>
      </c>
      <c r="G104" s="32" t="n">
        <v>4961</v>
      </c>
      <c r="H104" s="46" t="n">
        <v>155039</v>
      </c>
    </row>
    <row r="105" customFormat="false" ht="15" hidden="false" customHeight="false" outlineLevel="0" collapsed="false">
      <c r="A105" s="26"/>
      <c r="B105" s="32" t="n">
        <v>101</v>
      </c>
      <c r="C105" s="45" t="n">
        <v>4671</v>
      </c>
      <c r="D105" s="46" t="n">
        <v>155329</v>
      </c>
      <c r="E105" s="32" t="n">
        <v>11</v>
      </c>
      <c r="F105" s="47" t="n">
        <v>159989</v>
      </c>
      <c r="G105" s="32" t="n">
        <v>4677</v>
      </c>
      <c r="H105" s="46" t="n">
        <v>155323</v>
      </c>
    </row>
    <row r="106" customFormat="false" ht="15" hidden="false" customHeight="false" outlineLevel="0" collapsed="false">
      <c r="A106" s="26"/>
      <c r="B106" s="32" t="n">
        <v>102</v>
      </c>
      <c r="C106" s="45" t="n">
        <v>4505</v>
      </c>
      <c r="D106" s="46" t="n">
        <v>155495</v>
      </c>
      <c r="E106" s="32" t="n">
        <v>603</v>
      </c>
      <c r="F106" s="47" t="n">
        <v>159397</v>
      </c>
      <c r="G106" s="32" t="n">
        <v>4500</v>
      </c>
      <c r="H106" s="46" t="n">
        <v>155500</v>
      </c>
    </row>
    <row r="107" customFormat="false" ht="15" hidden="false" customHeight="false" outlineLevel="0" collapsed="false">
      <c r="A107" s="26"/>
      <c r="B107" s="32" t="n">
        <v>103</v>
      </c>
      <c r="C107" s="45" t="n">
        <v>4261</v>
      </c>
      <c r="D107" s="46" t="n">
        <v>155739</v>
      </c>
      <c r="E107" s="32" t="n">
        <v>52</v>
      </c>
      <c r="F107" s="47" t="n">
        <v>159948</v>
      </c>
      <c r="G107" s="32" t="n">
        <v>4261</v>
      </c>
      <c r="H107" s="46" t="n">
        <v>155739</v>
      </c>
    </row>
    <row r="108" customFormat="false" ht="15" hidden="false" customHeight="false" outlineLevel="0" collapsed="false">
      <c r="A108" s="26"/>
      <c r="B108" s="32" t="n">
        <v>104</v>
      </c>
      <c r="C108" s="45" t="n">
        <v>4020</v>
      </c>
      <c r="D108" s="46" t="n">
        <v>155980</v>
      </c>
      <c r="E108" s="32" t="n">
        <v>34</v>
      </c>
      <c r="F108" s="47" t="n">
        <v>159966</v>
      </c>
      <c r="G108" s="32" t="n">
        <v>4019</v>
      </c>
      <c r="H108" s="46" t="n">
        <v>155981</v>
      </c>
    </row>
    <row r="109" customFormat="false" ht="15" hidden="false" customHeight="false" outlineLevel="0" collapsed="false">
      <c r="A109" s="26"/>
      <c r="B109" s="32" t="n">
        <v>105</v>
      </c>
      <c r="C109" s="45" t="n">
        <v>3855</v>
      </c>
      <c r="D109" s="46" t="n">
        <v>156145</v>
      </c>
      <c r="E109" s="32" t="n">
        <v>27</v>
      </c>
      <c r="F109" s="47" t="n">
        <v>159973</v>
      </c>
      <c r="G109" s="32" t="n">
        <v>3846</v>
      </c>
      <c r="H109" s="46" t="n">
        <v>156154</v>
      </c>
    </row>
    <row r="110" customFormat="false" ht="15" hidden="false" customHeight="false" outlineLevel="0" collapsed="false">
      <c r="A110" s="26"/>
      <c r="B110" s="32" t="n">
        <v>106</v>
      </c>
      <c r="C110" s="45" t="n">
        <v>3641</v>
      </c>
      <c r="D110" s="46" t="n">
        <v>156359</v>
      </c>
      <c r="E110" s="32" t="n">
        <v>0</v>
      </c>
      <c r="F110" s="47" t="n">
        <v>160000</v>
      </c>
      <c r="G110" s="32" t="n">
        <v>3644</v>
      </c>
      <c r="H110" s="46" t="n">
        <v>156356</v>
      </c>
    </row>
    <row r="111" customFormat="false" ht="15" hidden="false" customHeight="false" outlineLevel="0" collapsed="false">
      <c r="A111" s="26"/>
      <c r="B111" s="32" t="n">
        <v>107</v>
      </c>
      <c r="C111" s="45" t="n">
        <v>3433</v>
      </c>
      <c r="D111" s="46" t="n">
        <v>156567</v>
      </c>
      <c r="E111" s="32" t="n">
        <v>24</v>
      </c>
      <c r="F111" s="47" t="n">
        <v>159976</v>
      </c>
      <c r="G111" s="32" t="n">
        <v>3446</v>
      </c>
      <c r="H111" s="46" t="n">
        <v>156554</v>
      </c>
    </row>
    <row r="112" customFormat="false" ht="15" hidden="false" customHeight="false" outlineLevel="0" collapsed="false">
      <c r="A112" s="26"/>
      <c r="B112" s="32" t="n">
        <v>108</v>
      </c>
      <c r="C112" s="45" t="n">
        <v>3184</v>
      </c>
      <c r="D112" s="46" t="n">
        <v>156816</v>
      </c>
      <c r="E112" s="32" t="n">
        <v>4</v>
      </c>
      <c r="F112" s="47" t="n">
        <v>159996</v>
      </c>
      <c r="G112" s="32" t="n">
        <v>3183</v>
      </c>
      <c r="H112" s="46" t="n">
        <v>156817</v>
      </c>
    </row>
    <row r="113" customFormat="false" ht="15" hidden="false" customHeight="false" outlineLevel="0" collapsed="false">
      <c r="A113" s="26"/>
      <c r="B113" s="32" t="n">
        <v>109</v>
      </c>
      <c r="C113" s="45" t="n">
        <v>3062</v>
      </c>
      <c r="D113" s="46" t="n">
        <v>156938</v>
      </c>
      <c r="E113" s="32" t="n">
        <v>0</v>
      </c>
      <c r="F113" s="47" t="n">
        <v>160000</v>
      </c>
      <c r="G113" s="32" t="n">
        <v>3052</v>
      </c>
      <c r="H113" s="46" t="n">
        <v>156948</v>
      </c>
    </row>
    <row r="114" customFormat="false" ht="15" hidden="false" customHeight="false" outlineLevel="0" collapsed="false">
      <c r="A114" s="26"/>
      <c r="B114" s="32" t="n">
        <v>110</v>
      </c>
      <c r="C114" s="45" t="n">
        <v>2848</v>
      </c>
      <c r="D114" s="46" t="n">
        <v>157152</v>
      </c>
      <c r="E114" s="32" t="n">
        <v>0</v>
      </c>
      <c r="F114" s="47" t="n">
        <v>160000</v>
      </c>
      <c r="G114" s="32" t="n">
        <v>2859</v>
      </c>
      <c r="H114" s="46" t="n">
        <v>157141</v>
      </c>
    </row>
    <row r="115" customFormat="false" ht="15" hidden="false" customHeight="false" outlineLevel="0" collapsed="false">
      <c r="A115" s="26"/>
      <c r="B115" s="32" t="n">
        <v>111</v>
      </c>
      <c r="C115" s="45" t="n">
        <v>2583</v>
      </c>
      <c r="D115" s="46" t="n">
        <v>157417</v>
      </c>
      <c r="E115" s="32" t="n">
        <v>0</v>
      </c>
      <c r="F115" s="47" t="n">
        <v>160000</v>
      </c>
      <c r="G115" s="32" t="n">
        <v>2603</v>
      </c>
      <c r="H115" s="46" t="n">
        <v>157397</v>
      </c>
    </row>
    <row r="116" customFormat="false" ht="15" hidden="false" customHeight="false" outlineLevel="0" collapsed="false">
      <c r="A116" s="26"/>
      <c r="B116" s="32" t="n">
        <v>112</v>
      </c>
      <c r="C116" s="45" t="n">
        <v>2446</v>
      </c>
      <c r="D116" s="46" t="n">
        <v>157554</v>
      </c>
      <c r="E116" s="32" t="n">
        <v>103</v>
      </c>
      <c r="F116" s="47" t="n">
        <v>159897</v>
      </c>
      <c r="G116" s="32" t="n">
        <v>2446</v>
      </c>
      <c r="H116" s="46" t="n">
        <v>157554</v>
      </c>
    </row>
    <row r="117" customFormat="false" ht="15" hidden="false" customHeight="false" outlineLevel="0" collapsed="false">
      <c r="A117" s="26"/>
      <c r="B117" s="32" t="n">
        <v>113</v>
      </c>
      <c r="C117" s="45" t="n">
        <v>2336</v>
      </c>
      <c r="D117" s="46" t="n">
        <v>157664</v>
      </c>
      <c r="E117" s="32" t="n">
        <v>0</v>
      </c>
      <c r="F117" s="47" t="n">
        <v>160000</v>
      </c>
      <c r="G117" s="32" t="n">
        <v>2337</v>
      </c>
      <c r="H117" s="46" t="n">
        <v>157663</v>
      </c>
    </row>
    <row r="118" customFormat="false" ht="15" hidden="false" customHeight="false" outlineLevel="0" collapsed="false">
      <c r="A118" s="26"/>
      <c r="B118" s="32" t="n">
        <v>114</v>
      </c>
      <c r="C118" s="45" t="n">
        <v>2158</v>
      </c>
      <c r="D118" s="46" t="n">
        <v>157842</v>
      </c>
      <c r="E118" s="32" t="n">
        <v>40</v>
      </c>
      <c r="F118" s="47" t="n">
        <v>159960</v>
      </c>
      <c r="G118" s="32" t="n">
        <v>2158</v>
      </c>
      <c r="H118" s="46" t="n">
        <v>157842</v>
      </c>
    </row>
    <row r="119" customFormat="false" ht="15" hidden="false" customHeight="false" outlineLevel="0" collapsed="false">
      <c r="A119" s="26"/>
      <c r="B119" s="32" t="n">
        <v>115</v>
      </c>
      <c r="C119" s="45" t="n">
        <v>1974</v>
      </c>
      <c r="D119" s="46" t="n">
        <v>158026</v>
      </c>
      <c r="E119" s="32" t="n">
        <v>0</v>
      </c>
      <c r="F119" s="47" t="n">
        <v>160000</v>
      </c>
      <c r="G119" s="32" t="n">
        <v>1994</v>
      </c>
      <c r="H119" s="46" t="n">
        <v>158006</v>
      </c>
    </row>
    <row r="120" customFormat="false" ht="15" hidden="false" customHeight="false" outlineLevel="0" collapsed="false">
      <c r="A120" s="26"/>
      <c r="B120" s="32" t="n">
        <v>116</v>
      </c>
      <c r="C120" s="45" t="n">
        <v>1804</v>
      </c>
      <c r="D120" s="46" t="n">
        <v>158196</v>
      </c>
      <c r="E120" s="32" t="n">
        <v>20</v>
      </c>
      <c r="F120" s="47" t="n">
        <v>159980</v>
      </c>
      <c r="G120" s="32" t="n">
        <v>1804</v>
      </c>
      <c r="H120" s="46" t="n">
        <v>158196</v>
      </c>
    </row>
    <row r="121" customFormat="false" ht="15" hidden="false" customHeight="false" outlineLevel="0" collapsed="false">
      <c r="A121" s="26"/>
      <c r="B121" s="32" t="n">
        <v>117</v>
      </c>
      <c r="C121" s="45" t="n">
        <v>1712</v>
      </c>
      <c r="D121" s="46" t="n">
        <v>158288</v>
      </c>
      <c r="E121" s="32" t="n">
        <v>16</v>
      </c>
      <c r="F121" s="47" t="n">
        <v>159984</v>
      </c>
      <c r="G121" s="32" t="n">
        <v>1722</v>
      </c>
      <c r="H121" s="46" t="n">
        <v>158278</v>
      </c>
    </row>
    <row r="122" customFormat="false" ht="15" hidden="false" customHeight="false" outlineLevel="0" collapsed="false">
      <c r="A122" s="26"/>
      <c r="B122" s="32" t="n">
        <v>118</v>
      </c>
      <c r="C122" s="45" t="n">
        <v>1553</v>
      </c>
      <c r="D122" s="46" t="n">
        <v>158447</v>
      </c>
      <c r="E122" s="32" t="n">
        <v>0</v>
      </c>
      <c r="F122" s="47" t="n">
        <v>160000</v>
      </c>
      <c r="G122" s="32" t="n">
        <v>1586</v>
      </c>
      <c r="H122" s="46" t="n">
        <v>158414</v>
      </c>
    </row>
    <row r="123" customFormat="false" ht="15" hidden="false" customHeight="false" outlineLevel="0" collapsed="false">
      <c r="A123" s="26"/>
      <c r="B123" s="32" t="n">
        <v>119</v>
      </c>
      <c r="C123" s="45" t="n">
        <v>1402</v>
      </c>
      <c r="D123" s="46" t="n">
        <v>158598</v>
      </c>
      <c r="E123" s="32" t="n">
        <v>0</v>
      </c>
      <c r="F123" s="47" t="n">
        <v>160000</v>
      </c>
      <c r="G123" s="32" t="n">
        <v>1402</v>
      </c>
      <c r="H123" s="46" t="n">
        <v>158598</v>
      </c>
    </row>
    <row r="124" customFormat="false" ht="15" hidden="false" customHeight="false" outlineLevel="0" collapsed="false">
      <c r="A124" s="26"/>
      <c r="B124" s="32" t="n">
        <v>120</v>
      </c>
      <c r="C124" s="45" t="n">
        <v>1262</v>
      </c>
      <c r="D124" s="46" t="n">
        <v>158738</v>
      </c>
      <c r="E124" s="32" t="n">
        <v>18</v>
      </c>
      <c r="F124" s="47" t="n">
        <v>159982</v>
      </c>
      <c r="G124" s="32" t="n">
        <v>1262</v>
      </c>
      <c r="H124" s="46" t="n">
        <v>158738</v>
      </c>
    </row>
    <row r="125" customFormat="false" ht="15" hidden="false" customHeight="false" outlineLevel="0" collapsed="false">
      <c r="A125" s="26"/>
      <c r="B125" s="32" t="n">
        <v>121</v>
      </c>
      <c r="C125" s="45" t="n">
        <v>1179</v>
      </c>
      <c r="D125" s="46" t="n">
        <v>158821</v>
      </c>
      <c r="E125" s="32" t="n">
        <v>0</v>
      </c>
      <c r="F125" s="47" t="n">
        <v>160000</v>
      </c>
      <c r="G125" s="32" t="n">
        <v>1143</v>
      </c>
      <c r="H125" s="46" t="n">
        <v>158857</v>
      </c>
    </row>
    <row r="126" customFormat="false" ht="15" hidden="false" customHeight="false" outlineLevel="0" collapsed="false">
      <c r="A126" s="26"/>
      <c r="B126" s="32" t="n">
        <v>122</v>
      </c>
      <c r="C126" s="45" t="n">
        <v>1053</v>
      </c>
      <c r="D126" s="46" t="n">
        <v>158947</v>
      </c>
      <c r="E126" s="32" t="n">
        <v>58</v>
      </c>
      <c r="F126" s="47" t="n">
        <v>159942</v>
      </c>
      <c r="G126" s="32" t="n">
        <v>1063</v>
      </c>
      <c r="H126" s="46" t="n">
        <v>158937</v>
      </c>
    </row>
    <row r="127" customFormat="false" ht="15" hidden="false" customHeight="false" outlineLevel="0" collapsed="false">
      <c r="A127" s="26"/>
      <c r="B127" s="32" t="n">
        <v>123</v>
      </c>
      <c r="C127" s="45" t="n">
        <v>926</v>
      </c>
      <c r="D127" s="46" t="n">
        <v>159074</v>
      </c>
      <c r="E127" s="32" t="n">
        <v>3</v>
      </c>
      <c r="F127" s="47" t="n">
        <v>159997</v>
      </c>
      <c r="G127" s="32" t="n">
        <v>925</v>
      </c>
      <c r="H127" s="46" t="n">
        <v>159075</v>
      </c>
    </row>
    <row r="128" customFormat="false" ht="15" hidden="false" customHeight="false" outlineLevel="0" collapsed="false">
      <c r="A128" s="26"/>
      <c r="B128" s="32" t="n">
        <v>124</v>
      </c>
      <c r="C128" s="45" t="n">
        <v>815</v>
      </c>
      <c r="D128" s="46" t="n">
        <v>159185</v>
      </c>
      <c r="E128" s="32" t="n">
        <v>1</v>
      </c>
      <c r="F128" s="47" t="n">
        <v>159999</v>
      </c>
      <c r="G128" s="32" t="n">
        <v>815</v>
      </c>
      <c r="H128" s="46" t="n">
        <v>159185</v>
      </c>
    </row>
    <row r="129" customFormat="false" ht="15" hidden="false" customHeight="false" outlineLevel="0" collapsed="false">
      <c r="A129" s="26"/>
      <c r="B129" s="32" t="n">
        <v>125</v>
      </c>
      <c r="C129" s="45" t="n">
        <v>755</v>
      </c>
      <c r="D129" s="46" t="n">
        <v>159245</v>
      </c>
      <c r="E129" s="32" t="n">
        <v>4</v>
      </c>
      <c r="F129" s="47" t="n">
        <v>159996</v>
      </c>
      <c r="G129" s="32" t="n">
        <v>763</v>
      </c>
      <c r="H129" s="46" t="n">
        <v>159237</v>
      </c>
    </row>
    <row r="130" customFormat="false" ht="15" hidden="false" customHeight="false" outlineLevel="0" collapsed="false">
      <c r="A130" s="26"/>
      <c r="B130" s="32" t="n">
        <v>126</v>
      </c>
      <c r="C130" s="45" t="n">
        <v>618</v>
      </c>
      <c r="D130" s="46" t="n">
        <v>159382</v>
      </c>
      <c r="E130" s="32" t="n">
        <v>0</v>
      </c>
      <c r="F130" s="47" t="n">
        <v>160000</v>
      </c>
      <c r="G130" s="32" t="n">
        <v>625</v>
      </c>
      <c r="H130" s="46" t="n">
        <v>159375</v>
      </c>
    </row>
    <row r="131" customFormat="false" ht="15" hidden="false" customHeight="false" outlineLevel="0" collapsed="false">
      <c r="A131" s="26"/>
      <c r="B131" s="32" t="n">
        <v>127</v>
      </c>
      <c r="C131" s="45" t="n">
        <v>551</v>
      </c>
      <c r="D131" s="46" t="n">
        <v>159449</v>
      </c>
      <c r="E131" s="32" t="n">
        <v>5</v>
      </c>
      <c r="F131" s="47" t="n">
        <v>159995</v>
      </c>
      <c r="G131" s="32" t="n">
        <v>553</v>
      </c>
      <c r="H131" s="46" t="n">
        <v>159447</v>
      </c>
    </row>
    <row r="132" customFormat="false" ht="15" hidden="false" customHeight="false" outlineLevel="0" collapsed="false">
      <c r="A132" s="26"/>
      <c r="B132" s="32" t="n">
        <v>128</v>
      </c>
      <c r="C132" s="45" t="n">
        <v>466</v>
      </c>
      <c r="D132" s="46" t="n">
        <v>159534</v>
      </c>
      <c r="E132" s="32" t="n">
        <v>35</v>
      </c>
      <c r="F132" s="47" t="n">
        <v>159965</v>
      </c>
      <c r="G132" s="32" t="n">
        <v>463</v>
      </c>
      <c r="H132" s="46" t="n">
        <v>159537</v>
      </c>
    </row>
    <row r="133" customFormat="false" ht="15" hidden="false" customHeight="false" outlineLevel="0" collapsed="false">
      <c r="A133" s="26"/>
      <c r="B133" s="32" t="n">
        <v>129</v>
      </c>
      <c r="C133" s="45" t="n">
        <v>417</v>
      </c>
      <c r="D133" s="46" t="n">
        <v>159583</v>
      </c>
      <c r="E133" s="32" t="n">
        <v>0</v>
      </c>
      <c r="F133" s="47" t="n">
        <v>160000</v>
      </c>
      <c r="G133" s="32" t="n">
        <v>417</v>
      </c>
      <c r="H133" s="46" t="n">
        <v>159583</v>
      </c>
    </row>
    <row r="134" customFormat="false" ht="15" hidden="false" customHeight="false" outlineLevel="0" collapsed="false">
      <c r="A134" s="26"/>
      <c r="B134" s="32" t="n">
        <v>130</v>
      </c>
      <c r="C134" s="45" t="n">
        <v>340</v>
      </c>
      <c r="D134" s="46" t="n">
        <v>159660</v>
      </c>
      <c r="E134" s="32" t="n">
        <v>13</v>
      </c>
      <c r="F134" s="47" t="n">
        <v>159987</v>
      </c>
      <c r="G134" s="32" t="n">
        <v>337</v>
      </c>
      <c r="H134" s="46" t="n">
        <v>159663</v>
      </c>
    </row>
    <row r="135" customFormat="false" ht="15" hidden="false" customHeight="false" outlineLevel="0" collapsed="false">
      <c r="A135" s="26"/>
      <c r="B135" s="32" t="n">
        <v>131</v>
      </c>
      <c r="C135" s="45" t="n">
        <v>275</v>
      </c>
      <c r="D135" s="46" t="n">
        <v>159725</v>
      </c>
      <c r="E135" s="32" t="n">
        <v>0</v>
      </c>
      <c r="F135" s="47" t="n">
        <v>160000</v>
      </c>
      <c r="G135" s="32" t="n">
        <v>275</v>
      </c>
      <c r="H135" s="46" t="n">
        <v>159725</v>
      </c>
    </row>
    <row r="136" customFormat="false" ht="15" hidden="false" customHeight="false" outlineLevel="0" collapsed="false">
      <c r="A136" s="26"/>
      <c r="B136" s="32" t="n">
        <v>132</v>
      </c>
      <c r="C136" s="45" t="n">
        <v>210</v>
      </c>
      <c r="D136" s="46" t="n">
        <v>159790</v>
      </c>
      <c r="E136" s="32" t="n">
        <v>0</v>
      </c>
      <c r="F136" s="47" t="n">
        <v>160000</v>
      </c>
      <c r="G136" s="32" t="n">
        <v>213</v>
      </c>
      <c r="H136" s="46" t="n">
        <v>159787</v>
      </c>
    </row>
    <row r="137" customFormat="false" ht="15" hidden="false" customHeight="false" outlineLevel="0" collapsed="false">
      <c r="A137" s="26"/>
      <c r="B137" s="32" t="n">
        <v>133</v>
      </c>
      <c r="C137" s="45" t="n">
        <v>181</v>
      </c>
      <c r="D137" s="46" t="n">
        <v>159819</v>
      </c>
      <c r="E137" s="32" t="n">
        <v>53</v>
      </c>
      <c r="F137" s="47" t="n">
        <v>159947</v>
      </c>
      <c r="G137" s="32" t="n">
        <v>181</v>
      </c>
      <c r="H137" s="46" t="n">
        <v>159819</v>
      </c>
    </row>
    <row r="138" customFormat="false" ht="15" hidden="false" customHeight="false" outlineLevel="0" collapsed="false">
      <c r="A138" s="26"/>
      <c r="B138" s="32" t="n">
        <v>134</v>
      </c>
      <c r="C138" s="45" t="n">
        <v>132</v>
      </c>
      <c r="D138" s="46" t="n">
        <v>159868</v>
      </c>
      <c r="E138" s="32" t="n">
        <v>0</v>
      </c>
      <c r="F138" s="47" t="n">
        <v>160000</v>
      </c>
      <c r="G138" s="32" t="n">
        <v>135</v>
      </c>
      <c r="H138" s="46" t="n">
        <v>159865</v>
      </c>
    </row>
    <row r="139" customFormat="false" ht="15" hidden="false" customHeight="false" outlineLevel="0" collapsed="false">
      <c r="A139" s="26"/>
      <c r="B139" s="32" t="n">
        <v>135</v>
      </c>
      <c r="C139" s="45" t="n">
        <v>90</v>
      </c>
      <c r="D139" s="46" t="n">
        <v>159910</v>
      </c>
      <c r="E139" s="32" t="n">
        <v>5</v>
      </c>
      <c r="F139" s="47" t="n">
        <v>159995</v>
      </c>
      <c r="G139" s="32" t="n">
        <v>90</v>
      </c>
      <c r="H139" s="46" t="n">
        <v>159910</v>
      </c>
    </row>
    <row r="140" customFormat="false" ht="15" hidden="false" customHeight="false" outlineLevel="0" collapsed="false">
      <c r="A140" s="26"/>
      <c r="B140" s="32" t="n">
        <v>136</v>
      </c>
      <c r="C140" s="45" t="n">
        <v>71</v>
      </c>
      <c r="D140" s="46" t="n">
        <v>159929</v>
      </c>
      <c r="E140" s="32" t="n">
        <v>1</v>
      </c>
      <c r="F140" s="47" t="n">
        <v>159999</v>
      </c>
      <c r="G140" s="32" t="n">
        <v>71</v>
      </c>
      <c r="H140" s="46" t="n">
        <v>159929</v>
      </c>
    </row>
    <row r="141" customFormat="false" ht="15" hidden="false" customHeight="false" outlineLevel="0" collapsed="false">
      <c r="A141" s="26"/>
      <c r="B141" s="32" t="n">
        <v>137</v>
      </c>
      <c r="C141" s="45" t="n">
        <v>39</v>
      </c>
      <c r="D141" s="46" t="n">
        <v>159961</v>
      </c>
      <c r="E141" s="32" t="n">
        <v>15</v>
      </c>
      <c r="F141" s="47" t="n">
        <v>159985</v>
      </c>
      <c r="G141" s="32" t="n">
        <v>38</v>
      </c>
      <c r="H141" s="46" t="n">
        <v>159962</v>
      </c>
    </row>
    <row r="142" customFormat="false" ht="15" hidden="false" customHeight="false" outlineLevel="0" collapsed="false">
      <c r="A142" s="26"/>
      <c r="B142" s="32" t="n">
        <v>138</v>
      </c>
      <c r="C142" s="45" t="n">
        <v>22</v>
      </c>
      <c r="D142" s="46" t="n">
        <v>159978</v>
      </c>
      <c r="E142" s="32" t="n">
        <v>0</v>
      </c>
      <c r="F142" s="47" t="n">
        <v>160000</v>
      </c>
      <c r="G142" s="32" t="n">
        <v>25</v>
      </c>
      <c r="H142" s="46" t="n">
        <v>159975</v>
      </c>
    </row>
    <row r="143" customFormat="false" ht="15" hidden="false" customHeight="false" outlineLevel="0" collapsed="false">
      <c r="A143" s="26"/>
      <c r="B143" s="32" t="n">
        <v>139</v>
      </c>
      <c r="C143" s="45" t="n">
        <v>6</v>
      </c>
      <c r="D143" s="46" t="n">
        <v>159994</v>
      </c>
      <c r="E143" s="32" t="n">
        <v>0</v>
      </c>
      <c r="F143" s="47" t="n">
        <v>160000</v>
      </c>
      <c r="G143" s="32" t="n">
        <v>6</v>
      </c>
      <c r="H143" s="46" t="n">
        <v>159994</v>
      </c>
    </row>
    <row r="144" customFormat="false" ht="15" hidden="false" customHeight="false" outlineLevel="0" collapsed="false">
      <c r="A144" s="26"/>
      <c r="B144" s="32" t="n">
        <v>140</v>
      </c>
      <c r="C144" s="45" t="n">
        <v>2</v>
      </c>
      <c r="D144" s="46" t="n">
        <v>159998</v>
      </c>
      <c r="E144" s="32" t="n">
        <v>0</v>
      </c>
      <c r="F144" s="47" t="n">
        <v>160000</v>
      </c>
      <c r="G144" s="32" t="n">
        <v>1</v>
      </c>
      <c r="H144" s="46" t="n">
        <v>159999</v>
      </c>
    </row>
    <row r="145" customFormat="false" ht="15" hidden="false" customHeight="false" outlineLevel="0" collapsed="false">
      <c r="A145" s="26"/>
      <c r="B145" s="35" t="s">
        <v>8</v>
      </c>
      <c r="C145" s="48" t="n">
        <f aca="false">SUM(C4:C144)</f>
        <v>598176</v>
      </c>
      <c r="D145" s="49" t="n">
        <f aca="false">SUM(D4:D144)</f>
        <v>21961824</v>
      </c>
      <c r="E145" s="50" t="n">
        <f aca="false">SUM(E4:E144)</f>
        <v>21455</v>
      </c>
      <c r="F145" s="51" t="n">
        <f aca="false">SUM(F4:F144)</f>
        <v>22538545</v>
      </c>
      <c r="G145" s="50" t="n">
        <f aca="false">SUM(G4:G144)</f>
        <v>598313</v>
      </c>
      <c r="H145" s="49" t="n">
        <f aca="false">SUM(H4:H144)</f>
        <v>21961687</v>
      </c>
    </row>
    <row r="150" customFormat="false" ht="15" hidden="false" customHeight="false" outlineLevel="0" collapsed="false">
      <c r="B150" s="22" t="s">
        <v>0</v>
      </c>
      <c r="C150" s="23" t="s">
        <v>9</v>
      </c>
      <c r="D150" s="23"/>
      <c r="E150" s="23"/>
      <c r="F150" s="23"/>
      <c r="G150" s="23"/>
      <c r="H150" s="23"/>
    </row>
    <row r="151" customFormat="false" ht="15" hidden="false" customHeight="false" outlineLevel="0" collapsed="false">
      <c r="B151" s="22"/>
      <c r="C151" s="24" t="s">
        <v>3</v>
      </c>
      <c r="D151" s="24"/>
      <c r="E151" s="24"/>
      <c r="F151" s="25" t="s">
        <v>4</v>
      </c>
      <c r="G151" s="25"/>
      <c r="H151" s="25"/>
    </row>
    <row r="152" customFormat="false" ht="15" hidden="false" customHeight="false" outlineLevel="0" collapsed="false">
      <c r="A152" s="26" t="s">
        <v>5</v>
      </c>
      <c r="B152" s="22"/>
      <c r="C152" s="27" t="str">
        <f aca="false">C3</f>
        <v>#e65a49</v>
      </c>
      <c r="D152" s="28" t="str">
        <f aca="false">D3</f>
        <v>#ffffff</v>
      </c>
      <c r="E152" s="29"/>
      <c r="F152" s="30" t="str">
        <f aca="false">C3</f>
        <v>#e65a49</v>
      </c>
      <c r="G152" s="28" t="str">
        <f aca="false">D3</f>
        <v>#ffffff</v>
      </c>
      <c r="H152" s="31"/>
    </row>
    <row r="153" customFormat="false" ht="15" hidden="false" customHeight="false" outlineLevel="0" collapsed="false">
      <c r="A153" s="26"/>
      <c r="B153" s="32" t="n">
        <v>0</v>
      </c>
      <c r="C153" s="33" t="n">
        <f aca="false">(ABS(C4-E4)/C4)*100</f>
        <v>0</v>
      </c>
      <c r="D153" s="33" t="n">
        <f aca="false">(ABS(D4-F4)/D4)*100</f>
        <v>0</v>
      </c>
      <c r="E153" s="29"/>
      <c r="F153" s="33" t="n">
        <f aca="false">(ABS(C4-G4)/C4)*100</f>
        <v>0</v>
      </c>
      <c r="G153" s="33" t="n">
        <f aca="false">(ABS(D4-H4)/D4)*100</f>
        <v>0</v>
      </c>
      <c r="H153" s="31"/>
    </row>
    <row r="154" customFormat="false" ht="15" hidden="false" customHeight="false" outlineLevel="0" collapsed="false">
      <c r="A154" s="26"/>
      <c r="B154" s="32" t="n">
        <v>1</v>
      </c>
      <c r="C154" s="33" t="n">
        <f aca="false">(ABS(C5-E5)/C5)*100</f>
        <v>100</v>
      </c>
      <c r="D154" s="33" t="n">
        <f aca="false">(ABS(D5-F5)/D5)*100</f>
        <v>0.00375014063027364</v>
      </c>
      <c r="E154" s="29"/>
      <c r="F154" s="33" t="n">
        <f aca="false">(ABS(C5-G5)/C5)*100</f>
        <v>16.6666666666667</v>
      </c>
      <c r="G154" s="33" t="n">
        <f aca="false">(ABS(D5-H5)/D5)*100</f>
        <v>0.000625023438378939</v>
      </c>
      <c r="H154" s="31"/>
    </row>
    <row r="155" customFormat="false" ht="15" hidden="false" customHeight="false" outlineLevel="0" collapsed="false">
      <c r="A155" s="26"/>
      <c r="B155" s="32" t="n">
        <v>2</v>
      </c>
      <c r="C155" s="33" t="n">
        <f aca="false">(ABS(C6-E6)/C6)*100</f>
        <v>100</v>
      </c>
      <c r="D155" s="33" t="n">
        <f aca="false">(ABS(D6-F6)/D6)*100</f>
        <v>0.0156274417877793</v>
      </c>
      <c r="E155" s="29"/>
      <c r="F155" s="33" t="n">
        <f aca="false">(ABS(C6-G6)/C6)*100</f>
        <v>0</v>
      </c>
      <c r="G155" s="33" t="n">
        <f aca="false">(ABS(D6-H6)/D6)*100</f>
        <v>0</v>
      </c>
      <c r="H155" s="31"/>
    </row>
    <row r="156" customFormat="false" ht="15" hidden="false" customHeight="false" outlineLevel="0" collapsed="false">
      <c r="A156" s="26"/>
      <c r="B156" s="32" t="n">
        <v>3</v>
      </c>
      <c r="C156" s="33" t="n">
        <f aca="false">(ABS(C7-E7)/C7)*100</f>
        <v>100</v>
      </c>
      <c r="D156" s="33" t="n">
        <f aca="false">(ABS(D7-F7)/D7)*100</f>
        <v>0.0243809428548209</v>
      </c>
      <c r="E156" s="29"/>
      <c r="F156" s="33" t="n">
        <f aca="false">(ABS(C7-G7)/C7)*100</f>
        <v>5.12820512820513</v>
      </c>
      <c r="G156" s="33" t="n">
        <f aca="false">(ABS(D7-H7)/D7)*100</f>
        <v>0.00125030476178569</v>
      </c>
      <c r="H156" s="31"/>
    </row>
    <row r="157" customFormat="false" ht="15" hidden="false" customHeight="false" outlineLevel="0" collapsed="false">
      <c r="A157" s="26"/>
      <c r="B157" s="32" t="n">
        <v>4</v>
      </c>
      <c r="C157" s="33" t="n">
        <f aca="false">(ABS(C8-E8)/C8)*100</f>
        <v>100</v>
      </c>
      <c r="D157" s="33" t="n">
        <f aca="false">(ABS(D8-F8)/D8)*100</f>
        <v>0.0443947001481908</v>
      </c>
      <c r="E157" s="29"/>
      <c r="F157" s="33" t="n">
        <f aca="false">(ABS(C8-G8)/C8)*100</f>
        <v>0</v>
      </c>
      <c r="G157" s="33" t="n">
        <f aca="false">(ABS(D8-H8)/D8)*100</f>
        <v>0</v>
      </c>
      <c r="H157" s="31"/>
    </row>
    <row r="158" customFormat="false" ht="15" hidden="false" customHeight="false" outlineLevel="0" collapsed="false">
      <c r="A158" s="26"/>
      <c r="B158" s="32" t="n">
        <v>5</v>
      </c>
      <c r="C158" s="33" t="n">
        <f aca="false">(ABS(C9-E9)/C9)*100</f>
        <v>100</v>
      </c>
      <c r="D158" s="33" t="n">
        <f aca="false">(ABS(D9-F9)/D9)*100</f>
        <v>0.0575330815218751</v>
      </c>
      <c r="E158" s="29"/>
      <c r="F158" s="33" t="n">
        <f aca="false">(ABS(C9-G9)/C9)*100</f>
        <v>11.9565217391304</v>
      </c>
      <c r="G158" s="33" t="n">
        <f aca="false">(ABS(D9-H9)/D9)*100</f>
        <v>0.00687895539935463</v>
      </c>
      <c r="H158" s="31"/>
    </row>
    <row r="159" customFormat="false" ht="15" hidden="false" customHeight="false" outlineLevel="0" collapsed="false">
      <c r="A159" s="26"/>
      <c r="B159" s="32" t="n">
        <v>6</v>
      </c>
      <c r="C159" s="33" t="n">
        <f aca="false">(ABS(C10-E10)/C10)*100</f>
        <v>82.3529411764706</v>
      </c>
      <c r="D159" s="33" t="n">
        <f aca="false">(ABS(D10-F10)/D10)*100</f>
        <v>0.0612955885940168</v>
      </c>
      <c r="E159" s="29"/>
      <c r="F159" s="33" t="n">
        <f aca="false">(ABS(C10-G10)/C10)*100</f>
        <v>0</v>
      </c>
      <c r="G159" s="33" t="n">
        <f aca="false">(ABS(D10-H10)/D10)*100</f>
        <v>0</v>
      </c>
      <c r="H159" s="31"/>
    </row>
    <row r="160" customFormat="false" ht="15" hidden="false" customHeight="false" outlineLevel="0" collapsed="false">
      <c r="A160" s="26"/>
      <c r="B160" s="32" t="n">
        <v>7</v>
      </c>
      <c r="C160" s="33" t="n">
        <f aca="false">(ABS(C11-E11)/C11)*100</f>
        <v>98.3425414364641</v>
      </c>
      <c r="D160" s="33" t="n">
        <f aca="false">(ABS(D11-F11)/D11)*100</f>
        <v>0.111375994093318</v>
      </c>
      <c r="E160" s="29"/>
      <c r="F160" s="33" t="n">
        <f aca="false">(ABS(C11-G11)/C11)*100</f>
        <v>0</v>
      </c>
      <c r="G160" s="33" t="n">
        <f aca="false">(ABS(D11-H11)/D11)*100</f>
        <v>0</v>
      </c>
      <c r="H160" s="31"/>
    </row>
    <row r="161" customFormat="false" ht="15" hidden="false" customHeight="false" outlineLevel="0" collapsed="false">
      <c r="A161" s="26"/>
      <c r="B161" s="32" t="n">
        <v>8</v>
      </c>
      <c r="C161" s="33" t="n">
        <f aca="false">(ABS(C12-E12)/C12)*100</f>
        <v>98.5981308411215</v>
      </c>
      <c r="D161" s="33" t="n">
        <f aca="false">(ABS(D12-F12)/D12)*100</f>
        <v>0.132051619040467</v>
      </c>
      <c r="E161" s="29"/>
      <c r="F161" s="33" t="n">
        <f aca="false">(ABS(C12-G12)/C12)*100</f>
        <v>0.467289719626168</v>
      </c>
      <c r="G161" s="33" t="n">
        <f aca="false">(ABS(D12-H12)/D12)*100</f>
        <v>0.000625837057063823</v>
      </c>
      <c r="H161" s="31"/>
    </row>
    <row r="162" customFormat="false" ht="15" hidden="false" customHeight="false" outlineLevel="0" collapsed="false">
      <c r="A162" s="26"/>
      <c r="B162" s="32" t="n">
        <v>9</v>
      </c>
      <c r="C162" s="33" t="n">
        <f aca="false">(ABS(C13-E13)/C13)*100</f>
        <v>100</v>
      </c>
      <c r="D162" s="33" t="n">
        <f aca="false">(ABS(D13-F13)/D13)*100</f>
        <v>0.17217091876663</v>
      </c>
      <c r="E162" s="29"/>
      <c r="F162" s="33" t="n">
        <f aca="false">(ABS(C13-G13)/C13)*100</f>
        <v>6.54545454545455</v>
      </c>
      <c r="G162" s="33" t="n">
        <f aca="false">(ABS(D13-H13)/D13)*100</f>
        <v>0.0112693692283612</v>
      </c>
      <c r="H162" s="31"/>
    </row>
    <row r="163" customFormat="false" ht="15" hidden="false" customHeight="false" outlineLevel="0" collapsed="false">
      <c r="A163" s="26"/>
      <c r="B163" s="32" t="n">
        <v>10</v>
      </c>
      <c r="C163" s="33" t="n">
        <f aca="false">(ABS(C14-E14)/C14)*100</f>
        <v>100</v>
      </c>
      <c r="D163" s="33" t="n">
        <f aca="false">(ABS(D14-F14)/D14)*100</f>
        <v>0.212952524113742</v>
      </c>
      <c r="E163" s="29"/>
      <c r="F163" s="33" t="n">
        <f aca="false">(ABS(C14-G14)/C14)*100</f>
        <v>6.47058823529412</v>
      </c>
      <c r="G163" s="33" t="n">
        <f aca="false">(ABS(D14-H14)/D14)*100</f>
        <v>0.0137792809720656</v>
      </c>
      <c r="H163" s="31"/>
    </row>
    <row r="164" customFormat="false" ht="15" hidden="false" customHeight="false" outlineLevel="0" collapsed="false">
      <c r="A164" s="26"/>
      <c r="B164" s="32" t="n">
        <v>11</v>
      </c>
      <c r="C164" s="33" t="n">
        <f aca="false">(ABS(C15-E15)/C15)*100</f>
        <v>99.0407673860911</v>
      </c>
      <c r="D164" s="33" t="n">
        <f aca="false">(ABS(D15-F15)/D15)*100</f>
        <v>0.258799496186937</v>
      </c>
      <c r="E164" s="29"/>
      <c r="F164" s="33" t="n">
        <f aca="false">(ABS(C15-G15)/C15)*100</f>
        <v>0.479616306954436</v>
      </c>
      <c r="G164" s="33" t="n">
        <f aca="false">(ABS(D15-H15)/D15)*100</f>
        <v>0.00125326632536047</v>
      </c>
      <c r="H164" s="31"/>
    </row>
    <row r="165" customFormat="false" ht="15" hidden="false" customHeight="false" outlineLevel="0" collapsed="false">
      <c r="A165" s="26"/>
      <c r="B165" s="32" t="n">
        <v>12</v>
      </c>
      <c r="C165" s="33" t="n">
        <f aca="false">(ABS(C16-E16)/C16)*100</f>
        <v>96.9957081545064</v>
      </c>
      <c r="D165" s="33" t="n">
        <f aca="false">(ABS(D16-F16)/D16)*100</f>
        <v>0.283325184600148</v>
      </c>
      <c r="E165" s="29"/>
      <c r="F165" s="33" t="n">
        <f aca="false">(ABS(C16-G16)/C16)*100</f>
        <v>0.643776824034335</v>
      </c>
      <c r="G165" s="33" t="n">
        <f aca="false">(ABS(D16-H16)/D16)*100</f>
        <v>0.00188047688893904</v>
      </c>
      <c r="H165" s="31"/>
    </row>
    <row r="166" customFormat="false" ht="15" hidden="false" customHeight="false" outlineLevel="0" collapsed="false">
      <c r="A166" s="26"/>
      <c r="B166" s="32" t="n">
        <v>13</v>
      </c>
      <c r="C166" s="33" t="n">
        <f aca="false">(ABS(C17-E17)/C17)*100</f>
        <v>100</v>
      </c>
      <c r="D166" s="33" t="n">
        <f aca="false">(ABS(D17-F17)/D17)*100</f>
        <v>0.34556503960514</v>
      </c>
      <c r="E166" s="29"/>
      <c r="F166" s="33" t="n">
        <f aca="false">(ABS(C17-G17)/C17)*100</f>
        <v>0.544464609800363</v>
      </c>
      <c r="G166" s="33" t="n">
        <f aca="false">(ABS(D17-H17)/D17)*100</f>
        <v>0.0018814793444926</v>
      </c>
      <c r="H166" s="31"/>
    </row>
    <row r="167" customFormat="false" ht="15" hidden="false" customHeight="false" outlineLevel="0" collapsed="false">
      <c r="A167" s="26"/>
      <c r="B167" s="32" t="n">
        <v>14</v>
      </c>
      <c r="C167" s="33" t="n">
        <f aca="false">(ABS(C18-E18)/C18)*100</f>
        <v>96.3893249607535</v>
      </c>
      <c r="D167" s="33" t="n">
        <f aca="false">(ABS(D18-F18)/D18)*100</f>
        <v>0.38528391157295</v>
      </c>
      <c r="E167" s="29"/>
      <c r="F167" s="33" t="n">
        <f aca="false">(ABS(C18-G18)/C18)*100</f>
        <v>0.784929356357928</v>
      </c>
      <c r="G167" s="33" t="n">
        <f aca="false">(ABS(D18-H18)/D18)*100</f>
        <v>0.00313749113658754</v>
      </c>
      <c r="H167" s="31"/>
    </row>
    <row r="168" customFormat="false" ht="15" hidden="false" customHeight="false" outlineLevel="0" collapsed="false">
      <c r="A168" s="26"/>
      <c r="B168" s="32" t="n">
        <v>15</v>
      </c>
      <c r="C168" s="33" t="n">
        <f aca="false">(ABS(C19-E19)/C19)*100</f>
        <v>98.936170212766</v>
      </c>
      <c r="D168" s="33" t="n">
        <f aca="false">(ABS(D19-F19)/D19)*100</f>
        <v>0.467195820355672</v>
      </c>
      <c r="E168" s="29"/>
      <c r="F168" s="33" t="n">
        <f aca="false">(ABS(C19-G19)/C19)*100</f>
        <v>0.797872340425532</v>
      </c>
      <c r="G168" s="33" t="n">
        <f aca="false">(ABS(D19-H19)/D19)*100</f>
        <v>0.00376770822867477</v>
      </c>
      <c r="H168" s="31"/>
    </row>
    <row r="169" customFormat="false" ht="15" hidden="false" customHeight="false" outlineLevel="0" collapsed="false">
      <c r="A169" s="26"/>
      <c r="B169" s="32" t="n">
        <v>16</v>
      </c>
      <c r="C169" s="33" t="n">
        <f aca="false">(ABS(C20-E20)/C20)*100</f>
        <v>99.7536945812808</v>
      </c>
      <c r="D169" s="33" t="n">
        <f aca="false">(ABS(D20-F20)/D20)*100</f>
        <v>0.508832324044526</v>
      </c>
      <c r="E169" s="29"/>
      <c r="F169" s="33" t="n">
        <f aca="false">(ABS(C20-G20)/C20)*100</f>
        <v>0.738916256157636</v>
      </c>
      <c r="G169" s="33" t="n">
        <f aca="false">(ABS(D20-H20)/D20)*100</f>
        <v>0.00376912832625575</v>
      </c>
      <c r="H169" s="31"/>
    </row>
    <row r="170" customFormat="false" ht="15" hidden="false" customHeight="false" outlineLevel="0" collapsed="false">
      <c r="A170" s="26"/>
      <c r="B170" s="32" t="n">
        <v>17</v>
      </c>
      <c r="C170" s="33" t="n">
        <f aca="false">(ABS(C21-E21)/C21)*100</f>
        <v>99.8936170212766</v>
      </c>
      <c r="D170" s="33" t="n">
        <f aca="false">(ABS(D21-F21)/D21)*100</f>
        <v>0.590343266691814</v>
      </c>
      <c r="E170" s="29"/>
      <c r="F170" s="33" t="n">
        <f aca="false">(ABS(C21-G21)/C21)*100</f>
        <v>0.212765957446809</v>
      </c>
      <c r="G170" s="33" t="n">
        <f aca="false">(ABS(D21-H21)/D21)*100</f>
        <v>0.00125738714950333</v>
      </c>
      <c r="H170" s="31"/>
    </row>
    <row r="171" customFormat="false" ht="15" hidden="false" customHeight="false" outlineLevel="0" collapsed="false">
      <c r="A171" s="26"/>
      <c r="B171" s="32" t="n">
        <v>18</v>
      </c>
      <c r="C171" s="33" t="n">
        <f aca="false">(ABS(C22-E22)/C22)*100</f>
        <v>98.9553656220323</v>
      </c>
      <c r="D171" s="33" t="n">
        <f aca="false">(ABS(D22-F22)/D22)*100</f>
        <v>0.655564433427495</v>
      </c>
      <c r="E171" s="29"/>
      <c r="F171" s="33" t="n">
        <f aca="false">(ABS(C22-G22)/C22)*100</f>
        <v>0.474833808167142</v>
      </c>
      <c r="G171" s="33" t="n">
        <f aca="false">(ABS(D22-H22)/D22)*100</f>
        <v>0.00314570265560218</v>
      </c>
      <c r="H171" s="31"/>
    </row>
    <row r="172" customFormat="false" ht="15" hidden="false" customHeight="false" outlineLevel="0" collapsed="false">
      <c r="A172" s="26"/>
      <c r="B172" s="32" t="n">
        <v>19</v>
      </c>
      <c r="C172" s="33" t="n">
        <f aca="false">(ABS(C23-E23)/C23)*100</f>
        <v>95.5894826123834</v>
      </c>
      <c r="D172" s="33" t="n">
        <f aca="false">(ABS(D23-F23)/D23)*100</f>
        <v>0.70960389369164</v>
      </c>
      <c r="E172" s="29"/>
      <c r="F172" s="33" t="n">
        <f aca="false">(ABS(C23-G23)/C23)*100</f>
        <v>0.169635284139101</v>
      </c>
      <c r="G172" s="33" t="n">
        <f aca="false">(ABS(D23-H23)/D23)*100</f>
        <v>0.00125927931444834</v>
      </c>
      <c r="H172" s="31"/>
    </row>
    <row r="173" customFormat="false" ht="15" hidden="false" customHeight="false" outlineLevel="0" collapsed="false">
      <c r="A173" s="26"/>
      <c r="B173" s="32" t="n">
        <v>20</v>
      </c>
      <c r="C173" s="33" t="n">
        <f aca="false">(ABS(C24-E24)/C24)*100</f>
        <v>99.7615262321145</v>
      </c>
      <c r="D173" s="33" t="n">
        <f aca="false">(ABS(D24-F24)/D24)*100</f>
        <v>0.790591021909766</v>
      </c>
      <c r="E173" s="29"/>
      <c r="F173" s="33" t="n">
        <f aca="false">(ABS(C24-G24)/C24)*100</f>
        <v>0</v>
      </c>
      <c r="G173" s="33" t="n">
        <f aca="false">(ABS(D24-H24)/D24)*100</f>
        <v>0</v>
      </c>
      <c r="H173" s="31"/>
    </row>
    <row r="174" customFormat="false" ht="15" hidden="false" customHeight="false" outlineLevel="0" collapsed="false">
      <c r="A174" s="26"/>
      <c r="B174" s="32" t="n">
        <v>21</v>
      </c>
      <c r="C174" s="33" t="n">
        <f aca="false">(ABS(C25-E25)/C25)*100</f>
        <v>99.9286733238231</v>
      </c>
      <c r="D174" s="33" t="n">
        <f aca="false">(ABS(D25-F25)/D25)*100</f>
        <v>0.883365490107063</v>
      </c>
      <c r="E174" s="29"/>
      <c r="F174" s="33" t="n">
        <f aca="false">(ABS(C25-G25)/C25)*100</f>
        <v>0.285306704707561</v>
      </c>
      <c r="G174" s="33" t="n">
        <f aca="false">(ABS(D25-H25)/D25)*100</f>
        <v>0.00252209990037705</v>
      </c>
      <c r="H174" s="31"/>
    </row>
    <row r="175" customFormat="false" ht="15" hidden="false" customHeight="false" outlineLevel="0" collapsed="false">
      <c r="A175" s="26"/>
      <c r="B175" s="32" t="n">
        <v>22</v>
      </c>
      <c r="C175" s="33" t="n">
        <f aca="false">(ABS(C26-E26)/C26)*100</f>
        <v>99.0985189954926</v>
      </c>
      <c r="D175" s="33" t="n">
        <f aca="false">(ABS(D26-F26)/D26)*100</f>
        <v>0.971302706898837</v>
      </c>
      <c r="E175" s="29"/>
      <c r="F175" s="33" t="n">
        <f aca="false">(ABS(C26-G26)/C26)*100</f>
        <v>0.193174500965873</v>
      </c>
      <c r="G175" s="33" t="n">
        <f aca="false">(ABS(D26-H26)/D26)*100</f>
        <v>0.00189337759629403</v>
      </c>
      <c r="H175" s="31"/>
    </row>
    <row r="176" customFormat="false" ht="15" hidden="false" customHeight="false" outlineLevel="0" collapsed="false">
      <c r="A176" s="26"/>
      <c r="B176" s="32" t="n">
        <v>23</v>
      </c>
      <c r="C176" s="33" t="n">
        <f aca="false">(ABS(C27-E27)/C27)*100</f>
        <v>99.2406542056075</v>
      </c>
      <c r="D176" s="33" t="n">
        <f aca="false">(ABS(D27-F27)/D27)*100</f>
        <v>1.07335995148085</v>
      </c>
      <c r="E176" s="29"/>
      <c r="F176" s="33" t="n">
        <f aca="false">(ABS(C27-G27)/C27)*100</f>
        <v>0.233644859813084</v>
      </c>
      <c r="G176" s="33" t="n">
        <f aca="false">(ABS(D27-H27)/D27)*100</f>
        <v>0.00252703932073183</v>
      </c>
      <c r="H176" s="31"/>
    </row>
    <row r="177" customFormat="false" ht="15" hidden="false" customHeight="false" outlineLevel="0" collapsed="false">
      <c r="A177" s="26"/>
      <c r="B177" s="32" t="n">
        <v>24</v>
      </c>
      <c r="C177" s="33" t="n">
        <f aca="false">(ABS(C28-E28)/C28)*100</f>
        <v>97.450110864745</v>
      </c>
      <c r="D177" s="33" t="n">
        <f aca="false">(ABS(D28-F28)/D28)*100</f>
        <v>1.11127967837366</v>
      </c>
      <c r="E177" s="29"/>
      <c r="F177" s="33" t="n">
        <f aca="false">(ABS(C28-G28)/C28)*100</f>
        <v>0.16629711751663</v>
      </c>
      <c r="G177" s="33" t="n">
        <f aca="false">(ABS(D28-H28)/D28)*100</f>
        <v>0.00189638170370932</v>
      </c>
      <c r="H177" s="31"/>
    </row>
    <row r="178" customFormat="false" ht="15" hidden="false" customHeight="false" outlineLevel="0" collapsed="false">
      <c r="A178" s="26"/>
      <c r="B178" s="32" t="n">
        <v>25</v>
      </c>
      <c r="C178" s="33" t="n">
        <f aca="false">(ABS(C29-E29)/C29)*100</f>
        <v>95.339412360689</v>
      </c>
      <c r="D178" s="33" t="n">
        <f aca="false">(ABS(D29-F29)/D29)*100</f>
        <v>1.19094326250111</v>
      </c>
      <c r="E178" s="29"/>
      <c r="F178" s="33" t="n">
        <f aca="false">(ABS(C29-G29)/C29)*100</f>
        <v>0.151975683890578</v>
      </c>
      <c r="G178" s="33" t="n">
        <f aca="false">(ABS(D29-H29)/D29)*100</f>
        <v>0.00189842177869465</v>
      </c>
      <c r="H178" s="31"/>
    </row>
    <row r="179" customFormat="false" ht="15" hidden="false" customHeight="false" outlineLevel="0" collapsed="false">
      <c r="A179" s="26"/>
      <c r="B179" s="32" t="n">
        <v>26</v>
      </c>
      <c r="C179" s="33" t="n">
        <f aca="false">(ABS(C30-E30)/C30)*100</f>
        <v>98.3271375464684</v>
      </c>
      <c r="D179" s="33" t="n">
        <f aca="false">(ABS(D30-F30)/D30)*100</f>
        <v>1.34053013025189</v>
      </c>
      <c r="E179" s="29"/>
      <c r="F179" s="33" t="n">
        <f aca="false">(ABS(C30-G30)/C30)*100</f>
        <v>0.0464684014869888</v>
      </c>
      <c r="G179" s="33" t="n">
        <f aca="false">(ABS(D30-H30)/D30)*100</f>
        <v>0.000633520855506563</v>
      </c>
      <c r="H179" s="31"/>
    </row>
    <row r="180" customFormat="false" ht="15" hidden="false" customHeight="false" outlineLevel="0" collapsed="false">
      <c r="A180" s="26"/>
      <c r="B180" s="32" t="n">
        <v>27</v>
      </c>
      <c r="C180" s="33" t="n">
        <f aca="false">(ABS(C31-E31)/C31)*100</f>
        <v>97.4743150684932</v>
      </c>
      <c r="D180" s="33" t="n">
        <f aca="false">(ABS(D31-F31)/D31)*100</f>
        <v>1.4442104729044</v>
      </c>
      <c r="E180" s="29"/>
      <c r="F180" s="33" t="n">
        <f aca="false">(ABS(C31-G31)/C31)*100</f>
        <v>0.0856164383561644</v>
      </c>
      <c r="G180" s="33" t="n">
        <f aca="false">(ABS(D31-H31)/D31)*100</f>
        <v>0.001268520397808</v>
      </c>
      <c r="H180" s="31"/>
    </row>
    <row r="181" customFormat="false" ht="15" hidden="false" customHeight="false" outlineLevel="0" collapsed="false">
      <c r="A181" s="26"/>
      <c r="B181" s="32" t="n">
        <v>28</v>
      </c>
      <c r="C181" s="33" t="n">
        <f aca="false">(ABS(C32-E32)/C32)*100</f>
        <v>98.8269794721408</v>
      </c>
      <c r="D181" s="33" t="n">
        <f aca="false">(ABS(D32-F32)/D32)*100</f>
        <v>1.49670395208517</v>
      </c>
      <c r="E181" s="29"/>
      <c r="F181" s="33" t="n">
        <f aca="false">(ABS(C32-G32)/C32)*100</f>
        <v>0.167574361122748</v>
      </c>
      <c r="G181" s="33" t="n">
        <f aca="false">(ABS(D32-H32)/D32)*100</f>
        <v>0.00253786172460393</v>
      </c>
      <c r="H181" s="31"/>
    </row>
    <row r="182" customFormat="false" ht="15" hidden="false" customHeight="false" outlineLevel="0" collapsed="false">
      <c r="A182" s="26"/>
      <c r="B182" s="32" t="n">
        <v>29</v>
      </c>
      <c r="C182" s="33" t="n">
        <f aca="false">(ABS(C33-E33)/C33)*100</f>
        <v>99.7746901990237</v>
      </c>
      <c r="D182" s="33" t="n">
        <f aca="false">(ABS(D33-F33)/D33)*100</f>
        <v>1.68873183040226</v>
      </c>
      <c r="E182" s="29"/>
      <c r="F182" s="33" t="n">
        <f aca="false">(ABS(C33-G33)/C33)*100</f>
        <v>0.0751032669921142</v>
      </c>
      <c r="G182" s="33" t="n">
        <f aca="false">(ABS(D33-H33)/D33)*100</f>
        <v>0.00127115681626064</v>
      </c>
      <c r="H182" s="31"/>
    </row>
    <row r="183" customFormat="false" ht="15" hidden="false" customHeight="false" outlineLevel="0" collapsed="false">
      <c r="A183" s="26"/>
      <c r="B183" s="32" t="n">
        <v>30</v>
      </c>
      <c r="C183" s="33" t="n">
        <f aca="false">(ABS(C34-E34)/C34)*100</f>
        <v>99.6839887640449</v>
      </c>
      <c r="D183" s="33" t="n">
        <f aca="false">(ABS(D34-F34)/D34)*100</f>
        <v>1.80653125636327</v>
      </c>
      <c r="E183" s="29"/>
      <c r="F183" s="33" t="n">
        <f aca="false">(ABS(C34-G34)/C34)*100</f>
        <v>0.0351123595505618</v>
      </c>
      <c r="G183" s="33" t="n">
        <f aca="false">(ABS(D34-H34)/D34)*100</f>
        <v>0.000636326613724292</v>
      </c>
      <c r="H183" s="31"/>
    </row>
    <row r="184" customFormat="false" ht="15" hidden="false" customHeight="false" outlineLevel="0" collapsed="false">
      <c r="A184" s="26"/>
      <c r="B184" s="32" t="n">
        <v>31</v>
      </c>
      <c r="C184" s="33" t="n">
        <f aca="false">(ABS(C35-E35)/C35)*100</f>
        <v>99.2760776571241</v>
      </c>
      <c r="D184" s="33" t="n">
        <f aca="false">(ABS(D35-F35)/D35)*100</f>
        <v>1.92213352361415</v>
      </c>
      <c r="E184" s="29"/>
      <c r="F184" s="33" t="n">
        <f aca="false">(ABS(C35-G35)/C35)*100</f>
        <v>0.0658111220796315</v>
      </c>
      <c r="G184" s="33" t="n">
        <f aca="false">(ABS(D35-H35)/D35)*100</f>
        <v>0.00127420187180255</v>
      </c>
      <c r="H184" s="31"/>
    </row>
    <row r="185" customFormat="false" ht="15" hidden="false" customHeight="false" outlineLevel="0" collapsed="false">
      <c r="A185" s="26"/>
      <c r="B185" s="32" t="n">
        <v>32</v>
      </c>
      <c r="C185" s="33" t="n">
        <f aca="false">(ABS(C36-E36)/C36)*100</f>
        <v>99.1834170854271</v>
      </c>
      <c r="D185" s="33" t="n">
        <f aca="false">(ABS(D36-F36)/D36)*100</f>
        <v>2.01382511988573</v>
      </c>
      <c r="E185" s="29"/>
      <c r="F185" s="33" t="n">
        <f aca="false">(ABS(C36-G36)/C36)*100</f>
        <v>0.0628140703517588</v>
      </c>
      <c r="G185" s="33" t="n">
        <f aca="false">(ABS(D36-H36)/D36)*100</f>
        <v>0.00127538006325885</v>
      </c>
      <c r="H185" s="31"/>
    </row>
    <row r="186" customFormat="false" ht="15" hidden="false" customHeight="false" outlineLevel="0" collapsed="false">
      <c r="A186" s="26"/>
      <c r="B186" s="32" t="n">
        <v>33</v>
      </c>
      <c r="C186" s="33" t="n">
        <f aca="false">(ABS(C37-E37)/C37)*100</f>
        <v>99.8240985048373</v>
      </c>
      <c r="D186" s="33" t="n">
        <f aca="false">(ABS(D37-F37)/D37)*100</f>
        <v>2.17448224332488</v>
      </c>
      <c r="E186" s="29"/>
      <c r="F186" s="33" t="n">
        <f aca="false">(ABS(C37-G37)/C37)*100</f>
        <v>0.058633831720903</v>
      </c>
      <c r="G186" s="33" t="n">
        <f aca="false">(ABS(D37-H37)/D37)*100</f>
        <v>0.00127722892412622</v>
      </c>
      <c r="H186" s="31"/>
    </row>
    <row r="187" customFormat="false" ht="15" hidden="false" customHeight="false" outlineLevel="0" collapsed="false">
      <c r="A187" s="26"/>
      <c r="B187" s="32" t="n">
        <v>34</v>
      </c>
      <c r="C187" s="33" t="n">
        <f aca="false">(ABS(C38-E38)/C38)*100</f>
        <v>99.5330953034881</v>
      </c>
      <c r="D187" s="33" t="n">
        <f aca="false">(ABS(D38-F38)/D38)*100</f>
        <v>2.31774314238387</v>
      </c>
      <c r="E187" s="29"/>
      <c r="F187" s="33" t="n">
        <f aca="false">(ABS(C38-G38)/C38)*100</f>
        <v>0.0274649821477616</v>
      </c>
      <c r="G187" s="33" t="n">
        <f aca="false">(ABS(D38-H38)/D38)*100</f>
        <v>0.000639553847236168</v>
      </c>
      <c r="H187" s="31"/>
    </row>
    <row r="188" customFormat="false" ht="15" hidden="false" customHeight="false" outlineLevel="0" collapsed="false">
      <c r="A188" s="26"/>
      <c r="B188" s="32" t="n">
        <v>35</v>
      </c>
      <c r="C188" s="33" t="n">
        <f aca="false">(ABS(C39-E39)/C39)*100</f>
        <v>99.2061459667093</v>
      </c>
      <c r="D188" s="33" t="n">
        <f aca="false">(ABS(D39-F39)/D39)*100</f>
        <v>2.48182196739165</v>
      </c>
      <c r="E188" s="29"/>
      <c r="F188" s="33" t="n">
        <f aca="false">(ABS(C39-G39)/C39)*100</f>
        <v>0.153649167733675</v>
      </c>
      <c r="G188" s="33" t="n">
        <f aca="false">(ABS(D39-H39)/D39)*100</f>
        <v>0.00384381306255806</v>
      </c>
      <c r="H188" s="31"/>
    </row>
    <row r="189" customFormat="false" ht="15" hidden="false" customHeight="false" outlineLevel="0" collapsed="false">
      <c r="A189" s="26"/>
      <c r="B189" s="32" t="n">
        <v>36</v>
      </c>
      <c r="C189" s="33" t="n">
        <f aca="false">(ABS(C40-E40)/C40)*100</f>
        <v>85.1814768460576</v>
      </c>
      <c r="D189" s="33" t="n">
        <f aca="false">(ABS(D40-F40)/D40)*100</f>
        <v>2.18134034165572</v>
      </c>
      <c r="E189" s="29"/>
      <c r="F189" s="33" t="n">
        <f aca="false">(ABS(C40-G40)/C40)*100</f>
        <v>0.0750938673341677</v>
      </c>
      <c r="G189" s="33" t="n">
        <f aca="false">(ABS(D40-H40)/D40)*100</f>
        <v>0.00192301528797154</v>
      </c>
      <c r="H189" s="31"/>
    </row>
    <row r="190" customFormat="false" ht="15" hidden="false" customHeight="false" outlineLevel="0" collapsed="false">
      <c r="A190" s="26"/>
      <c r="B190" s="32" t="n">
        <v>37</v>
      </c>
      <c r="C190" s="33" t="n">
        <f aca="false">(ABS(C41-E41)/C41)*100</f>
        <v>99.8122506453884</v>
      </c>
      <c r="D190" s="33" t="n">
        <f aca="false">(ABS(D41-F41)/D41)*100</f>
        <v>2.73085097502873</v>
      </c>
      <c r="E190" s="29"/>
      <c r="F190" s="33" t="n">
        <f aca="false">(ABS(C41-G41)/C41)*100</f>
        <v>0.0234686693264492</v>
      </c>
      <c r="G190" s="33" t="n">
        <f aca="false">(ABS(D41-H41)/D41)*100</f>
        <v>0.000642099923590109</v>
      </c>
      <c r="H190" s="31"/>
    </row>
    <row r="191" customFormat="false" ht="15" hidden="false" customHeight="false" outlineLevel="0" collapsed="false">
      <c r="A191" s="26"/>
      <c r="B191" s="32" t="n">
        <v>38</v>
      </c>
      <c r="C191" s="33" t="n">
        <f aca="false">(ABS(C42-E42)/C42)*100</f>
        <v>97.4706012868871</v>
      </c>
      <c r="D191" s="33" t="n">
        <f aca="false">(ABS(D42-F42)/D42)*100</f>
        <v>2.82520756561389</v>
      </c>
      <c r="E191" s="29"/>
      <c r="F191" s="33" t="n">
        <f aca="false">(ABS(C42-G42)/C42)*100</f>
        <v>0.0443754160195252</v>
      </c>
      <c r="G191" s="33" t="n">
        <f aca="false">(ABS(D42-H42)/D42)*100</f>
        <v>0.00128623153453853</v>
      </c>
      <c r="H191" s="31"/>
    </row>
    <row r="192" customFormat="false" ht="15" hidden="false" customHeight="false" outlineLevel="0" collapsed="false">
      <c r="A192" s="26"/>
      <c r="B192" s="32" t="n">
        <v>39</v>
      </c>
      <c r="C192" s="33" t="n">
        <f aca="false">(ABS(C43-E43)/C43)*100</f>
        <v>98.3143699957859</v>
      </c>
      <c r="D192" s="33" t="n">
        <f aca="false">(ABS(D43-F43)/D43)*100</f>
        <v>3.00539760650289</v>
      </c>
      <c r="E192" s="29"/>
      <c r="F192" s="33" t="n">
        <f aca="false">(ABS(C43-G43)/C43)*100</f>
        <v>0.0210703750526759</v>
      </c>
      <c r="G192" s="33" t="n">
        <f aca="false">(ABS(D43-H43)/D43)*100</f>
        <v>0.00064410578793461</v>
      </c>
      <c r="H192" s="31"/>
    </row>
    <row r="193" customFormat="false" ht="15" hidden="false" customHeight="false" outlineLevel="0" collapsed="false">
      <c r="A193" s="26"/>
      <c r="B193" s="32" t="n">
        <v>40</v>
      </c>
      <c r="C193" s="33" t="n">
        <f aca="false">(ABS(C44-E44)/C44)*100</f>
        <v>78.7630554986689</v>
      </c>
      <c r="D193" s="33" t="n">
        <f aca="false">(ABS(D44-F44)/D44)*100</f>
        <v>2.4794187613221</v>
      </c>
      <c r="E193" s="29"/>
      <c r="F193" s="33" t="n">
        <f aca="false">(ABS(C44-G44)/C44)*100</f>
        <v>0.102396067990989</v>
      </c>
      <c r="G193" s="33" t="n">
        <f aca="false">(ABS(D44-H44)/D44)*100</f>
        <v>0.00322337332465171</v>
      </c>
      <c r="H193" s="31"/>
    </row>
    <row r="194" customFormat="false" ht="15" hidden="false" customHeight="false" outlineLevel="0" collapsed="false">
      <c r="A194" s="26"/>
      <c r="B194" s="32" t="n">
        <v>41</v>
      </c>
      <c r="C194" s="33" t="n">
        <f aca="false">(ABS(C45-E45)/C45)*100</f>
        <v>99.6473354231975</v>
      </c>
      <c r="D194" s="33" t="n">
        <f aca="false">(ABS(D45-F45)/D45)*100</f>
        <v>3.28349344076025</v>
      </c>
      <c r="E194" s="29"/>
      <c r="F194" s="33" t="n">
        <f aca="false">(ABS(C45-G45)/C45)*100</f>
        <v>0.0195924764890282</v>
      </c>
      <c r="G194" s="33" t="n">
        <f aca="false">(ABS(D45-H45)/D45)*100</f>
        <v>0.000645594463381882</v>
      </c>
      <c r="H194" s="31"/>
    </row>
    <row r="195" customFormat="false" ht="15" hidden="false" customHeight="false" outlineLevel="0" collapsed="false">
      <c r="A195" s="26"/>
      <c r="B195" s="32" t="n">
        <v>42</v>
      </c>
      <c r="C195" s="33" t="n">
        <f aca="false">(ABS(C46-E46)/C46)*100</f>
        <v>86.1002422209801</v>
      </c>
      <c r="D195" s="33" t="n">
        <f aca="false">(ABS(D46-F46)/D46)*100</f>
        <v>2.98836600208235</v>
      </c>
      <c r="E195" s="29"/>
      <c r="F195" s="33" t="n">
        <f aca="false">(ABS(C46-G46)/C46)*100</f>
        <v>0.0372647661635923</v>
      </c>
      <c r="G195" s="33" t="n">
        <f aca="false">(ABS(D46-H46)/D46)*100</f>
        <v>0.00129338498250697</v>
      </c>
      <c r="H195" s="31"/>
    </row>
    <row r="196" customFormat="false" ht="15" hidden="false" customHeight="false" outlineLevel="0" collapsed="false">
      <c r="A196" s="26"/>
      <c r="B196" s="32" t="n">
        <v>43</v>
      </c>
      <c r="C196" s="33" t="n">
        <f aca="false">(ABS(C47-E47)/C47)*100</f>
        <v>99.5007132667618</v>
      </c>
      <c r="D196" s="33" t="n">
        <f aca="false">(ABS(D47-F47)/D47)*100</f>
        <v>3.61417690035753</v>
      </c>
      <c r="E196" s="29"/>
      <c r="F196" s="33" t="n">
        <f aca="false">(ABS(C47-G47)/C47)*100</f>
        <v>0.0178316690442225</v>
      </c>
      <c r="G196" s="33" t="n">
        <f aca="false">(ABS(D47-H47)/D47)*100</f>
        <v>0.000647701953469092</v>
      </c>
      <c r="H196" s="31"/>
    </row>
    <row r="197" customFormat="false" ht="15" hidden="false" customHeight="false" outlineLevel="0" collapsed="false">
      <c r="A197" s="26"/>
      <c r="B197" s="32" t="n">
        <v>44</v>
      </c>
      <c r="C197" s="33" t="n">
        <f aca="false">(ABS(C48-E48)/C48)*100</f>
        <v>99.7391757955138</v>
      </c>
      <c r="D197" s="33" t="n">
        <f aca="false">(ABS(D48-F48)/D48)*100</f>
        <v>3.71866268176779</v>
      </c>
      <c r="E197" s="29"/>
      <c r="F197" s="33" t="n">
        <f aca="false">(ABS(C48-G48)/C48)*100</f>
        <v>0.0347765605981568</v>
      </c>
      <c r="G197" s="33" t="n">
        <f aca="false">(ABS(D48-H48)/D48)*100</f>
        <v>0.00129660484022587</v>
      </c>
      <c r="H197" s="31"/>
    </row>
    <row r="198" customFormat="false" ht="15" hidden="false" customHeight="false" outlineLevel="0" collapsed="false">
      <c r="A198" s="26"/>
      <c r="B198" s="32" t="n">
        <v>45</v>
      </c>
      <c r="C198" s="33" t="n">
        <f aca="false">(ABS(C49-E49)/C49)*100</f>
        <v>98.9770249874224</v>
      </c>
      <c r="D198" s="33" t="n">
        <f aca="false">(ABS(D49-F49)/D49)*100</f>
        <v>3.83154696598869</v>
      </c>
      <c r="E198" s="29"/>
      <c r="F198" s="33" t="n">
        <f aca="false">(ABS(C49-G49)/C49)*100</f>
        <v>0.0335401643468053</v>
      </c>
      <c r="G198" s="33" t="n">
        <f aca="false">(ABS(D49-H49)/D49)*100</f>
        <v>0.00129838934801379</v>
      </c>
      <c r="H198" s="31"/>
    </row>
    <row r="199" customFormat="false" ht="15" hidden="false" customHeight="false" outlineLevel="0" collapsed="false">
      <c r="A199" s="26"/>
      <c r="B199" s="32" t="n">
        <v>46</v>
      </c>
      <c r="C199" s="33" t="n">
        <f aca="false">(ABS(C50-E50)/C50)*100</f>
        <v>99.9037227214377</v>
      </c>
      <c r="D199" s="33" t="n">
        <f aca="false">(ABS(D50-F50)/D50)*100</f>
        <v>4.04895687009001</v>
      </c>
      <c r="E199" s="29"/>
      <c r="F199" s="33" t="n">
        <f aca="false">(ABS(C50-G50)/C50)*100</f>
        <v>0.0320924261874198</v>
      </c>
      <c r="G199" s="33" t="n">
        <f aca="false">(ABS(D50-H50)/D50)*100</f>
        <v>0.00130066073565371</v>
      </c>
      <c r="H199" s="31"/>
    </row>
    <row r="200" customFormat="false" ht="15" hidden="false" customHeight="false" outlineLevel="0" collapsed="false">
      <c r="A200" s="26"/>
      <c r="B200" s="32" t="n">
        <v>47</v>
      </c>
      <c r="C200" s="33" t="n">
        <f aca="false">(ABS(C51-E51)/C51)*100</f>
        <v>94.6117029488961</v>
      </c>
      <c r="D200" s="33" t="n">
        <f aca="false">(ABS(D51-F51)/D51)*100</f>
        <v>3.99158432287019</v>
      </c>
      <c r="E200" s="29"/>
      <c r="F200" s="33" t="n">
        <f aca="false">(ABS(C51-G51)/C51)*100</f>
        <v>0.0308784931295353</v>
      </c>
      <c r="G200" s="33" t="n">
        <f aca="false">(ABS(D51-H51)/D51)*100</f>
        <v>0.00130273639780359</v>
      </c>
      <c r="H200" s="31"/>
    </row>
    <row r="201" customFormat="false" ht="15" hidden="false" customHeight="false" outlineLevel="0" collapsed="false">
      <c r="A201" s="26"/>
      <c r="B201" s="32" t="n">
        <v>48</v>
      </c>
      <c r="C201" s="33" t="n">
        <f aca="false">(ABS(C52-E52)/C52)*100</f>
        <v>98.3935128518972</v>
      </c>
      <c r="D201" s="33" t="n">
        <f aca="false">(ABS(D52-F52)/D52)*100</f>
        <v>4.19055934942397</v>
      </c>
      <c r="E201" s="29"/>
      <c r="F201" s="33" t="n">
        <f aca="false">(ABS(C52-G52)/C52)*100</f>
        <v>0.0458996328029376</v>
      </c>
      <c r="G201" s="33" t="n">
        <f aca="false">(ABS(D52-H52)/D52)*100</f>
        <v>0.00195485586196111</v>
      </c>
      <c r="H201" s="31"/>
    </row>
    <row r="202" customFormat="false" ht="15" hidden="false" customHeight="false" outlineLevel="0" collapsed="false">
      <c r="A202" s="26"/>
      <c r="B202" s="32" t="n">
        <v>49</v>
      </c>
      <c r="C202" s="33" t="n">
        <f aca="false">(ABS(C53-E53)/C53)*100</f>
        <v>98.4998543547917</v>
      </c>
      <c r="D202" s="33" t="n">
        <f aca="false">(ABS(D53-F53)/D53)*100</f>
        <v>4.41639348544412</v>
      </c>
      <c r="E202" s="29"/>
      <c r="F202" s="33" t="n">
        <f aca="false">(ABS(C53-G53)/C53)*100</f>
        <v>0.0145645208272648</v>
      </c>
      <c r="G202" s="33" t="n">
        <f aca="false">(ABS(D53-H53)/D53)*100</f>
        <v>0.000653022842739039</v>
      </c>
      <c r="H202" s="31"/>
    </row>
    <row r="203" customFormat="false" ht="15" hidden="false" customHeight="false" outlineLevel="0" collapsed="false">
      <c r="A203" s="26"/>
      <c r="B203" s="32" t="n">
        <v>50</v>
      </c>
      <c r="C203" s="33" t="n">
        <f aca="false">(ABS(C54-E54)/C54)*100</f>
        <v>96.4745858700269</v>
      </c>
      <c r="D203" s="33" t="n">
        <f aca="false">(ABS(D54-F54)/D54)*100</f>
        <v>4.45542935980175</v>
      </c>
      <c r="E203" s="29"/>
      <c r="F203" s="33" t="n">
        <f aca="false">(ABS(C54-G54)/C54)*100</f>
        <v>0.0566331587144273</v>
      </c>
      <c r="G203" s="33" t="n">
        <f aca="false">(ABS(D54-H54)/D54)*100</f>
        <v>0.00261545603745333</v>
      </c>
      <c r="H203" s="31"/>
    </row>
    <row r="204" customFormat="false" ht="15" hidden="false" customHeight="false" outlineLevel="0" collapsed="false">
      <c r="A204" s="26"/>
      <c r="B204" s="32" t="n">
        <v>51</v>
      </c>
      <c r="C204" s="33" t="n">
        <f aca="false">(ABS(C55-E55)/C55)*100</f>
        <v>99.3707250341997</v>
      </c>
      <c r="D204" s="33" t="n">
        <f aca="false">(ABS(D55-F55)/D55)*100</f>
        <v>4.75735149649617</v>
      </c>
      <c r="E204" s="29"/>
      <c r="F204" s="33" t="n">
        <f aca="false">(ABS(C55-G55)/C55)*100</f>
        <v>0.0136798905608755</v>
      </c>
      <c r="G204" s="33" t="n">
        <f aca="false">(ABS(D55-H55)/D55)*100</f>
        <v>0.000654921736852446</v>
      </c>
      <c r="H204" s="31"/>
    </row>
    <row r="205" customFormat="false" ht="15" hidden="false" customHeight="false" outlineLevel="0" collapsed="false">
      <c r="A205" s="26"/>
      <c r="B205" s="32" t="n">
        <v>52</v>
      </c>
      <c r="C205" s="33" t="n">
        <f aca="false">(ABS(C56-E56)/C56)*100</f>
        <v>97.8228732697218</v>
      </c>
      <c r="D205" s="33" t="n">
        <f aca="false">(ABS(D56-F56)/D56)*100</f>
        <v>4.77126882058744</v>
      </c>
      <c r="E205" s="29"/>
      <c r="F205" s="33" t="n">
        <f aca="false">(ABS(C56-G56)/C56)*100</f>
        <v>0.0268781077812122</v>
      </c>
      <c r="G205" s="33" t="n">
        <f aca="false">(ABS(D56-H56)/D56)*100</f>
        <v>0.00131096821557561</v>
      </c>
      <c r="H205" s="31"/>
    </row>
    <row r="206" customFormat="false" ht="15" hidden="false" customHeight="false" outlineLevel="0" collapsed="false">
      <c r="A206" s="26"/>
      <c r="B206" s="32" t="n">
        <v>53</v>
      </c>
      <c r="C206" s="33" t="n">
        <f aca="false">(ABS(C57-E57)/C57)*100</f>
        <v>98.8888888888889</v>
      </c>
      <c r="D206" s="33" t="n">
        <f aca="false">(ABS(D57-F57)/D57)*100</f>
        <v>4.96553987528717</v>
      </c>
      <c r="E206" s="29"/>
      <c r="F206" s="33" t="n">
        <f aca="false">(ABS(C57-G57)/C57)*100</f>
        <v>0.0261437908496732</v>
      </c>
      <c r="G206" s="33" t="n">
        <f aca="false">(ABS(D57-H57)/D57)*100</f>
        <v>0.00131276665572694</v>
      </c>
      <c r="H206" s="31"/>
    </row>
    <row r="207" customFormat="false" ht="15" hidden="false" customHeight="false" outlineLevel="0" collapsed="false">
      <c r="A207" s="26"/>
      <c r="B207" s="32" t="n">
        <v>54</v>
      </c>
      <c r="C207" s="33" t="n">
        <f aca="false">(ABS(C58-E58)/C58)*100</f>
        <v>64.3811219946572</v>
      </c>
      <c r="D207" s="33" t="n">
        <f aca="false">(ABS(D58-F58)/D58)*100</f>
        <v>3.32656320864473</v>
      </c>
      <c r="E207" s="29"/>
      <c r="F207" s="33" t="n">
        <f aca="false">(ABS(C58-G58)/C58)*100</f>
        <v>0.025442055718102</v>
      </c>
      <c r="G207" s="33" t="n">
        <f aca="false">(ABS(D58-H58)/D58)*100</f>
        <v>0.00131458731817614</v>
      </c>
      <c r="H207" s="31"/>
    </row>
    <row r="208" customFormat="false" ht="15" hidden="false" customHeight="false" outlineLevel="0" collapsed="false">
      <c r="A208" s="26"/>
      <c r="B208" s="32" t="n">
        <v>55</v>
      </c>
      <c r="C208" s="33" t="n">
        <f aca="false">(ABS(C59-E59)/C59)*100</f>
        <v>99.4663688260114</v>
      </c>
      <c r="D208" s="33" t="n">
        <f aca="false">(ABS(D59-F59)/D59)*100</f>
        <v>5.27503915967935</v>
      </c>
      <c r="E208" s="29"/>
      <c r="F208" s="33" t="n">
        <f aca="false">(ABS(C59-G59)/C59)*100</f>
        <v>0.0124100273020601</v>
      </c>
      <c r="G208" s="33" t="n">
        <f aca="false">(ABS(D59-H59)/D59)*100</f>
        <v>0.000658145871450948</v>
      </c>
      <c r="H208" s="31"/>
    </row>
    <row r="209" customFormat="false" ht="15" hidden="false" customHeight="false" outlineLevel="0" collapsed="false">
      <c r="A209" s="26"/>
      <c r="B209" s="32" t="n">
        <v>56</v>
      </c>
      <c r="C209" s="33" t="n">
        <f aca="false">(ABS(C60-E60)/C60)*100</f>
        <v>84.8391848760128</v>
      </c>
      <c r="D209" s="33" t="n">
        <f aca="false">(ABS(D60-F60)/D60)*100</f>
        <v>4.55108196030398</v>
      </c>
      <c r="E209" s="29"/>
      <c r="F209" s="33" t="n">
        <f aca="false">(ABS(C60-G60)/C60)*100</f>
        <v>0.0245519273262951</v>
      </c>
      <c r="G209" s="33" t="n">
        <f aca="false">(ABS(D60-H60)/D60)*100</f>
        <v>0.00131705453922847</v>
      </c>
      <c r="H209" s="31"/>
    </row>
    <row r="210" customFormat="false" ht="15" hidden="false" customHeight="false" outlineLevel="0" collapsed="false">
      <c r="A210" s="26"/>
      <c r="B210" s="32" t="n">
        <v>57</v>
      </c>
      <c r="C210" s="33" t="n">
        <f aca="false">(ABS(C61-E61)/C61)*100</f>
        <v>99.7843794920939</v>
      </c>
      <c r="D210" s="33" t="n">
        <f aca="false">(ABS(D61-F61)/D61)*100</f>
        <v>5.49283886793448</v>
      </c>
      <c r="E210" s="29"/>
      <c r="F210" s="33" t="n">
        <f aca="false">(ABS(C61-G61)/C61)*100</f>
        <v>0.0718735026353618</v>
      </c>
      <c r="G210" s="33" t="n">
        <f aca="false">(ABS(D61-H61)/D61)*100</f>
        <v>0.00395642655553504</v>
      </c>
      <c r="H210" s="31"/>
    </row>
    <row r="211" customFormat="false" ht="15" hidden="false" customHeight="false" outlineLevel="0" collapsed="false">
      <c r="A211" s="26"/>
      <c r="B211" s="32" t="n">
        <v>58</v>
      </c>
      <c r="C211" s="33" t="n">
        <f aca="false">(ABS(C62-E62)/C62)*100</f>
        <v>99.9059376837155</v>
      </c>
      <c r="D211" s="33" t="n">
        <f aca="false">(ABS(D62-F62)/D62)*100</f>
        <v>5.60876596587346</v>
      </c>
      <c r="E211" s="29"/>
      <c r="F211" s="33" t="n">
        <f aca="false">(ABS(C62-G62)/C62)*100</f>
        <v>0</v>
      </c>
      <c r="G211" s="33" t="n">
        <f aca="false">(ABS(D62-H62)/D62)*100</f>
        <v>0</v>
      </c>
      <c r="H211" s="31"/>
    </row>
    <row r="212" customFormat="false" ht="15" hidden="false" customHeight="false" outlineLevel="0" collapsed="false">
      <c r="A212" s="26"/>
      <c r="B212" s="32" t="n">
        <v>59</v>
      </c>
      <c r="C212" s="33" t="n">
        <f aca="false">(ABS(C63-E63)/C63)*100</f>
        <v>84.0958856747724</v>
      </c>
      <c r="D212" s="33" t="n">
        <f aca="false">(ABS(D63-F63)/D63)*100</f>
        <v>4.82213543215506</v>
      </c>
      <c r="E212" s="29"/>
      <c r="F212" s="33" t="n">
        <f aca="false">(ABS(C63-G63)/C63)*100</f>
        <v>0.046098882102109</v>
      </c>
      <c r="G212" s="33" t="n">
        <f aca="false">(ABS(D63-H63)/D63)*100</f>
        <v>0.00264335229938608</v>
      </c>
      <c r="H212" s="31"/>
    </row>
    <row r="213" customFormat="false" ht="15" hidden="false" customHeight="false" outlineLevel="0" collapsed="false">
      <c r="A213" s="26"/>
      <c r="B213" s="32" t="n">
        <v>60</v>
      </c>
      <c r="C213" s="33" t="n">
        <f aca="false">(ABS(C64-E64)/C64)*100</f>
        <v>98.6741341867642</v>
      </c>
      <c r="D213" s="33" t="n">
        <f aca="false">(ABS(D64-F64)/D64)*100</f>
        <v>5.7077308579778</v>
      </c>
      <c r="E213" s="29"/>
      <c r="F213" s="33" t="n">
        <f aca="false">(ABS(C64-G64)/C64)*100</f>
        <v>0</v>
      </c>
      <c r="G213" s="33" t="n">
        <f aca="false">(ABS(D64-H64)/D64)*100</f>
        <v>0</v>
      </c>
      <c r="H213" s="31"/>
    </row>
    <row r="214" customFormat="false" ht="15" hidden="false" customHeight="false" outlineLevel="0" collapsed="false">
      <c r="A214" s="26"/>
      <c r="B214" s="32" t="n">
        <v>61</v>
      </c>
      <c r="C214" s="33" t="n">
        <f aca="false">(ABS(C65-E65)/C65)*100</f>
        <v>91.5448617045199</v>
      </c>
      <c r="D214" s="33" t="n">
        <f aca="false">(ABS(D65-F65)/D65)*100</f>
        <v>5.38827048561937</v>
      </c>
      <c r="E214" s="29"/>
      <c r="F214" s="33" t="n">
        <f aca="false">(ABS(C65-G65)/C65)*100</f>
        <v>0</v>
      </c>
      <c r="G214" s="33" t="n">
        <f aca="false">(ABS(D65-H65)/D65)*100</f>
        <v>0</v>
      </c>
      <c r="H214" s="31"/>
    </row>
    <row r="215" customFormat="false" ht="15" hidden="false" customHeight="false" outlineLevel="0" collapsed="false">
      <c r="A215" s="26"/>
      <c r="B215" s="32" t="n">
        <v>62</v>
      </c>
      <c r="C215" s="33" t="n">
        <f aca="false">(ABS(C66-E66)/C66)*100</f>
        <v>93.0934610671717</v>
      </c>
      <c r="D215" s="33" t="n">
        <f aca="false">(ABS(D66-F66)/D66)*100</f>
        <v>5.53359422074783</v>
      </c>
      <c r="E215" s="29"/>
      <c r="F215" s="33" t="n">
        <f aca="false">(ABS(C66-G66)/C66)*100</f>
        <v>0.0111395789239167</v>
      </c>
      <c r="G215" s="33" t="n">
        <f aca="false">(ABS(D66-H66)/D66)*100</f>
        <v>0.000662150798222787</v>
      </c>
      <c r="H215" s="31"/>
    </row>
    <row r="216" customFormat="false" ht="15" hidden="false" customHeight="false" outlineLevel="0" collapsed="false">
      <c r="A216" s="26"/>
      <c r="B216" s="32" t="n">
        <v>63</v>
      </c>
      <c r="C216" s="33" t="n">
        <f aca="false">(ABS(C67-E67)/C67)*100</f>
        <v>99.8462889767238</v>
      </c>
      <c r="D216" s="33" t="n">
        <f aca="false">(ABS(D67-F67)/D67)*100</f>
        <v>6.02682713463935</v>
      </c>
      <c r="E216" s="29"/>
      <c r="F216" s="33" t="n">
        <f aca="false">(ABS(C67-G67)/C67)*100</f>
        <v>0.0219587176108915</v>
      </c>
      <c r="G216" s="33" t="n">
        <f aca="false">(ABS(D67-H67)/D67)*100</f>
        <v>0.00132545131617316</v>
      </c>
      <c r="H216" s="31"/>
    </row>
    <row r="217" customFormat="false" ht="15" hidden="false" customHeight="false" outlineLevel="0" collapsed="false">
      <c r="A217" s="26"/>
      <c r="B217" s="32" t="n">
        <v>64</v>
      </c>
      <c r="C217" s="33" t="n">
        <f aca="false">(ABS(C68-E68)/C68)*100</f>
        <v>99.8248111244936</v>
      </c>
      <c r="D217" s="33" t="n">
        <f aca="false">(ABS(D68-F68)/D68)*100</f>
        <v>6.04307104933484</v>
      </c>
      <c r="E217" s="29"/>
      <c r="F217" s="33" t="n">
        <f aca="false">(ABS(C68-G68)/C68)*100</f>
        <v>0.0218986094383007</v>
      </c>
      <c r="G217" s="33" t="n">
        <f aca="false">(ABS(D68-H68)/D68)*100</f>
        <v>0.00132567095521221</v>
      </c>
      <c r="H217" s="31"/>
    </row>
    <row r="218" customFormat="false" ht="15" hidden="false" customHeight="false" outlineLevel="0" collapsed="false">
      <c r="A218" s="26"/>
      <c r="B218" s="32" t="n">
        <v>65</v>
      </c>
      <c r="C218" s="33" t="n">
        <f aca="false">(ABS(C69-E69)/C69)*100</f>
        <v>99.793881536125</v>
      </c>
      <c r="D218" s="33" t="n">
        <f aca="false">(ABS(D69-F69)/D69)*100</f>
        <v>6.10086084545901</v>
      </c>
      <c r="E218" s="29"/>
      <c r="F218" s="33" t="n">
        <f aca="false">(ABS(C69-G69)/C69)*100</f>
        <v>0.0325450206118464</v>
      </c>
      <c r="G218" s="33" t="n">
        <f aca="false">(ABS(D69-H69)/D69)*100</f>
        <v>0.00198962740910719</v>
      </c>
      <c r="H218" s="31"/>
    </row>
    <row r="219" customFormat="false" ht="15" hidden="false" customHeight="false" outlineLevel="0" collapsed="false">
      <c r="A219" s="26"/>
      <c r="B219" s="32" t="n">
        <v>66</v>
      </c>
      <c r="C219" s="33" t="n">
        <f aca="false">(ABS(C70-E70)/C70)*100</f>
        <v>99.9246582714455</v>
      </c>
      <c r="D219" s="33" t="n">
        <f aca="false">(ABS(D70-F70)/D70)*100</f>
        <v>6.16021604549164</v>
      </c>
      <c r="E219" s="29"/>
      <c r="F219" s="33" t="n">
        <f aca="false">(ABS(C70-G70)/C70)*100</f>
        <v>0.0322893122376493</v>
      </c>
      <c r="G219" s="33" t="n">
        <f aca="false">(ABS(D70-H70)/D70)*100</f>
        <v>0.00199059113921531</v>
      </c>
      <c r="H219" s="31"/>
    </row>
    <row r="220" customFormat="false" ht="15" hidden="false" customHeight="false" outlineLevel="0" collapsed="false">
      <c r="A220" s="26"/>
      <c r="B220" s="32" t="n">
        <v>67</v>
      </c>
      <c r="C220" s="33" t="n">
        <f aca="false">(ABS(C71-E71)/C71)*100</f>
        <v>99.733361774744</v>
      </c>
      <c r="D220" s="33" t="n">
        <f aca="false">(ABS(D71-F71)/D71)*100</f>
        <v>6.20817399617591</v>
      </c>
      <c r="E220" s="29"/>
      <c r="F220" s="33" t="n">
        <f aca="false">(ABS(C71-G71)/C71)*100</f>
        <v>0.0213310580204778</v>
      </c>
      <c r="G220" s="33" t="n">
        <f aca="false">(ABS(D71-H71)/D71)*100</f>
        <v>0.00132780964520926</v>
      </c>
      <c r="H220" s="31"/>
    </row>
    <row r="221" customFormat="false" ht="15" hidden="false" customHeight="false" outlineLevel="0" collapsed="false">
      <c r="A221" s="26"/>
      <c r="B221" s="32" t="n">
        <v>68</v>
      </c>
      <c r="C221" s="33" t="n">
        <f aca="false">(ABS(C72-E72)/C72)*100</f>
        <v>99.8714515265131</v>
      </c>
      <c r="D221" s="33" t="n">
        <f aca="false">(ABS(D72-F72)/D72)*100</f>
        <v>6.18790030863173</v>
      </c>
      <c r="E221" s="29"/>
      <c r="F221" s="33" t="n">
        <f aca="false">(ABS(C72-G72)/C72)*100</f>
        <v>0.0214247455811462</v>
      </c>
      <c r="G221" s="33" t="n">
        <f aca="false">(ABS(D72-H72)/D72)*100</f>
        <v>0.00132744831248133</v>
      </c>
      <c r="H221" s="31"/>
    </row>
    <row r="222" customFormat="false" ht="15" hidden="false" customHeight="false" outlineLevel="0" collapsed="false">
      <c r="A222" s="26"/>
      <c r="B222" s="32" t="n">
        <v>69</v>
      </c>
      <c r="C222" s="33" t="n">
        <f aca="false">(ABS(C73-E73)/C73)*100</f>
        <v>94.3562985837504</v>
      </c>
      <c r="D222" s="33" t="n">
        <f aca="false">(ABS(D73-F73)/D73)*100</f>
        <v>5.88344654037939</v>
      </c>
      <c r="E222" s="29"/>
      <c r="F222" s="33" t="n">
        <f aca="false">(ABS(C73-G73)/C73)*100</f>
        <v>0.0319454797146204</v>
      </c>
      <c r="G222" s="33" t="n">
        <f aca="false">(ABS(D73-H73)/D73)*100</f>
        <v>0.00199191283389439</v>
      </c>
      <c r="H222" s="31"/>
    </row>
    <row r="223" customFormat="false" ht="15" hidden="false" customHeight="false" outlineLevel="0" collapsed="false">
      <c r="A223" s="26"/>
      <c r="B223" s="32" t="n">
        <v>70</v>
      </c>
      <c r="C223" s="33" t="n">
        <f aca="false">(ABS(C74-E74)/C74)*100</f>
        <v>99.3830443569833</v>
      </c>
      <c r="D223" s="33" t="n">
        <f aca="false">(ABS(D74-F74)/D74)*100</f>
        <v>6.20389245612521</v>
      </c>
      <c r="E223" s="29"/>
      <c r="F223" s="33" t="n">
        <f aca="false">(ABS(C74-G74)/C74)*100</f>
        <v>0.0425486650356345</v>
      </c>
      <c r="G223" s="33" t="n">
        <f aca="false">(ABS(D74-H74)/D74)*100</f>
        <v>0.00265606013320142</v>
      </c>
      <c r="H223" s="31"/>
    </row>
    <row r="224" customFormat="false" ht="15" hidden="false" customHeight="false" outlineLevel="0" collapsed="false">
      <c r="A224" s="26"/>
      <c r="B224" s="32" t="n">
        <v>71</v>
      </c>
      <c r="C224" s="33" t="n">
        <f aca="false">(ABS(C75-E75)/C75)*100</f>
        <v>99.1481205409435</v>
      </c>
      <c r="D224" s="33" t="n">
        <f aca="false">(ABS(D75-F75)/D75)*100</f>
        <v>6.18223346546355</v>
      </c>
      <c r="E224" s="29"/>
      <c r="F224" s="33" t="n">
        <f aca="false">(ABS(C75-G75)/C75)*100</f>
        <v>0.0212969864764136</v>
      </c>
      <c r="G224" s="33" t="n">
        <f aca="false">(ABS(D75-H75)/D75)*100</f>
        <v>0.00132794188926293</v>
      </c>
      <c r="H224" s="31"/>
    </row>
    <row r="225" customFormat="false" ht="15" hidden="false" customHeight="false" outlineLevel="0" collapsed="false">
      <c r="A225" s="26"/>
      <c r="B225" s="32" t="n">
        <v>72</v>
      </c>
      <c r="C225" s="33" t="n">
        <f aca="false">(ABS(C76-E76)/C76)*100</f>
        <v>86.4888031715418</v>
      </c>
      <c r="D225" s="33" t="n">
        <f aca="false">(ABS(D76-F76)/D76)*100</f>
        <v>5.35751027099498</v>
      </c>
      <c r="E225" s="29"/>
      <c r="F225" s="33" t="n">
        <f aca="false">(ABS(C76-G76)/C76)*100</f>
        <v>0.053573341905068</v>
      </c>
      <c r="G225" s="33" t="n">
        <f aca="false">(ABS(D76-H76)/D76)*100</f>
        <v>0.00331857672881255</v>
      </c>
      <c r="H225" s="31"/>
    </row>
    <row r="226" customFormat="false" ht="15" hidden="false" customHeight="false" outlineLevel="0" collapsed="false">
      <c r="A226" s="26"/>
      <c r="B226" s="32" t="n">
        <v>73</v>
      </c>
      <c r="C226" s="33" t="n">
        <f aca="false">(ABS(C77-E77)/C77)*100</f>
        <v>99.8182207014542</v>
      </c>
      <c r="D226" s="33" t="n">
        <f aca="false">(ABS(D77-F77)/D77)*100</f>
        <v>6.19656417609261</v>
      </c>
      <c r="E226" s="29"/>
      <c r="F226" s="33" t="n">
        <f aca="false">(ABS(C77-G77)/C77)*100</f>
        <v>0</v>
      </c>
      <c r="G226" s="33" t="n">
        <f aca="false">(ABS(D77-H77)/D77)*100</f>
        <v>0</v>
      </c>
      <c r="H226" s="31"/>
    </row>
    <row r="227" customFormat="false" ht="15" hidden="false" customHeight="false" outlineLevel="0" collapsed="false">
      <c r="A227" s="26"/>
      <c r="B227" s="32" t="n">
        <v>74</v>
      </c>
      <c r="C227" s="33" t="n">
        <f aca="false">(ABS(C78-E78)/C78)*100</f>
        <v>99.7955010224949</v>
      </c>
      <c r="D227" s="33" t="n">
        <f aca="false">(ABS(D78-F78)/D78)*100</f>
        <v>6.15225368093478</v>
      </c>
      <c r="E227" s="29"/>
      <c r="F227" s="33" t="n">
        <f aca="false">(ABS(C78-G78)/C78)*100</f>
        <v>0.0430524163168658</v>
      </c>
      <c r="G227" s="33" t="n">
        <f aca="false">(ABS(D78-H78)/D78)*100</f>
        <v>0.00265412151895375</v>
      </c>
      <c r="H227" s="31"/>
    </row>
    <row r="228" customFormat="false" ht="15" hidden="false" customHeight="false" outlineLevel="0" collapsed="false">
      <c r="A228" s="26"/>
      <c r="B228" s="32" t="n">
        <v>75</v>
      </c>
      <c r="C228" s="33" t="n">
        <f aca="false">(ABS(C79-E79)/C79)*100</f>
        <v>98.474025974026</v>
      </c>
      <c r="D228" s="33" t="n">
        <f aca="false">(ABS(D79-F79)/D79)*100</f>
        <v>6.03542053595118</v>
      </c>
      <c r="E228" s="29"/>
      <c r="F228" s="33" t="n">
        <f aca="false">(ABS(C79-G79)/C79)*100</f>
        <v>0.0216450216450216</v>
      </c>
      <c r="G228" s="33" t="n">
        <f aca="false">(ABS(D79-H79)/D79)*100</f>
        <v>0.00132661183337755</v>
      </c>
      <c r="H228" s="31"/>
    </row>
    <row r="229" customFormat="false" ht="15" hidden="false" customHeight="false" outlineLevel="0" collapsed="false">
      <c r="A229" s="26"/>
      <c r="B229" s="32" t="n">
        <v>76</v>
      </c>
      <c r="C229" s="33" t="n">
        <f aca="false">(ABS(C80-E80)/C80)*100</f>
        <v>92.2445854298841</v>
      </c>
      <c r="D229" s="33" t="n">
        <f aca="false">(ABS(D80-F80)/D80)*100</f>
        <v>5.59002505667582</v>
      </c>
      <c r="E229" s="29"/>
      <c r="F229" s="33" t="n">
        <f aca="false">(ABS(C80-G80)/C80)*100</f>
        <v>0.0437541019470575</v>
      </c>
      <c r="G229" s="33" t="n">
        <f aca="false">(ABS(D80-H80)/D80)*100</f>
        <v>0.00265150008617375</v>
      </c>
      <c r="H229" s="31"/>
    </row>
    <row r="230" customFormat="false" ht="15" hidden="false" customHeight="false" outlineLevel="0" collapsed="false">
      <c r="A230" s="26"/>
      <c r="B230" s="32" t="n">
        <v>77</v>
      </c>
      <c r="C230" s="33" t="n">
        <f aca="false">(ABS(C81-E81)/C81)*100</f>
        <v>89.0865173473869</v>
      </c>
      <c r="D230" s="33" t="n">
        <f aca="false">(ABS(D81-F81)/D81)*100</f>
        <v>5.3773559897145</v>
      </c>
      <c r="E230" s="29"/>
      <c r="F230" s="33" t="n">
        <f aca="false">(ABS(C81-G81)/C81)*100</f>
        <v>0.0219587176108915</v>
      </c>
      <c r="G230" s="33" t="n">
        <f aca="false">(ABS(D81-H81)/D81)*100</f>
        <v>0.00132545131617316</v>
      </c>
      <c r="H230" s="31"/>
    </row>
    <row r="231" customFormat="false" ht="15" hidden="false" customHeight="false" outlineLevel="0" collapsed="false">
      <c r="A231" s="26"/>
      <c r="B231" s="32" t="n">
        <v>78</v>
      </c>
      <c r="C231" s="33" t="n">
        <f aca="false">(ABS(C82-E82)/C82)*100</f>
        <v>87.3985998444272</v>
      </c>
      <c r="D231" s="33" t="n">
        <f aca="false">(ABS(D82-F82)/D82)*100</f>
        <v>5.20857477765048</v>
      </c>
      <c r="E231" s="29"/>
      <c r="F231" s="33" t="n">
        <f aca="false">(ABS(C82-G82)/C82)*100</f>
        <v>0.055561729081009</v>
      </c>
      <c r="G231" s="33" t="n">
        <f aca="false">(ABS(D82-H82)/D82)*100</f>
        <v>0.00331123634942815</v>
      </c>
      <c r="H231" s="31"/>
    </row>
    <row r="232" customFormat="false" ht="15" hidden="false" customHeight="false" outlineLevel="0" collapsed="false">
      <c r="A232" s="26"/>
      <c r="B232" s="32" t="n">
        <v>79</v>
      </c>
      <c r="C232" s="33" t="n">
        <f aca="false">(ABS(C83-E83)/C83)*100</f>
        <v>98.0436249156735</v>
      </c>
      <c r="D232" s="33" t="n">
        <f aca="false">(ABS(D83-F83)/D83)*100</f>
        <v>5.77078342355697</v>
      </c>
      <c r="E232" s="29"/>
      <c r="F232" s="33" t="n">
        <f aca="false">(ABS(C83-G83)/C83)*100</f>
        <v>0.0112435349673937</v>
      </c>
      <c r="G232" s="33" t="n">
        <f aca="false">(ABS(D83-H83)/D83)*100</f>
        <v>0.000661787089857451</v>
      </c>
      <c r="H232" s="31"/>
    </row>
    <row r="233" customFormat="false" ht="15" hidden="false" customHeight="false" outlineLevel="0" collapsed="false">
      <c r="A233" s="26"/>
      <c r="B233" s="32" t="n">
        <v>80</v>
      </c>
      <c r="C233" s="33" t="n">
        <f aca="false">(ABS(C84-E84)/C84)*100</f>
        <v>99.4399359926849</v>
      </c>
      <c r="D233" s="33" t="n">
        <f aca="false">(ABS(D84-F84)/D84)*100</f>
        <v>5.75202808576472</v>
      </c>
      <c r="E233" s="29"/>
      <c r="F233" s="33" t="n">
        <f aca="false">(ABS(C84-G84)/C84)*100</f>
        <v>0.0114298777003086</v>
      </c>
      <c r="G233" s="33" t="n">
        <f aca="false">(ABS(D84-H84)/D84)*100</f>
        <v>0.000661152653536175</v>
      </c>
      <c r="H233" s="31"/>
    </row>
    <row r="234" customFormat="false" ht="15" hidden="false" customHeight="false" outlineLevel="0" collapsed="false">
      <c r="A234" s="26"/>
      <c r="B234" s="32" t="n">
        <v>81</v>
      </c>
      <c r="C234" s="33" t="n">
        <f aca="false">(ABS(C85-E85)/C85)*100</f>
        <v>96.2659905497292</v>
      </c>
      <c r="D234" s="33" t="n">
        <f aca="false">(ABS(D85-F85)/D85)*100</f>
        <v>5.51998043919298</v>
      </c>
      <c r="E234" s="29"/>
      <c r="F234" s="33" t="n">
        <f aca="false">(ABS(C85-G85)/C85)*100</f>
        <v>0</v>
      </c>
      <c r="G234" s="33" t="n">
        <f aca="false">(ABS(D85-H85)/D85)*100</f>
        <v>0</v>
      </c>
      <c r="H234" s="31"/>
    </row>
    <row r="235" customFormat="false" ht="15" hidden="false" customHeight="false" outlineLevel="0" collapsed="false">
      <c r="A235" s="26"/>
      <c r="B235" s="32" t="n">
        <v>82</v>
      </c>
      <c r="C235" s="33" t="n">
        <f aca="false">(ABS(C86-E86)/C86)*100</f>
        <v>92.1154523055262</v>
      </c>
      <c r="D235" s="33" t="n">
        <f aca="false">(ABS(D86-F86)/D86)*100</f>
        <v>5.18296507060478</v>
      </c>
      <c r="E235" s="29"/>
      <c r="F235" s="33" t="n">
        <f aca="false">(ABS(C86-G86)/C86)*100</f>
        <v>0</v>
      </c>
      <c r="G235" s="33" t="n">
        <f aca="false">(ABS(D86-H86)/D86)*100</f>
        <v>0</v>
      </c>
      <c r="H235" s="31"/>
    </row>
    <row r="236" customFormat="false" ht="15" hidden="false" customHeight="false" outlineLevel="0" collapsed="false">
      <c r="A236" s="26"/>
      <c r="B236" s="32" t="n">
        <v>83</v>
      </c>
      <c r="C236" s="33" t="n">
        <f aca="false">(ABS(C87-E87)/C87)*100</f>
        <v>99.8799231508165</v>
      </c>
      <c r="D236" s="33" t="n">
        <f aca="false">(ABS(D87-F87)/D87)*100</f>
        <v>5.48420275330977</v>
      </c>
      <c r="E236" s="29"/>
      <c r="F236" s="33" t="n">
        <f aca="false">(ABS(C87-G87)/C87)*100</f>
        <v>0.048030739673391</v>
      </c>
      <c r="G236" s="33" t="n">
        <f aca="false">(ABS(D87-H87)/D87)*100</f>
        <v>0.00263726989820138</v>
      </c>
      <c r="H236" s="31"/>
    </row>
    <row r="237" customFormat="false" ht="15" hidden="false" customHeight="false" outlineLevel="0" collapsed="false">
      <c r="A237" s="26"/>
      <c r="B237" s="32" t="n">
        <v>84</v>
      </c>
      <c r="C237" s="33" t="n">
        <f aca="false">(ABS(C88-E88)/C88)*100</f>
        <v>99.0148382388713</v>
      </c>
      <c r="D237" s="33" t="n">
        <f aca="false">(ABS(D88-F88)/D88)*100</f>
        <v>5.36375495789904</v>
      </c>
      <c r="E237" s="29"/>
      <c r="F237" s="33" t="n">
        <f aca="false">(ABS(C88-G88)/C88)*100</f>
        <v>0</v>
      </c>
      <c r="G237" s="33" t="n">
        <f aca="false">(ABS(D88-H88)/D88)*100</f>
        <v>0</v>
      </c>
      <c r="H237" s="31"/>
    </row>
    <row r="238" customFormat="false" ht="15" hidden="false" customHeight="false" outlineLevel="0" collapsed="false">
      <c r="A238" s="26"/>
      <c r="B238" s="32" t="n">
        <v>85</v>
      </c>
      <c r="C238" s="33" t="n">
        <f aca="false">(ABS(C89-E89)/C89)*100</f>
        <v>99.8883097542815</v>
      </c>
      <c r="D238" s="33" t="n">
        <f aca="false">(ABS(D89-F89)/D89)*100</f>
        <v>5.29741611930868</v>
      </c>
      <c r="E238" s="29"/>
      <c r="F238" s="33" t="n">
        <f aca="false">(ABS(C89-G89)/C89)*100</f>
        <v>0.0496401092082403</v>
      </c>
      <c r="G238" s="33" t="n">
        <f aca="false">(ABS(D89-H89)/D89)*100</f>
        <v>0.00263258348580379</v>
      </c>
      <c r="H238" s="31"/>
    </row>
    <row r="239" customFormat="false" ht="15" hidden="false" customHeight="false" outlineLevel="0" collapsed="false">
      <c r="A239" s="26"/>
      <c r="B239" s="32" t="n">
        <v>86</v>
      </c>
      <c r="C239" s="33" t="n">
        <f aca="false">(ABS(C90-E90)/C90)*100</f>
        <v>77.2206668363451</v>
      </c>
      <c r="D239" s="33" t="n">
        <f aca="false">(ABS(D90-F90)/D90)*100</f>
        <v>3.98837927725414</v>
      </c>
      <c r="E239" s="29"/>
      <c r="F239" s="33" t="n">
        <f aca="false">(ABS(C90-G90)/C90)*100</f>
        <v>0</v>
      </c>
      <c r="G239" s="33" t="n">
        <f aca="false">(ABS(D90-H90)/D90)*100</f>
        <v>0</v>
      </c>
      <c r="H239" s="31"/>
    </row>
    <row r="240" customFormat="false" ht="15" hidden="false" customHeight="false" outlineLevel="0" collapsed="false">
      <c r="A240" s="26"/>
      <c r="B240" s="32" t="n">
        <v>87</v>
      </c>
      <c r="C240" s="33" t="n">
        <f aca="false">(ABS(C91-E91)/C91)*100</f>
        <v>99.1895424836601</v>
      </c>
      <c r="D240" s="33" t="n">
        <f aca="false">(ABS(D91-F91)/D91)*100</f>
        <v>4.98063669182803</v>
      </c>
      <c r="E240" s="29"/>
      <c r="F240" s="33" t="n">
        <f aca="false">(ABS(C91-G91)/C91)*100</f>
        <v>0.065359477124183</v>
      </c>
      <c r="G240" s="33" t="n">
        <f aca="false">(ABS(D91-H91)/D91)*100</f>
        <v>0.00328191663931736</v>
      </c>
      <c r="H240" s="31"/>
    </row>
    <row r="241" customFormat="false" ht="15" hidden="false" customHeight="false" outlineLevel="0" collapsed="false">
      <c r="A241" s="26"/>
      <c r="B241" s="32" t="n">
        <v>88</v>
      </c>
      <c r="C241" s="33" t="n">
        <f aca="false">(ABS(C92-E92)/C92)*100</f>
        <v>99.5833893293912</v>
      </c>
      <c r="D241" s="33" t="n">
        <f aca="false">(ABS(D92-F92)/D92)*100</f>
        <v>4.85713723870765</v>
      </c>
      <c r="E241" s="29"/>
      <c r="F241" s="33" t="n">
        <f aca="false">(ABS(C92-G92)/C92)*100</f>
        <v>0.0403171616718183</v>
      </c>
      <c r="G241" s="33" t="n">
        <f aca="false">(ABS(D92-H92)/D92)*100</f>
        <v>0.00196645232336342</v>
      </c>
      <c r="H241" s="31"/>
    </row>
    <row r="242" customFormat="false" ht="15" hidden="false" customHeight="false" outlineLevel="0" collapsed="false">
      <c r="A242" s="26"/>
      <c r="B242" s="32" t="n">
        <v>89</v>
      </c>
      <c r="C242" s="33" t="n">
        <f aca="false">(ABS(C93-E93)/C93)*100</f>
        <v>99.7966653111021</v>
      </c>
      <c r="D242" s="33" t="n">
        <f aca="false">(ABS(D93-F93)/D93)*100</f>
        <v>4.8236504327657</v>
      </c>
      <c r="E242" s="29"/>
      <c r="F242" s="33" t="n">
        <f aca="false">(ABS(C93-G93)/C93)*100</f>
        <v>0.0271112918530568</v>
      </c>
      <c r="G242" s="33" t="n">
        <f aca="false">(ABS(D93-H93)/D93)*100</f>
        <v>0.00131041848214227</v>
      </c>
      <c r="H242" s="31"/>
    </row>
    <row r="243" customFormat="false" ht="15" hidden="false" customHeight="false" outlineLevel="0" collapsed="false">
      <c r="A243" s="26"/>
      <c r="B243" s="32" t="n">
        <v>90</v>
      </c>
      <c r="C243" s="33" t="n">
        <f aca="false">(ABS(C94-E94)/C94)*100</f>
        <v>97.1073797093269</v>
      </c>
      <c r="D243" s="33" t="n">
        <f aca="false">(ABS(D94-F94)/D94)*100</f>
        <v>4.50059837947068</v>
      </c>
      <c r="E243" s="29"/>
      <c r="F243" s="33" t="n">
        <f aca="false">(ABS(C94-G94)/C94)*100</f>
        <v>0</v>
      </c>
      <c r="G243" s="33" t="n">
        <f aca="false">(ABS(D94-H94)/D94)*100</f>
        <v>0</v>
      </c>
      <c r="H243" s="31"/>
    </row>
    <row r="244" customFormat="false" ht="15" hidden="false" customHeight="false" outlineLevel="0" collapsed="false">
      <c r="A244" s="26"/>
      <c r="B244" s="32" t="n">
        <v>91</v>
      </c>
      <c r="C244" s="33" t="n">
        <f aca="false">(ABS(C95-E95)/C95)*100</f>
        <v>98.8806512574502</v>
      </c>
      <c r="D244" s="33" t="n">
        <f aca="false">(ABS(D95-F95)/D95)*100</f>
        <v>4.44223849112793</v>
      </c>
      <c r="E244" s="29"/>
      <c r="F244" s="33" t="n">
        <f aca="false">(ABS(C95-G95)/C95)*100</f>
        <v>0.0290739933129815</v>
      </c>
      <c r="G244" s="33" t="n">
        <f aca="false">(ABS(D95-H95)/D95)*100</f>
        <v>0.00130615656898792</v>
      </c>
      <c r="H244" s="31"/>
    </row>
    <row r="245" customFormat="false" ht="15" hidden="false" customHeight="false" outlineLevel="0" collapsed="false">
      <c r="A245" s="26"/>
      <c r="B245" s="32" t="n">
        <v>92</v>
      </c>
      <c r="C245" s="33" t="n">
        <f aca="false">(ABS(C96-E96)/C96)*100</f>
        <v>98.561811505508</v>
      </c>
      <c r="D245" s="33" t="n">
        <f aca="false">(ABS(D96-F96)/D96)*100</f>
        <v>4.19772715425116</v>
      </c>
      <c r="E245" s="29"/>
      <c r="F245" s="33" t="n">
        <f aca="false">(ABS(C96-G96)/C96)*100</f>
        <v>0.0458996328029376</v>
      </c>
      <c r="G245" s="33" t="n">
        <f aca="false">(ABS(D96-H96)/D96)*100</f>
        <v>0.00195485586196111</v>
      </c>
      <c r="H245" s="31"/>
    </row>
    <row r="246" customFormat="false" ht="15" hidden="false" customHeight="false" outlineLevel="0" collapsed="false">
      <c r="A246" s="26"/>
      <c r="B246" s="32" t="n">
        <v>93</v>
      </c>
      <c r="C246" s="33" t="n">
        <f aca="false">(ABS(C97-E97)/C97)*100</f>
        <v>99.737532808399</v>
      </c>
      <c r="D246" s="33" t="n">
        <f aca="false">(ABS(D97-F97)/D97)*100</f>
        <v>4.20783856490558</v>
      </c>
      <c r="E246" s="29"/>
      <c r="F246" s="33" t="n">
        <f aca="false">(ABS(C97-G97)/C97)*100</f>
        <v>0.0308784931295353</v>
      </c>
      <c r="G246" s="33" t="n">
        <f aca="false">(ABS(D97-H97)/D97)*100</f>
        <v>0.00130273639780359</v>
      </c>
      <c r="H246" s="31"/>
    </row>
    <row r="247" customFormat="false" ht="15" hidden="false" customHeight="false" outlineLevel="0" collapsed="false">
      <c r="A247" s="26"/>
      <c r="B247" s="32" t="n">
        <v>94</v>
      </c>
      <c r="C247" s="33" t="n">
        <f aca="false">(ABS(C98-E98)/C98)*100</f>
        <v>99.7112145034494</v>
      </c>
      <c r="D247" s="33" t="n">
        <f aca="false">(ABS(D98-F98)/D98)*100</f>
        <v>4.0418295212887</v>
      </c>
      <c r="E247" s="29"/>
      <c r="F247" s="33" t="n">
        <f aca="false">(ABS(C98-G98)/C98)*100</f>
        <v>0.0641745547890261</v>
      </c>
      <c r="G247" s="33" t="n">
        <f aca="false">(ABS(D98-H98)/D98)*100</f>
        <v>0.00260133838860094</v>
      </c>
      <c r="H247" s="31"/>
    </row>
    <row r="248" customFormat="false" ht="15" hidden="false" customHeight="false" outlineLevel="0" collapsed="false">
      <c r="A248" s="26"/>
      <c r="B248" s="32" t="n">
        <v>95</v>
      </c>
      <c r="C248" s="33" t="n">
        <f aca="false">(ABS(C99-E99)/C99)*100</f>
        <v>97.8790915163661</v>
      </c>
      <c r="D248" s="33" t="n">
        <f aca="false">(ABS(D99-F99)/D99)*100</f>
        <v>3.805547619666</v>
      </c>
      <c r="E248" s="29"/>
      <c r="F248" s="33" t="n">
        <f aca="false">(ABS(C99-G99)/C99)*100</f>
        <v>0.083500334001336</v>
      </c>
      <c r="G248" s="33" t="n">
        <f aca="false">(ABS(D99-H99)/D99)*100</f>
        <v>0.00324650027270602</v>
      </c>
      <c r="H248" s="31"/>
    </row>
    <row r="249" customFormat="false" ht="15" hidden="false" customHeight="false" outlineLevel="0" collapsed="false">
      <c r="A249" s="26"/>
      <c r="B249" s="32" t="n">
        <v>96</v>
      </c>
      <c r="C249" s="33" t="n">
        <f aca="false">(ABS(C100-E100)/C100)*100</f>
        <v>99.8609179415855</v>
      </c>
      <c r="D249" s="33" t="n">
        <f aca="false">(ABS(D100-F100)/D100)*100</f>
        <v>3.72387324308905</v>
      </c>
      <c r="E249" s="29"/>
      <c r="F249" s="33" t="n">
        <f aca="false">(ABS(C100-G100)/C100)*100</f>
        <v>0.0173852573018081</v>
      </c>
      <c r="G249" s="33" t="n">
        <f aca="false">(ABS(D100-H100)/D100)*100</f>
        <v>0.000648306623100462</v>
      </c>
      <c r="H249" s="31"/>
    </row>
    <row r="250" customFormat="false" ht="15" hidden="false" customHeight="false" outlineLevel="0" collapsed="false">
      <c r="A250" s="26"/>
      <c r="B250" s="32" t="n">
        <v>97</v>
      </c>
      <c r="C250" s="33" t="n">
        <f aca="false">(ABS(C101-E101)/C101)*100</f>
        <v>99.7325249643367</v>
      </c>
      <c r="D250" s="33" t="n">
        <f aca="false">(ABS(D101-F101)/D101)*100</f>
        <v>3.62259702575263</v>
      </c>
      <c r="E250" s="29"/>
      <c r="F250" s="33" t="n">
        <f aca="false">(ABS(C101-G101)/C101)*100</f>
        <v>0.124821683309558</v>
      </c>
      <c r="G250" s="33" t="n">
        <f aca="false">(ABS(D101-H101)/D101)*100</f>
        <v>0.00453391367428364</v>
      </c>
      <c r="H250" s="31"/>
    </row>
    <row r="251" customFormat="false" ht="15" hidden="false" customHeight="false" outlineLevel="0" collapsed="false">
      <c r="A251" s="26"/>
      <c r="B251" s="32" t="n">
        <v>98</v>
      </c>
      <c r="C251" s="33" t="n">
        <f aca="false">(ABS(C102-E102)/C102)*100</f>
        <v>99.5714551891187</v>
      </c>
      <c r="D251" s="33" t="n">
        <f aca="false">(ABS(D102-F102)/D102)*100</f>
        <v>3.45592467325862</v>
      </c>
      <c r="E251" s="29"/>
      <c r="F251" s="33" t="n">
        <f aca="false">(ABS(C102-G102)/C102)*100</f>
        <v>0</v>
      </c>
      <c r="G251" s="33" t="n">
        <f aca="false">(ABS(D102-H102)/D102)*100</f>
        <v>0</v>
      </c>
      <c r="H251" s="31"/>
    </row>
    <row r="252" customFormat="false" ht="15" hidden="false" customHeight="false" outlineLevel="0" collapsed="false">
      <c r="A252" s="26"/>
      <c r="B252" s="32" t="n">
        <v>99</v>
      </c>
      <c r="C252" s="33" t="n">
        <f aca="false">(ABS(C103-E103)/C103)*100</f>
        <v>99.6491228070176</v>
      </c>
      <c r="D252" s="33" t="n">
        <f aca="false">(ABS(D103-F103)/D103)*100</f>
        <v>3.30083295667334</v>
      </c>
      <c r="E252" s="29"/>
      <c r="F252" s="33" t="n">
        <f aca="false">(ABS(C103-G103)/C103)*100</f>
        <v>0.0584795321637427</v>
      </c>
      <c r="G252" s="33" t="n">
        <f aca="false">(ABS(D103-H103)/D103)*100</f>
        <v>0.00193710854264867</v>
      </c>
      <c r="H252" s="31"/>
    </row>
    <row r="253" customFormat="false" ht="15" hidden="false" customHeight="false" outlineLevel="0" collapsed="false">
      <c r="A253" s="26"/>
      <c r="B253" s="32" t="n">
        <v>100</v>
      </c>
      <c r="C253" s="33" t="n">
        <f aca="false">(ABS(C104-E104)/C104)*100</f>
        <v>97.4596774193549</v>
      </c>
      <c r="D253" s="33" t="n">
        <f aca="false">(ABS(D104-F104)/D104)*100</f>
        <v>3.11790505675955</v>
      </c>
      <c r="E253" s="29"/>
      <c r="F253" s="33" t="n">
        <f aca="false">(ABS(C104-G104)/C104)*100</f>
        <v>0.0201612903225806</v>
      </c>
      <c r="G253" s="33" t="n">
        <f aca="false">(ABS(D104-H104)/D104)*100</f>
        <v>0.00064499484004128</v>
      </c>
      <c r="H253" s="31"/>
    </row>
    <row r="254" customFormat="false" ht="15" hidden="false" customHeight="false" outlineLevel="0" collapsed="false">
      <c r="A254" s="26"/>
      <c r="B254" s="32" t="n">
        <v>101</v>
      </c>
      <c r="C254" s="33" t="n">
        <f aca="false">(ABS(C105-E105)/C105)*100</f>
        <v>99.7645043887818</v>
      </c>
      <c r="D254" s="33" t="n">
        <f aca="false">(ABS(D105-F105)/D105)*100</f>
        <v>3.00008369332192</v>
      </c>
      <c r="E254" s="29"/>
      <c r="F254" s="33" t="n">
        <f aca="false">(ABS(C105-G105)/C105)*100</f>
        <v>0.128452151573539</v>
      </c>
      <c r="G254" s="33" t="n">
        <f aca="false">(ABS(D105-H105)/D105)*100</f>
        <v>0.00386276870384796</v>
      </c>
      <c r="H254" s="31"/>
    </row>
    <row r="255" customFormat="false" ht="15" hidden="false" customHeight="false" outlineLevel="0" collapsed="false">
      <c r="A255" s="26"/>
      <c r="B255" s="32" t="n">
        <v>102</v>
      </c>
      <c r="C255" s="33" t="n">
        <f aca="false">(ABS(C106-E106)/C106)*100</f>
        <v>86.61487236404</v>
      </c>
      <c r="D255" s="33" t="n">
        <f aca="false">(ABS(D106-F106)/D106)*100</f>
        <v>2.50940544712049</v>
      </c>
      <c r="E255" s="29"/>
      <c r="F255" s="33" t="n">
        <f aca="false">(ABS(C106-G106)/C106)*100</f>
        <v>0.110987791342952</v>
      </c>
      <c r="G255" s="33" t="n">
        <f aca="false">(ABS(D106-H106)/D106)*100</f>
        <v>0.0032155374770893</v>
      </c>
      <c r="H255" s="31"/>
    </row>
    <row r="256" customFormat="false" ht="15" hidden="false" customHeight="false" outlineLevel="0" collapsed="false">
      <c r="A256" s="26"/>
      <c r="B256" s="32" t="n">
        <v>103</v>
      </c>
      <c r="C256" s="33" t="n">
        <f aca="false">(ABS(C107-E107)/C107)*100</f>
        <v>98.7796291950246</v>
      </c>
      <c r="D256" s="33" t="n">
        <f aca="false">(ABS(D107-F107)/D107)*100</f>
        <v>2.70259857839077</v>
      </c>
      <c r="E256" s="29"/>
      <c r="F256" s="33" t="n">
        <f aca="false">(ABS(C107-G107)/C107)*100</f>
        <v>0</v>
      </c>
      <c r="G256" s="33" t="n">
        <f aca="false">(ABS(D107-H107)/D107)*100</f>
        <v>0</v>
      </c>
      <c r="H256" s="31"/>
    </row>
    <row r="257" customFormat="false" ht="15" hidden="false" customHeight="false" outlineLevel="0" collapsed="false">
      <c r="A257" s="26"/>
      <c r="B257" s="32" t="n">
        <v>104</v>
      </c>
      <c r="C257" s="33" t="n">
        <f aca="false">(ABS(C108-E108)/C108)*100</f>
        <v>99.1542288557214</v>
      </c>
      <c r="D257" s="33" t="n">
        <f aca="false">(ABS(D108-F108)/D108)*100</f>
        <v>2.55545582767021</v>
      </c>
      <c r="E257" s="29"/>
      <c r="F257" s="33" t="n">
        <f aca="false">(ABS(C108-G108)/C108)*100</f>
        <v>0.0248756218905473</v>
      </c>
      <c r="G257" s="33" t="n">
        <f aca="false">(ABS(D108-H108)/D108)*100</f>
        <v>0.000641107834337736</v>
      </c>
      <c r="H257" s="31"/>
    </row>
    <row r="258" customFormat="false" ht="15" hidden="false" customHeight="false" outlineLevel="0" collapsed="false">
      <c r="A258" s="26"/>
      <c r="B258" s="32" t="n">
        <v>105</v>
      </c>
      <c r="C258" s="33" t="n">
        <f aca="false">(ABS(C109-E109)/C109)*100</f>
        <v>99.2996108949416</v>
      </c>
      <c r="D258" s="33" t="n">
        <f aca="false">(ABS(D109-F109)/D109)*100</f>
        <v>2.45156745332864</v>
      </c>
      <c r="E258" s="29"/>
      <c r="F258" s="33" t="n">
        <f aca="false">(ABS(C109-G109)/C109)*100</f>
        <v>0.233463035019455</v>
      </c>
      <c r="G258" s="33" t="n">
        <f aca="false">(ABS(D109-H109)/D109)*100</f>
        <v>0.00576387332287297</v>
      </c>
      <c r="H258" s="31"/>
    </row>
    <row r="259" customFormat="false" ht="15" hidden="false" customHeight="false" outlineLevel="0" collapsed="false">
      <c r="A259" s="26"/>
      <c r="B259" s="32" t="n">
        <v>106</v>
      </c>
      <c r="C259" s="33" t="n">
        <f aca="false">(ABS(C110-E110)/C110)*100</f>
        <v>100</v>
      </c>
      <c r="D259" s="33" t="n">
        <f aca="false">(ABS(D110-F110)/D110)*100</f>
        <v>2.32861555778689</v>
      </c>
      <c r="E259" s="29"/>
      <c r="F259" s="33" t="n">
        <f aca="false">(ABS(C110-G110)/C110)*100</f>
        <v>0.0823949464432848</v>
      </c>
      <c r="G259" s="33" t="n">
        <f aca="false">(ABS(D110-H110)/D110)*100</f>
        <v>0.0019186615417085</v>
      </c>
      <c r="H259" s="31"/>
    </row>
    <row r="260" customFormat="false" ht="15" hidden="false" customHeight="false" outlineLevel="0" collapsed="false">
      <c r="A260" s="26"/>
      <c r="B260" s="32" t="n">
        <v>107</v>
      </c>
      <c r="C260" s="33" t="n">
        <f aca="false">(ABS(C111-E111)/C111)*100</f>
        <v>99.3009030002913</v>
      </c>
      <c r="D260" s="33" t="n">
        <f aca="false">(ABS(D111-F111)/D111)*100</f>
        <v>2.17734260731827</v>
      </c>
      <c r="E260" s="29"/>
      <c r="F260" s="33" t="n">
        <f aca="false">(ABS(C111-G111)/C111)*100</f>
        <v>0.378677541508884</v>
      </c>
      <c r="G260" s="33" t="n">
        <f aca="false">(ABS(D111-H111)/D111)*100</f>
        <v>0.00830315456002861</v>
      </c>
      <c r="H260" s="31"/>
    </row>
    <row r="261" customFormat="false" ht="15" hidden="false" customHeight="false" outlineLevel="0" collapsed="false">
      <c r="A261" s="26"/>
      <c r="B261" s="32" t="n">
        <v>108</v>
      </c>
      <c r="C261" s="33" t="n">
        <f aca="false">(ABS(C112-E112)/C112)*100</f>
        <v>99.8743718592965</v>
      </c>
      <c r="D261" s="33" t="n">
        <f aca="false">(ABS(D112-F112)/D112)*100</f>
        <v>2.02785430058157</v>
      </c>
      <c r="E261" s="29"/>
      <c r="F261" s="33" t="n">
        <f aca="false">(ABS(C112-G112)/C112)*100</f>
        <v>0.0314070351758794</v>
      </c>
      <c r="G261" s="33" t="n">
        <f aca="false">(ABS(D112-H112)/D112)*100</f>
        <v>0.000637690031629426</v>
      </c>
      <c r="H261" s="31"/>
    </row>
    <row r="262" customFormat="false" ht="15" hidden="false" customHeight="false" outlineLevel="0" collapsed="false">
      <c r="A262" s="26"/>
      <c r="B262" s="32" t="n">
        <v>109</v>
      </c>
      <c r="C262" s="33" t="n">
        <f aca="false">(ABS(C113-E113)/C113)*100</f>
        <v>100</v>
      </c>
      <c r="D262" s="33" t="n">
        <f aca="false">(ABS(D113-F113)/D113)*100</f>
        <v>1.95108896506901</v>
      </c>
      <c r="E262" s="29"/>
      <c r="F262" s="33" t="n">
        <f aca="false">(ABS(C113-G113)/C113)*100</f>
        <v>0.326583932070542</v>
      </c>
      <c r="G262" s="33" t="n">
        <f aca="false">(ABS(D113-H113)/D113)*100</f>
        <v>0.00637194306031681</v>
      </c>
      <c r="H262" s="31"/>
    </row>
    <row r="263" customFormat="false" ht="15" hidden="false" customHeight="false" outlineLevel="0" collapsed="false">
      <c r="A263" s="26"/>
      <c r="B263" s="32" t="n">
        <v>110</v>
      </c>
      <c r="C263" s="33" t="n">
        <f aca="false">(ABS(C114-E114)/C114)*100</f>
        <v>100</v>
      </c>
      <c r="D263" s="33" t="n">
        <f aca="false">(ABS(D114-F114)/D114)*100</f>
        <v>1.81225819588679</v>
      </c>
      <c r="E263" s="29"/>
      <c r="F263" s="33" t="n">
        <f aca="false">(ABS(C114-G114)/C114)*100</f>
        <v>0.38623595505618</v>
      </c>
      <c r="G263" s="33" t="n">
        <f aca="false">(ABS(D114-H114)/D114)*100</f>
        <v>0.00699959275096722</v>
      </c>
      <c r="H263" s="31"/>
    </row>
    <row r="264" customFormat="false" ht="15" hidden="false" customHeight="false" outlineLevel="0" collapsed="false">
      <c r="A264" s="26"/>
      <c r="B264" s="32" t="n">
        <v>111</v>
      </c>
      <c r="C264" s="33" t="n">
        <f aca="false">(ABS(C115-E115)/C115)*100</f>
        <v>100</v>
      </c>
      <c r="D264" s="33" t="n">
        <f aca="false">(ABS(D115-F115)/D115)*100</f>
        <v>1.64086470965652</v>
      </c>
      <c r="E264" s="29"/>
      <c r="F264" s="33" t="n">
        <f aca="false">(ABS(C115-G115)/C115)*100</f>
        <v>0.774293457220287</v>
      </c>
      <c r="G264" s="33" t="n">
        <f aca="false">(ABS(D115-H115)/D115)*100</f>
        <v>0.0127051080887071</v>
      </c>
      <c r="H264" s="31"/>
    </row>
    <row r="265" customFormat="false" ht="15" hidden="false" customHeight="false" outlineLevel="0" collapsed="false">
      <c r="A265" s="26"/>
      <c r="B265" s="32" t="n">
        <v>112</v>
      </c>
      <c r="C265" s="33" t="n">
        <f aca="false">(ABS(C116-E116)/C116)*100</f>
        <v>95.7890433360589</v>
      </c>
      <c r="D265" s="33" t="n">
        <f aca="false">(ABS(D116-F116)/D116)*100</f>
        <v>1.48710918161392</v>
      </c>
      <c r="E265" s="29"/>
      <c r="F265" s="33" t="n">
        <f aca="false">(ABS(C116-G116)/C116)*100</f>
        <v>0</v>
      </c>
      <c r="G265" s="33" t="n">
        <f aca="false">(ABS(D116-H116)/D116)*100</f>
        <v>0</v>
      </c>
      <c r="H265" s="31"/>
    </row>
    <row r="266" customFormat="false" ht="15" hidden="false" customHeight="false" outlineLevel="0" collapsed="false">
      <c r="A266" s="26"/>
      <c r="B266" s="32" t="n">
        <v>113</v>
      </c>
      <c r="C266" s="33" t="n">
        <f aca="false">(ABS(C117-E117)/C117)*100</f>
        <v>100</v>
      </c>
      <c r="D266" s="33" t="n">
        <f aca="false">(ABS(D117-F117)/D117)*100</f>
        <v>1.48163182463974</v>
      </c>
      <c r="E266" s="29"/>
      <c r="F266" s="33" t="n">
        <f aca="false">(ABS(C117-G117)/C117)*100</f>
        <v>0.0428082191780822</v>
      </c>
      <c r="G266" s="33" t="n">
        <f aca="false">(ABS(D117-H117)/D117)*100</f>
        <v>0.000634260198903998</v>
      </c>
      <c r="H266" s="31"/>
    </row>
    <row r="267" customFormat="false" ht="15" hidden="false" customHeight="false" outlineLevel="0" collapsed="false">
      <c r="A267" s="26"/>
      <c r="B267" s="32" t="n">
        <v>114</v>
      </c>
      <c r="C267" s="33" t="n">
        <f aca="false">(ABS(C118-E118)/C118)*100</f>
        <v>98.1464318813716</v>
      </c>
      <c r="D267" s="33" t="n">
        <f aca="false">(ABS(D118-F118)/D118)*100</f>
        <v>1.34184817729122</v>
      </c>
      <c r="E267" s="29"/>
      <c r="F267" s="33" t="n">
        <f aca="false">(ABS(C118-G118)/C118)*100</f>
        <v>0</v>
      </c>
      <c r="G267" s="33" t="n">
        <f aca="false">(ABS(D118-H118)/D118)*100</f>
        <v>0</v>
      </c>
      <c r="H267" s="31"/>
    </row>
    <row r="268" customFormat="false" ht="15" hidden="false" customHeight="false" outlineLevel="0" collapsed="false">
      <c r="A268" s="26"/>
      <c r="B268" s="32" t="n">
        <v>115</v>
      </c>
      <c r="C268" s="33" t="n">
        <f aca="false">(ABS(C119-E119)/C119)*100</f>
        <v>100</v>
      </c>
      <c r="D268" s="33" t="n">
        <f aca="false">(ABS(D119-F119)/D119)*100</f>
        <v>1.24916153038108</v>
      </c>
      <c r="E268" s="29"/>
      <c r="F268" s="33" t="n">
        <f aca="false">(ABS(C119-G119)/C119)*100</f>
        <v>1.01317122593718</v>
      </c>
      <c r="G268" s="33" t="n">
        <f aca="false">(ABS(D119-H119)/D119)*100</f>
        <v>0.0126561451912976</v>
      </c>
      <c r="H268" s="31"/>
    </row>
    <row r="269" customFormat="false" ht="15" hidden="false" customHeight="false" outlineLevel="0" collapsed="false">
      <c r="A269" s="26"/>
      <c r="B269" s="32" t="n">
        <v>116</v>
      </c>
      <c r="C269" s="33" t="n">
        <f aca="false">(ABS(C120-E120)/C120)*100</f>
        <v>98.8913525498891</v>
      </c>
      <c r="D269" s="33" t="n">
        <f aca="false">(ABS(D120-F120)/D120)*100</f>
        <v>1.12771498647248</v>
      </c>
      <c r="E269" s="29"/>
      <c r="F269" s="33" t="n">
        <f aca="false">(ABS(C120-G120)/C120)*100</f>
        <v>0</v>
      </c>
      <c r="G269" s="33" t="n">
        <f aca="false">(ABS(D120-H120)/D120)*100</f>
        <v>0</v>
      </c>
      <c r="H269" s="31"/>
    </row>
    <row r="270" customFormat="false" ht="15" hidden="false" customHeight="false" outlineLevel="0" collapsed="false">
      <c r="A270" s="26"/>
      <c r="B270" s="32" t="n">
        <v>117</v>
      </c>
      <c r="C270" s="33" t="n">
        <f aca="false">(ABS(C121-E121)/C121)*100</f>
        <v>99.0654205607477</v>
      </c>
      <c r="D270" s="33" t="n">
        <f aca="false">(ABS(D121-F121)/D121)*100</f>
        <v>1.0714646719903</v>
      </c>
      <c r="E270" s="29"/>
      <c r="F270" s="33" t="n">
        <f aca="false">(ABS(C121-G121)/C121)*100</f>
        <v>0.58411214953271</v>
      </c>
      <c r="G270" s="33" t="n">
        <f aca="false">(ABS(D121-H121)/D121)*100</f>
        <v>0.00631759830182958</v>
      </c>
      <c r="H270" s="31"/>
    </row>
    <row r="271" customFormat="false" ht="15" hidden="false" customHeight="false" outlineLevel="0" collapsed="false">
      <c r="A271" s="26"/>
      <c r="B271" s="32" t="n">
        <v>118</v>
      </c>
      <c r="C271" s="33" t="n">
        <f aca="false">(ABS(C122-E122)/C122)*100</f>
        <v>100</v>
      </c>
      <c r="D271" s="33" t="n">
        <f aca="false">(ABS(D122-F122)/D122)*100</f>
        <v>0.980138469014876</v>
      </c>
      <c r="E271" s="29"/>
      <c r="F271" s="33" t="n">
        <f aca="false">(ABS(C122-G122)/C122)*100</f>
        <v>2.1249195106246</v>
      </c>
      <c r="G271" s="33" t="n">
        <f aca="false">(ABS(D122-H122)/D122)*100</f>
        <v>0.0208271535592343</v>
      </c>
      <c r="H271" s="31"/>
    </row>
    <row r="272" customFormat="false" ht="15" hidden="false" customHeight="false" outlineLevel="0" collapsed="false">
      <c r="A272" s="26"/>
      <c r="B272" s="32" t="n">
        <v>119</v>
      </c>
      <c r="C272" s="33" t="n">
        <f aca="false">(ABS(C123-E123)/C123)*100</f>
        <v>100</v>
      </c>
      <c r="D272" s="33" t="n">
        <f aca="false">(ABS(D123-F123)/D123)*100</f>
        <v>0.883996015082158</v>
      </c>
      <c r="E272" s="29"/>
      <c r="F272" s="33" t="n">
        <f aca="false">(ABS(C123-G123)/C123)*100</f>
        <v>0</v>
      </c>
      <c r="G272" s="33" t="n">
        <f aca="false">(ABS(D123-H123)/D123)*100</f>
        <v>0</v>
      </c>
      <c r="H272" s="31"/>
    </row>
    <row r="273" customFormat="false" ht="15" hidden="false" customHeight="false" outlineLevel="0" collapsed="false">
      <c r="A273" s="26"/>
      <c r="B273" s="32" t="n">
        <v>120</v>
      </c>
      <c r="C273" s="33" t="n">
        <f aca="false">(ABS(C124-E124)/C124)*100</f>
        <v>98.5736925515055</v>
      </c>
      <c r="D273" s="33" t="n">
        <f aca="false">(ABS(D124-F124)/D124)*100</f>
        <v>0.783681286144465</v>
      </c>
      <c r="E273" s="29"/>
      <c r="F273" s="33" t="n">
        <f aca="false">(ABS(C124-G124)/C124)*100</f>
        <v>0</v>
      </c>
      <c r="G273" s="33" t="n">
        <f aca="false">(ABS(D124-H124)/D124)*100</f>
        <v>0</v>
      </c>
      <c r="H273" s="31"/>
    </row>
    <row r="274" customFormat="false" ht="15" hidden="false" customHeight="false" outlineLevel="0" collapsed="false">
      <c r="A274" s="26"/>
      <c r="B274" s="32" t="n">
        <v>121</v>
      </c>
      <c r="C274" s="33" t="n">
        <f aca="false">(ABS(C125-E125)/C125)*100</f>
        <v>100</v>
      </c>
      <c r="D274" s="33" t="n">
        <f aca="false">(ABS(D125-F125)/D125)*100</f>
        <v>0.742345155867297</v>
      </c>
      <c r="E274" s="29"/>
      <c r="F274" s="33" t="n">
        <f aca="false">(ABS(C125-G125)/C125)*100</f>
        <v>3.05343511450382</v>
      </c>
      <c r="G274" s="33" t="n">
        <f aca="false">(ABS(D125-H125)/D125)*100</f>
        <v>0.0226670276600701</v>
      </c>
      <c r="H274" s="31"/>
    </row>
    <row r="275" customFormat="false" ht="15" hidden="false" customHeight="false" outlineLevel="0" collapsed="false">
      <c r="A275" s="26"/>
      <c r="B275" s="32" t="n">
        <v>122</v>
      </c>
      <c r="C275" s="33" t="n">
        <f aca="false">(ABS(C126-E126)/C126)*100</f>
        <v>94.4919278252612</v>
      </c>
      <c r="D275" s="33" t="n">
        <f aca="false">(ABS(D126-F126)/D126)*100</f>
        <v>0.625994828464834</v>
      </c>
      <c r="E275" s="29"/>
      <c r="F275" s="33" t="n">
        <f aca="false">(ABS(C126-G126)/C126)*100</f>
        <v>0.949667616334283</v>
      </c>
      <c r="G275" s="33" t="n">
        <f aca="false">(ABS(D126-H126)/D126)*100</f>
        <v>0.00629140531120436</v>
      </c>
      <c r="H275" s="31"/>
    </row>
    <row r="276" customFormat="false" ht="15" hidden="false" customHeight="false" outlineLevel="0" collapsed="false">
      <c r="A276" s="26"/>
      <c r="B276" s="32" t="n">
        <v>123</v>
      </c>
      <c r="C276" s="33" t="n">
        <f aca="false">(ABS(C127-E127)/C127)*100</f>
        <v>99.6760259179266</v>
      </c>
      <c r="D276" s="33" t="n">
        <f aca="false">(ABS(D127-F127)/D127)*100</f>
        <v>0.580233099060814</v>
      </c>
      <c r="E276" s="29"/>
      <c r="F276" s="33" t="n">
        <f aca="false">(ABS(C127-G127)/C127)*100</f>
        <v>0.107991360691145</v>
      </c>
      <c r="G276" s="33" t="n">
        <f aca="false">(ABS(D127-H127)/D127)*100</f>
        <v>0.000628638243836202</v>
      </c>
      <c r="H276" s="31"/>
    </row>
    <row r="277" customFormat="false" ht="15" hidden="false" customHeight="false" outlineLevel="0" collapsed="false">
      <c r="A277" s="26"/>
      <c r="B277" s="32" t="n">
        <v>124</v>
      </c>
      <c r="C277" s="33" t="n">
        <f aca="false">(ABS(C128-E128)/C128)*100</f>
        <v>99.8773006134969</v>
      </c>
      <c r="D277" s="33" t="n">
        <f aca="false">(ABS(D128-F128)/D128)*100</f>
        <v>0.511354713069699</v>
      </c>
      <c r="E277" s="29"/>
      <c r="F277" s="33" t="n">
        <f aca="false">(ABS(C128-G128)/C128)*100</f>
        <v>0</v>
      </c>
      <c r="G277" s="33" t="n">
        <f aca="false">(ABS(D128-H128)/D128)*100</f>
        <v>0</v>
      </c>
      <c r="H277" s="31"/>
    </row>
    <row r="278" customFormat="false" ht="15" hidden="false" customHeight="false" outlineLevel="0" collapsed="false">
      <c r="A278" s="26"/>
      <c r="B278" s="32" t="n">
        <v>125</v>
      </c>
      <c r="C278" s="33" t="n">
        <f aca="false">(ABS(C129-E129)/C129)*100</f>
        <v>99.4701986754967</v>
      </c>
      <c r="D278" s="33" t="n">
        <f aca="false">(ABS(D129-F129)/D129)*100</f>
        <v>0.471600364218657</v>
      </c>
      <c r="E278" s="29"/>
      <c r="F278" s="33" t="n">
        <f aca="false">(ABS(C129-G129)/C129)*100</f>
        <v>1.05960264900662</v>
      </c>
      <c r="G278" s="33" t="n">
        <f aca="false">(ABS(D129-H129)/D129)*100</f>
        <v>0.0050237056108512</v>
      </c>
      <c r="H278" s="31"/>
    </row>
    <row r="279" customFormat="false" ht="15" hidden="false" customHeight="false" outlineLevel="0" collapsed="false">
      <c r="A279" s="26"/>
      <c r="B279" s="32" t="n">
        <v>126</v>
      </c>
      <c r="C279" s="33" t="n">
        <f aca="false">(ABS(C130-E130)/C130)*100</f>
        <v>100</v>
      </c>
      <c r="D279" s="33" t="n">
        <f aca="false">(ABS(D130-F130)/D130)*100</f>
        <v>0.387747675396218</v>
      </c>
      <c r="E279" s="29"/>
      <c r="F279" s="33" t="n">
        <f aca="false">(ABS(C130-G130)/C130)*100</f>
        <v>1.1326860841424</v>
      </c>
      <c r="G279" s="33" t="n">
        <f aca="false">(ABS(D130-H130)/D130)*100</f>
        <v>0.00439196396079858</v>
      </c>
      <c r="H279" s="31"/>
    </row>
    <row r="280" customFormat="false" ht="15" hidden="false" customHeight="false" outlineLevel="0" collapsed="false">
      <c r="A280" s="26"/>
      <c r="B280" s="32" t="n">
        <v>127</v>
      </c>
      <c r="C280" s="33" t="n">
        <f aca="false">(ABS(C131-E131)/C131)*100</f>
        <v>99.0925589836661</v>
      </c>
      <c r="D280" s="33" t="n">
        <f aca="false">(ABS(D131-F131)/D131)*100</f>
        <v>0.342429240697653</v>
      </c>
      <c r="E280" s="29"/>
      <c r="F280" s="33" t="n">
        <f aca="false">(ABS(C131-G131)/C131)*100</f>
        <v>0.362976406533575</v>
      </c>
      <c r="G280" s="33" t="n">
        <f aca="false">(ABS(D131-H131)/D131)*100</f>
        <v>0.00125431956299506</v>
      </c>
      <c r="H280" s="31"/>
    </row>
    <row r="281" customFormat="false" ht="15" hidden="false" customHeight="false" outlineLevel="0" collapsed="false">
      <c r="A281" s="26"/>
      <c r="B281" s="32" t="n">
        <v>128</v>
      </c>
      <c r="C281" s="33" t="n">
        <f aca="false">(ABS(C132-E132)/C132)*100</f>
        <v>92.4892703862661</v>
      </c>
      <c r="D281" s="33" t="n">
        <f aca="false">(ABS(D132-F132)/D132)*100</f>
        <v>0.270161846377575</v>
      </c>
      <c r="E281" s="29"/>
      <c r="F281" s="33" t="n">
        <f aca="false">(ABS(C132-G132)/C132)*100</f>
        <v>0.643776824034335</v>
      </c>
      <c r="G281" s="33" t="n">
        <f aca="false">(ABS(D132-H132)/D132)*100</f>
        <v>0.00188047688893904</v>
      </c>
      <c r="H281" s="31"/>
    </row>
    <row r="282" customFormat="false" ht="15" hidden="false" customHeight="false" outlineLevel="0" collapsed="false">
      <c r="A282" s="26"/>
      <c r="B282" s="32" t="n">
        <v>129</v>
      </c>
      <c r="C282" s="33" t="n">
        <f aca="false">(ABS(C133-E133)/C133)*100</f>
        <v>100</v>
      </c>
      <c r="D282" s="33" t="n">
        <f aca="false">(ABS(D133-F133)/D133)*100</f>
        <v>0.261306028837658</v>
      </c>
      <c r="E282" s="29"/>
      <c r="F282" s="33" t="n">
        <f aca="false">(ABS(C133-G133)/C133)*100</f>
        <v>0</v>
      </c>
      <c r="G282" s="33" t="n">
        <f aca="false">(ABS(D133-H133)/D133)*100</f>
        <v>0</v>
      </c>
      <c r="H282" s="31"/>
    </row>
    <row r="283" customFormat="false" ht="15" hidden="false" customHeight="false" outlineLevel="0" collapsed="false">
      <c r="A283" s="26"/>
      <c r="B283" s="32" t="n">
        <v>130</v>
      </c>
      <c r="C283" s="33" t="n">
        <f aca="false">(ABS(C134-E134)/C134)*100</f>
        <v>96.1764705882353</v>
      </c>
      <c r="D283" s="33" t="n">
        <f aca="false">(ABS(D134-F134)/D134)*100</f>
        <v>0.204810221721157</v>
      </c>
      <c r="E283" s="29"/>
      <c r="F283" s="33" t="n">
        <f aca="false">(ABS(C134-G134)/C134)*100</f>
        <v>0.882352941176471</v>
      </c>
      <c r="G283" s="33" t="n">
        <f aca="false">(ABS(D134-H134)/D134)*100</f>
        <v>0.00187899285982713</v>
      </c>
      <c r="H283" s="31"/>
    </row>
    <row r="284" customFormat="false" ht="15" hidden="false" customHeight="false" outlineLevel="0" collapsed="false">
      <c r="A284" s="26"/>
      <c r="B284" s="32" t="n">
        <v>131</v>
      </c>
      <c r="C284" s="33" t="n">
        <f aca="false">(ABS(C135-E135)/C135)*100</f>
        <v>100</v>
      </c>
      <c r="D284" s="33" t="n">
        <f aca="false">(ABS(D135-F135)/D135)*100</f>
        <v>0.17217091876663</v>
      </c>
      <c r="E284" s="29"/>
      <c r="F284" s="33" t="n">
        <f aca="false">(ABS(C135-G135)/C135)*100</f>
        <v>0</v>
      </c>
      <c r="G284" s="33" t="n">
        <f aca="false">(ABS(D135-H135)/D135)*100</f>
        <v>0</v>
      </c>
      <c r="H284" s="31"/>
    </row>
    <row r="285" customFormat="false" ht="15" hidden="false" customHeight="false" outlineLevel="0" collapsed="false">
      <c r="A285" s="26"/>
      <c r="B285" s="32" t="n">
        <v>132</v>
      </c>
      <c r="C285" s="33" t="n">
        <f aca="false">(ABS(C136-E136)/C136)*100</f>
        <v>100</v>
      </c>
      <c r="D285" s="33" t="n">
        <f aca="false">(ABS(D136-F136)/D136)*100</f>
        <v>0.131422492020777</v>
      </c>
      <c r="E285" s="29"/>
      <c r="F285" s="33" t="n">
        <f aca="false">(ABS(C136-G136)/C136)*100</f>
        <v>1.42857142857143</v>
      </c>
      <c r="G285" s="33" t="n">
        <f aca="false">(ABS(D136-H136)/D136)*100</f>
        <v>0.00187746417172539</v>
      </c>
      <c r="H285" s="31"/>
    </row>
    <row r="286" customFormat="false" ht="15" hidden="false" customHeight="false" outlineLevel="0" collapsed="false">
      <c r="A286" s="26"/>
      <c r="B286" s="32" t="n">
        <v>133</v>
      </c>
      <c r="C286" s="33" t="n">
        <f aca="false">(ABS(C137-E137)/C137)*100</f>
        <v>70.7182320441989</v>
      </c>
      <c r="D286" s="33" t="n">
        <f aca="false">(ABS(D137-F137)/D137)*100</f>
        <v>0.0800906024940714</v>
      </c>
      <c r="E286" s="29"/>
      <c r="F286" s="33" t="n">
        <f aca="false">(ABS(C137-G137)/C137)*100</f>
        <v>0</v>
      </c>
      <c r="G286" s="33" t="n">
        <f aca="false">(ABS(D137-H137)/D137)*100</f>
        <v>0</v>
      </c>
      <c r="H286" s="31"/>
    </row>
    <row r="287" customFormat="false" ht="15" hidden="false" customHeight="false" outlineLevel="0" collapsed="false">
      <c r="A287" s="26"/>
      <c r="B287" s="32" t="n">
        <v>134</v>
      </c>
      <c r="C287" s="33" t="n">
        <f aca="false">(ABS(C138-E138)/C138)*100</f>
        <v>100</v>
      </c>
      <c r="D287" s="33" t="n">
        <f aca="false">(ABS(D138-F138)/D138)*100</f>
        <v>0.0825681186979258</v>
      </c>
      <c r="E287" s="29"/>
      <c r="F287" s="33" t="n">
        <f aca="false">(ABS(C138-G138)/C138)*100</f>
        <v>2.27272727272727</v>
      </c>
      <c r="G287" s="33" t="n">
        <f aca="false">(ABS(D138-H138)/D138)*100</f>
        <v>0.00187654815222559</v>
      </c>
      <c r="H287" s="31"/>
    </row>
    <row r="288" customFormat="false" ht="15" hidden="false" customHeight="false" outlineLevel="0" collapsed="false">
      <c r="A288" s="26"/>
      <c r="B288" s="32" t="n">
        <v>135</v>
      </c>
      <c r="C288" s="33" t="n">
        <f aca="false">(ABS(C139-E139)/C139)*100</f>
        <v>94.4444444444444</v>
      </c>
      <c r="D288" s="33" t="n">
        <f aca="false">(ABS(D139-F139)/D139)*100</f>
        <v>0.0531548996310425</v>
      </c>
      <c r="E288" s="29"/>
      <c r="F288" s="33" t="n">
        <f aca="false">(ABS(C139-G139)/C139)*100</f>
        <v>0</v>
      </c>
      <c r="G288" s="33" t="n">
        <f aca="false">(ABS(D139-H139)/D139)*100</f>
        <v>0</v>
      </c>
      <c r="H288" s="31"/>
    </row>
    <row r="289" customFormat="false" ht="15" hidden="false" customHeight="false" outlineLevel="0" collapsed="false">
      <c r="A289" s="26"/>
      <c r="B289" s="32" t="n">
        <v>136</v>
      </c>
      <c r="C289" s="33" t="n">
        <f aca="false">(ABS(C140-E140)/C140)*100</f>
        <v>98.5915492957747</v>
      </c>
      <c r="D289" s="33" t="n">
        <f aca="false">(ABS(D140-F140)/D140)*100</f>
        <v>0.0437694226813148</v>
      </c>
      <c r="E289" s="29"/>
      <c r="F289" s="33" t="n">
        <f aca="false">(ABS(C140-G140)/C140)*100</f>
        <v>0</v>
      </c>
      <c r="G289" s="33" t="n">
        <f aca="false">(ABS(D140-H140)/D140)*100</f>
        <v>0</v>
      </c>
      <c r="H289" s="31"/>
    </row>
    <row r="290" customFormat="false" ht="15" hidden="false" customHeight="false" outlineLevel="0" collapsed="false">
      <c r="A290" s="26"/>
      <c r="B290" s="32" t="n">
        <v>137</v>
      </c>
      <c r="C290" s="33" t="n">
        <f aca="false">(ABS(C141-E141)/C141)*100</f>
        <v>61.5384615384615</v>
      </c>
      <c r="D290" s="33" t="n">
        <f aca="false">(ABS(D141-F141)/D141)*100</f>
        <v>0.0150036571414282</v>
      </c>
      <c r="E290" s="29"/>
      <c r="F290" s="33" t="n">
        <f aca="false">(ABS(C141-G141)/C141)*100</f>
        <v>2.56410256410256</v>
      </c>
      <c r="G290" s="33" t="n">
        <f aca="false">(ABS(D141-H141)/D141)*100</f>
        <v>0.000625152380892843</v>
      </c>
      <c r="H290" s="31"/>
    </row>
    <row r="291" customFormat="false" ht="15" hidden="false" customHeight="false" outlineLevel="0" collapsed="false">
      <c r="A291" s="26"/>
      <c r="B291" s="32" t="n">
        <v>138</v>
      </c>
      <c r="C291" s="33" t="n">
        <f aca="false">(ABS(C142-E142)/C142)*100</f>
        <v>100</v>
      </c>
      <c r="D291" s="33" t="n">
        <f aca="false">(ABS(D142-F142)/D142)*100</f>
        <v>0.0137518908849967</v>
      </c>
      <c r="E291" s="29"/>
      <c r="F291" s="33" t="n">
        <f aca="false">(ABS(C142-G142)/C142)*100</f>
        <v>13.6363636363636</v>
      </c>
      <c r="G291" s="33" t="n">
        <f aca="false">(ABS(D142-H142)/D142)*100</f>
        <v>0.00187525784795409</v>
      </c>
      <c r="H291" s="31"/>
    </row>
    <row r="292" customFormat="false" ht="15" hidden="false" customHeight="false" outlineLevel="0" collapsed="false">
      <c r="A292" s="26"/>
      <c r="B292" s="32" t="n">
        <v>139</v>
      </c>
      <c r="C292" s="33" t="n">
        <f aca="false">(ABS(C143-E143)/C143)*100</f>
        <v>100</v>
      </c>
      <c r="D292" s="33" t="n">
        <f aca="false">(ABS(D143-F143)/D143)*100</f>
        <v>0.00375014063027364</v>
      </c>
      <c r="E292" s="29"/>
      <c r="F292" s="33" t="n">
        <f aca="false">(ABS(C143-G143)/C143)*100</f>
        <v>0</v>
      </c>
      <c r="G292" s="33" t="n">
        <f aca="false">(ABS(D143-H143)/D143)*100</f>
        <v>0</v>
      </c>
      <c r="H292" s="31"/>
    </row>
    <row r="293" customFormat="false" ht="15" hidden="false" customHeight="false" outlineLevel="0" collapsed="false">
      <c r="A293" s="26"/>
      <c r="B293" s="32" t="n">
        <v>140</v>
      </c>
      <c r="C293" s="33" t="n">
        <f aca="false">(ABS(C144-E144)/C144)*100</f>
        <v>100</v>
      </c>
      <c r="D293" s="33" t="n">
        <f aca="false">(ABS(D144-F144)/D144)*100</f>
        <v>0.00125001562519532</v>
      </c>
      <c r="E293" s="34" t="s">
        <v>10</v>
      </c>
      <c r="F293" s="33" t="n">
        <f aca="false">(ABS(C144-G144)/C144)*100</f>
        <v>50</v>
      </c>
      <c r="G293" s="33" t="n">
        <f aca="false">(ABS(D144-H144)/D144)*100</f>
        <v>0.000625007812597658</v>
      </c>
      <c r="H293" s="34" t="s">
        <v>10</v>
      </c>
    </row>
    <row r="294" customFormat="false" ht="15" hidden="false" customHeight="false" outlineLevel="0" collapsed="false">
      <c r="A294" s="26"/>
      <c r="B294" s="35" t="s">
        <v>8</v>
      </c>
      <c r="C294" s="36" t="n">
        <f aca="false">(ABS(SUM(C4:C144)-SUM(E4:E144))/SUM(C4:C144))*100</f>
        <v>96.4132629861446</v>
      </c>
      <c r="D294" s="37" t="n">
        <f aca="false">(ABS(SUM(D4:D144)-SUM(F4:F144))/SUM(D4:D144))*100</f>
        <v>2.62601594475942</v>
      </c>
      <c r="E294" s="38" t="n">
        <f aca="false">SUM(C153:D293)/(141*2)</f>
        <v>49.433519719008</v>
      </c>
      <c r="F294" s="37" t="n">
        <f aca="false">(ABS(SUM(C4:C144)-SUM(G4:G144))/SUM(C4:C144))*100</f>
        <v>0.0229029583266463</v>
      </c>
      <c r="G294" s="37" t="n">
        <f aca="false">(ABS(SUM(D4:D144)-SUM(H4:H144))/SUM(D4:D144))*100</f>
        <v>0.000623809752778276</v>
      </c>
      <c r="H294" s="38" t="n">
        <f aca="false">SUM(F153:G293)/(141*2)</f>
        <v>0.498608043514755</v>
      </c>
    </row>
  </sheetData>
  <mergeCells count="11">
    <mergeCell ref="B1:B3"/>
    <mergeCell ref="C1:D2"/>
    <mergeCell ref="E1:H1"/>
    <mergeCell ref="E2:F2"/>
    <mergeCell ref="G2:H2"/>
    <mergeCell ref="A3:A145"/>
    <mergeCell ref="B150:B152"/>
    <mergeCell ref="C150:H150"/>
    <mergeCell ref="C151:E151"/>
    <mergeCell ref="F151:H151"/>
    <mergeCell ref="A152:A2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8"/>
  <sheetViews>
    <sheetView showFormulas="false" showGridLines="true" showRowColHeaders="true" showZeros="true" rightToLeft="false" tabSelected="true" showOutlineSymbols="true" defaultGridColor="true" view="normal" topLeftCell="A274" colorId="64" zoomScale="100" zoomScaleNormal="100" zoomScalePageLayoutView="100" workbookViewId="0">
      <selection pane="topLeft" activeCell="H294" activeCellId="0" sqref="H294"/>
    </sheetView>
  </sheetViews>
  <sheetFormatPr defaultColWidth="8.68359375" defaultRowHeight="15" zeroHeight="false" outlineLevelRow="0" outlineLevelCol="0"/>
  <cols>
    <col collapsed="false" customWidth="true" hidden="false" outlineLevel="0" max="4" min="4" style="1" width="9.57"/>
    <col collapsed="false" customWidth="true" hidden="false" outlineLevel="0" max="6" min="6" style="1" width="9.57"/>
    <col collapsed="false" customWidth="true" hidden="false" outlineLevel="0" max="8" min="8" style="1" width="9.57"/>
    <col collapsed="false" customWidth="true" hidden="false" outlineLevel="0" max="10" min="10" style="1" width="9.57"/>
    <col collapsed="false" customWidth="true" hidden="false" outlineLevel="0" max="12" min="12" style="1" width="9.57"/>
    <col collapsed="false" customWidth="true" hidden="false" outlineLevel="0" max="14" min="14" style="1" width="18.79"/>
  </cols>
  <sheetData>
    <row r="1" customFormat="false" ht="15" hidden="false" customHeight="false" outlineLevel="0" collapsed="false">
      <c r="A1" s="52"/>
      <c r="B1" s="3" t="s">
        <v>0</v>
      </c>
      <c r="C1" s="4" t="s">
        <v>14</v>
      </c>
      <c r="D1" s="4"/>
      <c r="E1" s="53" t="s">
        <v>15</v>
      </c>
      <c r="F1" s="53"/>
      <c r="G1" s="53"/>
      <c r="H1" s="53"/>
      <c r="I1" s="54" t="s">
        <v>16</v>
      </c>
      <c r="J1" s="54"/>
      <c r="K1" s="54"/>
      <c r="L1" s="54"/>
    </row>
    <row r="2" customFormat="false" ht="15" hidden="false" customHeight="false" outlineLevel="0" collapsed="false">
      <c r="A2" s="52"/>
      <c r="B2" s="3"/>
      <c r="C2" s="3"/>
      <c r="D2" s="4"/>
      <c r="E2" s="6" t="s">
        <v>3</v>
      </c>
      <c r="F2" s="6"/>
      <c r="G2" s="55" t="s">
        <v>4</v>
      </c>
      <c r="H2" s="55"/>
      <c r="I2" s="56" t="s">
        <v>3</v>
      </c>
      <c r="J2" s="56"/>
      <c r="K2" s="7" t="s">
        <v>4</v>
      </c>
      <c r="L2" s="7"/>
    </row>
    <row r="3" customFormat="false" ht="15" hidden="false" customHeight="false" outlineLevel="0" collapsed="false">
      <c r="A3" s="8" t="s">
        <v>17</v>
      </c>
      <c r="B3" s="3"/>
      <c r="C3" s="57" t="s">
        <v>12</v>
      </c>
      <c r="D3" s="58" t="s">
        <v>13</v>
      </c>
      <c r="E3" s="59" t="str">
        <f aca="false">'Color clustering'!E3</f>
        <v>#e65a4a</v>
      </c>
      <c r="F3" s="12" t="str">
        <f aca="false">'Color clustering'!F3</f>
        <v>#fefefe</v>
      </c>
      <c r="G3" s="11" t="str">
        <f aca="false">'Color clustering'!G3</f>
        <v>#e65a4a</v>
      </c>
      <c r="H3" s="12" t="str">
        <f aca="false">'Color clustering'!H3</f>
        <v>#fefefe</v>
      </c>
      <c r="I3" s="60" t="str">
        <f aca="false">'Color classification'!E3</f>
        <v>#e65a49</v>
      </c>
      <c r="J3" s="61" t="str">
        <f aca="false">'Color classification'!F3</f>
        <v>#ffffff</v>
      </c>
      <c r="K3" s="60" t="str">
        <f aca="false">'Color classification'!G3</f>
        <v>#e65a49</v>
      </c>
      <c r="L3" s="62" t="str">
        <f aca="false">'Color classification'!H3</f>
        <v>#ffffff</v>
      </c>
    </row>
    <row r="4" customFormat="false" ht="15" hidden="false" customHeight="false" outlineLevel="0" collapsed="false">
      <c r="A4" s="8"/>
      <c r="B4" s="13" t="n">
        <v>0</v>
      </c>
      <c r="C4" s="14" t="n">
        <v>2</v>
      </c>
      <c r="D4" s="15" t="n">
        <v>159998</v>
      </c>
      <c r="E4" s="63" t="n">
        <f aca="false">'Color clustering'!E4</f>
        <v>2</v>
      </c>
      <c r="F4" s="64" t="n">
        <f aca="false">'Color clustering'!F4</f>
        <v>159998</v>
      </c>
      <c r="G4" s="63" t="n">
        <f aca="false">'Color clustering'!G4</f>
        <v>2</v>
      </c>
      <c r="H4" s="63" t="n">
        <f aca="false">'Color clustering'!H4</f>
        <v>159998</v>
      </c>
      <c r="I4" s="14" t="n">
        <f aca="false">'Color classification'!E4</f>
        <v>2</v>
      </c>
      <c r="J4" s="16" t="n">
        <f aca="false">'Color classification'!F4</f>
        <v>159998</v>
      </c>
      <c r="K4" s="13" t="n">
        <f aca="false">'Color classification'!G4</f>
        <v>2</v>
      </c>
      <c r="L4" s="15" t="n">
        <f aca="false">'Color classification'!H4</f>
        <v>159998</v>
      </c>
    </row>
    <row r="5" customFormat="false" ht="15" hidden="false" customHeight="false" outlineLevel="0" collapsed="false">
      <c r="A5" s="8"/>
      <c r="B5" s="13" t="n">
        <v>1</v>
      </c>
      <c r="C5" s="14" t="n">
        <v>6</v>
      </c>
      <c r="D5" s="15" t="n">
        <v>159994</v>
      </c>
      <c r="E5" s="63" t="n">
        <f aca="false">'Color clustering'!E5</f>
        <v>0</v>
      </c>
      <c r="F5" s="64" t="n">
        <f aca="false">'Color clustering'!F5</f>
        <v>160000</v>
      </c>
      <c r="G5" s="63" t="n">
        <f aca="false">'Color clustering'!G5</f>
        <v>5</v>
      </c>
      <c r="H5" s="63" t="n">
        <f aca="false">'Color clustering'!H5</f>
        <v>159995</v>
      </c>
      <c r="I5" s="14" t="n">
        <f aca="false">'Color classification'!E5</f>
        <v>0</v>
      </c>
      <c r="J5" s="16" t="n">
        <f aca="false">'Color classification'!F5</f>
        <v>160000</v>
      </c>
      <c r="K5" s="13" t="n">
        <f aca="false">'Color classification'!G5</f>
        <v>5</v>
      </c>
      <c r="L5" s="15" t="n">
        <f aca="false">'Color classification'!H5</f>
        <v>159995</v>
      </c>
    </row>
    <row r="6" customFormat="false" ht="15" hidden="false" customHeight="false" outlineLevel="0" collapsed="false">
      <c r="A6" s="8"/>
      <c r="B6" s="13" t="n">
        <v>2</v>
      </c>
      <c r="C6" s="14" t="n">
        <v>22</v>
      </c>
      <c r="D6" s="15" t="n">
        <v>159978</v>
      </c>
      <c r="E6" s="63" t="n">
        <f aca="false">'Color clustering'!E6</f>
        <v>0</v>
      </c>
      <c r="F6" s="64" t="n">
        <f aca="false">'Color clustering'!F6</f>
        <v>160000</v>
      </c>
      <c r="G6" s="63" t="n">
        <f aca="false">'Color clustering'!G6</f>
        <v>25</v>
      </c>
      <c r="H6" s="63" t="n">
        <f aca="false">'Color clustering'!H6</f>
        <v>159975</v>
      </c>
      <c r="I6" s="14" t="n">
        <f aca="false">'Color classification'!E6</f>
        <v>0</v>
      </c>
      <c r="J6" s="16" t="n">
        <f aca="false">'Color classification'!F6</f>
        <v>160000</v>
      </c>
      <c r="K6" s="13" t="n">
        <f aca="false">'Color classification'!G6</f>
        <v>25</v>
      </c>
      <c r="L6" s="15" t="n">
        <f aca="false">'Color classification'!H6</f>
        <v>159975</v>
      </c>
    </row>
    <row r="7" customFormat="false" ht="15" hidden="false" customHeight="false" outlineLevel="0" collapsed="false">
      <c r="A7" s="8"/>
      <c r="B7" s="13" t="n">
        <v>3</v>
      </c>
      <c r="C7" s="14" t="n">
        <v>42</v>
      </c>
      <c r="D7" s="15" t="n">
        <v>159958</v>
      </c>
      <c r="E7" s="63" t="n">
        <f aca="false">'Color clustering'!E7</f>
        <v>0</v>
      </c>
      <c r="F7" s="64" t="n">
        <f aca="false">'Color clustering'!F7</f>
        <v>160000</v>
      </c>
      <c r="G7" s="63" t="n">
        <f aca="false">'Color clustering'!G7</f>
        <v>37</v>
      </c>
      <c r="H7" s="63" t="n">
        <f aca="false">'Color clustering'!H7</f>
        <v>159963</v>
      </c>
      <c r="I7" s="14" t="n">
        <f aca="false">'Color classification'!E7</f>
        <v>0</v>
      </c>
      <c r="J7" s="16" t="n">
        <f aca="false">'Color classification'!F7</f>
        <v>160000</v>
      </c>
      <c r="K7" s="13" t="n">
        <f aca="false">'Color classification'!G7</f>
        <v>37</v>
      </c>
      <c r="L7" s="15" t="n">
        <f aca="false">'Color classification'!H7</f>
        <v>159963</v>
      </c>
      <c r="O7" s="65"/>
    </row>
    <row r="8" customFormat="false" ht="15" hidden="false" customHeight="false" outlineLevel="0" collapsed="false">
      <c r="A8" s="8"/>
      <c r="B8" s="13" t="n">
        <v>4</v>
      </c>
      <c r="C8" s="14" t="n">
        <v>71</v>
      </c>
      <c r="D8" s="15" t="n">
        <v>159929</v>
      </c>
      <c r="E8" s="63" t="n">
        <f aca="false">'Color clustering'!E8</f>
        <v>2</v>
      </c>
      <c r="F8" s="64" t="n">
        <f aca="false">'Color clustering'!F8</f>
        <v>159998</v>
      </c>
      <c r="G8" s="63" t="n">
        <f aca="false">'Color clustering'!G8</f>
        <v>71</v>
      </c>
      <c r="H8" s="63" t="n">
        <f aca="false">'Color clustering'!H8</f>
        <v>159929</v>
      </c>
      <c r="I8" s="14" t="n">
        <f aca="false">'Color classification'!E8</f>
        <v>0</v>
      </c>
      <c r="J8" s="16" t="n">
        <f aca="false">'Color classification'!F8</f>
        <v>160000</v>
      </c>
      <c r="K8" s="13" t="n">
        <f aca="false">'Color classification'!G8</f>
        <v>71</v>
      </c>
      <c r="L8" s="15" t="n">
        <f aca="false">'Color classification'!H8</f>
        <v>159929</v>
      </c>
    </row>
    <row r="9" customFormat="false" ht="15" hidden="false" customHeight="false" outlineLevel="0" collapsed="false">
      <c r="A9" s="8"/>
      <c r="B9" s="13" t="n">
        <v>5</v>
      </c>
      <c r="C9" s="14" t="n">
        <v>92</v>
      </c>
      <c r="D9" s="15" t="n">
        <v>159908</v>
      </c>
      <c r="E9" s="63" t="n">
        <f aca="false">'Color clustering'!E9</f>
        <v>0</v>
      </c>
      <c r="F9" s="64" t="n">
        <f aca="false">'Color clustering'!F9</f>
        <v>160000</v>
      </c>
      <c r="G9" s="63" t="n">
        <f aca="false">'Color clustering'!G9</f>
        <v>81</v>
      </c>
      <c r="H9" s="63" t="n">
        <f aca="false">'Color clustering'!H9</f>
        <v>159919</v>
      </c>
      <c r="I9" s="14" t="n">
        <f aca="false">'Color classification'!E9</f>
        <v>0</v>
      </c>
      <c r="J9" s="16" t="n">
        <f aca="false">'Color classification'!F9</f>
        <v>160000</v>
      </c>
      <c r="K9" s="13" t="n">
        <f aca="false">'Color classification'!G9</f>
        <v>81</v>
      </c>
      <c r="L9" s="15" t="n">
        <f aca="false">'Color classification'!H9</f>
        <v>159919</v>
      </c>
    </row>
    <row r="10" customFormat="false" ht="15" hidden="false" customHeight="false" outlineLevel="0" collapsed="false">
      <c r="A10" s="8"/>
      <c r="B10" s="13" t="n">
        <v>6</v>
      </c>
      <c r="C10" s="14" t="n">
        <v>132</v>
      </c>
      <c r="D10" s="15" t="n">
        <v>159868</v>
      </c>
      <c r="E10" s="63" t="n">
        <f aca="false">'Color clustering'!E10</f>
        <v>2</v>
      </c>
      <c r="F10" s="64" t="n">
        <f aca="false">'Color clustering'!F10</f>
        <v>159998</v>
      </c>
      <c r="G10" s="63" t="n">
        <f aca="false">'Color clustering'!G10</f>
        <v>119</v>
      </c>
      <c r="H10" s="63" t="n">
        <f aca="false">'Color clustering'!H10</f>
        <v>159881</v>
      </c>
      <c r="I10" s="14" t="n">
        <f aca="false">'Color classification'!E10</f>
        <v>21</v>
      </c>
      <c r="J10" s="16" t="n">
        <f aca="false">'Color classification'!F10</f>
        <v>159979</v>
      </c>
      <c r="K10" s="13" t="n">
        <f aca="false">'Color classification'!G10</f>
        <v>119</v>
      </c>
      <c r="L10" s="15" t="n">
        <f aca="false">'Color classification'!H10</f>
        <v>159881</v>
      </c>
    </row>
    <row r="11" customFormat="false" ht="15" hidden="false" customHeight="false" outlineLevel="0" collapsed="false">
      <c r="A11" s="8"/>
      <c r="B11" s="13" t="n">
        <v>7</v>
      </c>
      <c r="C11" s="14" t="n">
        <v>181</v>
      </c>
      <c r="D11" s="15" t="n">
        <v>159819</v>
      </c>
      <c r="E11" s="63" t="n">
        <f aca="false">'Color clustering'!E11</f>
        <v>2</v>
      </c>
      <c r="F11" s="64" t="n">
        <f aca="false">'Color clustering'!F11</f>
        <v>159998</v>
      </c>
      <c r="G11" s="63" t="n">
        <f aca="false">'Color clustering'!G11</f>
        <v>181</v>
      </c>
      <c r="H11" s="63" t="n">
        <f aca="false">'Color clustering'!H11</f>
        <v>159819</v>
      </c>
      <c r="I11" s="14" t="n">
        <f aca="false">'Color classification'!E11</f>
        <v>3</v>
      </c>
      <c r="J11" s="16" t="n">
        <f aca="false">'Color classification'!F11</f>
        <v>159997</v>
      </c>
      <c r="K11" s="13" t="n">
        <f aca="false">'Color classification'!G11</f>
        <v>181</v>
      </c>
      <c r="L11" s="15" t="n">
        <f aca="false">'Color classification'!H11</f>
        <v>159819</v>
      </c>
    </row>
    <row r="12" customFormat="false" ht="15" hidden="false" customHeight="false" outlineLevel="0" collapsed="false">
      <c r="A12" s="8"/>
      <c r="B12" s="13" t="n">
        <v>8</v>
      </c>
      <c r="C12" s="14" t="n">
        <v>210</v>
      </c>
      <c r="D12" s="15" t="n">
        <v>159790</v>
      </c>
      <c r="E12" s="63" t="n">
        <f aca="false">'Color clustering'!E12</f>
        <v>1</v>
      </c>
      <c r="F12" s="64" t="n">
        <f aca="false">'Color clustering'!F12</f>
        <v>159999</v>
      </c>
      <c r="G12" s="63" t="n">
        <f aca="false">'Color clustering'!G12</f>
        <v>214</v>
      </c>
      <c r="H12" s="63" t="n">
        <f aca="false">'Color clustering'!H12</f>
        <v>159786</v>
      </c>
      <c r="I12" s="14" t="n">
        <f aca="false">'Color classification'!E12</f>
        <v>3</v>
      </c>
      <c r="J12" s="16" t="n">
        <f aca="false">'Color classification'!F12</f>
        <v>159997</v>
      </c>
      <c r="K12" s="13" t="n">
        <f aca="false">'Color classification'!G12</f>
        <v>215</v>
      </c>
      <c r="L12" s="15" t="n">
        <f aca="false">'Color classification'!H12</f>
        <v>159785</v>
      </c>
    </row>
    <row r="13" customFormat="false" ht="15" hidden="false" customHeight="false" outlineLevel="0" collapsed="false">
      <c r="A13" s="8"/>
      <c r="B13" s="13" t="n">
        <v>9</v>
      </c>
      <c r="C13" s="14" t="n">
        <v>275</v>
      </c>
      <c r="D13" s="15" t="n">
        <v>159725</v>
      </c>
      <c r="E13" s="63" t="n">
        <f aca="false">'Color clustering'!E13</f>
        <v>0</v>
      </c>
      <c r="F13" s="64" t="n">
        <f aca="false">'Color clustering'!F13</f>
        <v>160000</v>
      </c>
      <c r="G13" s="63" t="n">
        <f aca="false">'Color clustering'!G13</f>
        <v>293</v>
      </c>
      <c r="H13" s="63" t="n">
        <f aca="false">'Color clustering'!H13</f>
        <v>159707</v>
      </c>
      <c r="I13" s="14" t="n">
        <f aca="false">'Color classification'!E13</f>
        <v>0</v>
      </c>
      <c r="J13" s="16" t="n">
        <f aca="false">'Color classification'!F13</f>
        <v>160000</v>
      </c>
      <c r="K13" s="13" t="n">
        <f aca="false">'Color classification'!G13</f>
        <v>293</v>
      </c>
      <c r="L13" s="15" t="n">
        <f aca="false">'Color classification'!H13</f>
        <v>159707</v>
      </c>
    </row>
    <row r="14" customFormat="false" ht="15" hidden="false" customHeight="false" outlineLevel="0" collapsed="false">
      <c r="A14" s="8"/>
      <c r="B14" s="13" t="n">
        <v>10</v>
      </c>
      <c r="C14" s="14" t="n">
        <v>340</v>
      </c>
      <c r="D14" s="15" t="n">
        <v>159660</v>
      </c>
      <c r="E14" s="63" t="n">
        <f aca="false">'Color clustering'!E14</f>
        <v>0</v>
      </c>
      <c r="F14" s="64" t="n">
        <f aca="false">'Color clustering'!F14</f>
        <v>160000</v>
      </c>
      <c r="G14" s="63" t="n">
        <f aca="false">'Color clustering'!G14</f>
        <v>318</v>
      </c>
      <c r="H14" s="63" t="n">
        <f aca="false">'Color clustering'!H14</f>
        <v>159682</v>
      </c>
      <c r="I14" s="14" t="n">
        <f aca="false">'Color classification'!E14</f>
        <v>0</v>
      </c>
      <c r="J14" s="16" t="n">
        <f aca="false">'Color classification'!F14</f>
        <v>160000</v>
      </c>
      <c r="K14" s="13" t="n">
        <f aca="false">'Color classification'!G14</f>
        <v>318</v>
      </c>
      <c r="L14" s="15" t="n">
        <f aca="false">'Color classification'!H14</f>
        <v>159682</v>
      </c>
    </row>
    <row r="15" customFormat="false" ht="15" hidden="false" customHeight="false" outlineLevel="0" collapsed="false">
      <c r="A15" s="8"/>
      <c r="B15" s="13" t="n">
        <v>11</v>
      </c>
      <c r="C15" s="14" t="n">
        <v>417</v>
      </c>
      <c r="D15" s="15" t="n">
        <v>159583</v>
      </c>
      <c r="E15" s="63" t="n">
        <f aca="false">'Color clustering'!E15</f>
        <v>5</v>
      </c>
      <c r="F15" s="64" t="n">
        <f aca="false">'Color clustering'!F15</f>
        <v>159995</v>
      </c>
      <c r="G15" s="63" t="n">
        <f aca="false">'Color clustering'!G15</f>
        <v>414</v>
      </c>
      <c r="H15" s="63" t="n">
        <f aca="false">'Color clustering'!H15</f>
        <v>159586</v>
      </c>
      <c r="I15" s="14" t="n">
        <f aca="false">'Color classification'!E15</f>
        <v>4</v>
      </c>
      <c r="J15" s="16" t="n">
        <f aca="false">'Color classification'!F15</f>
        <v>159996</v>
      </c>
      <c r="K15" s="13" t="n">
        <f aca="false">'Color classification'!G15</f>
        <v>415</v>
      </c>
      <c r="L15" s="15" t="n">
        <f aca="false">'Color classification'!H15</f>
        <v>159585</v>
      </c>
    </row>
    <row r="16" customFormat="false" ht="15" hidden="false" customHeight="false" outlineLevel="0" collapsed="false">
      <c r="A16" s="8"/>
      <c r="B16" s="13" t="n">
        <v>12</v>
      </c>
      <c r="C16" s="14" t="n">
        <v>466</v>
      </c>
      <c r="D16" s="15" t="n">
        <v>159534</v>
      </c>
      <c r="E16" s="63" t="n">
        <f aca="false">'Color clustering'!E16</f>
        <v>35</v>
      </c>
      <c r="F16" s="64" t="n">
        <f aca="false">'Color clustering'!F16</f>
        <v>159965</v>
      </c>
      <c r="G16" s="63" t="n">
        <f aca="false">'Color clustering'!G16</f>
        <v>463</v>
      </c>
      <c r="H16" s="63" t="n">
        <f aca="false">'Color clustering'!H16</f>
        <v>159537</v>
      </c>
      <c r="I16" s="14" t="n">
        <f aca="false">'Color classification'!E16</f>
        <v>14</v>
      </c>
      <c r="J16" s="16" t="n">
        <f aca="false">'Color classification'!F16</f>
        <v>159986</v>
      </c>
      <c r="K16" s="13" t="n">
        <f aca="false">'Color classification'!G16</f>
        <v>463</v>
      </c>
      <c r="L16" s="15" t="n">
        <f aca="false">'Color classification'!H16</f>
        <v>159537</v>
      </c>
    </row>
    <row r="17" customFormat="false" ht="15" hidden="false" customHeight="false" outlineLevel="0" collapsed="false">
      <c r="A17" s="8"/>
      <c r="B17" s="13" t="n">
        <v>13</v>
      </c>
      <c r="C17" s="14" t="n">
        <v>551</v>
      </c>
      <c r="D17" s="15" t="n">
        <v>159449</v>
      </c>
      <c r="E17" s="63" t="n">
        <f aca="false">'Color clustering'!E17</f>
        <v>0</v>
      </c>
      <c r="F17" s="64" t="n">
        <f aca="false">'Color clustering'!F17</f>
        <v>160000</v>
      </c>
      <c r="G17" s="63" t="n">
        <f aca="false">'Color clustering'!G17</f>
        <v>553</v>
      </c>
      <c r="H17" s="63" t="n">
        <f aca="false">'Color clustering'!H17</f>
        <v>159447</v>
      </c>
      <c r="I17" s="14" t="n">
        <f aca="false">'Color classification'!E17</f>
        <v>0</v>
      </c>
      <c r="J17" s="16" t="n">
        <f aca="false">'Color classification'!F17</f>
        <v>160000</v>
      </c>
      <c r="K17" s="13" t="n">
        <f aca="false">'Color classification'!G17</f>
        <v>554</v>
      </c>
      <c r="L17" s="15" t="n">
        <f aca="false">'Color classification'!H17</f>
        <v>159446</v>
      </c>
    </row>
    <row r="18" customFormat="false" ht="15" hidden="false" customHeight="false" outlineLevel="0" collapsed="false">
      <c r="A18" s="8"/>
      <c r="B18" s="13" t="n">
        <v>14</v>
      </c>
      <c r="C18" s="14" t="n">
        <v>648</v>
      </c>
      <c r="D18" s="15" t="n">
        <v>159352</v>
      </c>
      <c r="E18" s="63" t="n">
        <f aca="false">'Color clustering'!E18</f>
        <v>67</v>
      </c>
      <c r="F18" s="64" t="n">
        <f aca="false">'Color clustering'!F18</f>
        <v>159933</v>
      </c>
      <c r="G18" s="63" t="n">
        <f aca="false">'Color clustering'!G18</f>
        <v>633</v>
      </c>
      <c r="H18" s="63" t="n">
        <f aca="false">'Color clustering'!H18</f>
        <v>159367</v>
      </c>
      <c r="I18" s="14" t="n">
        <f aca="false">'Color classification'!E18</f>
        <v>23</v>
      </c>
      <c r="J18" s="16" t="n">
        <f aca="false">'Color classification'!F18</f>
        <v>159977</v>
      </c>
      <c r="K18" s="13" t="n">
        <f aca="false">'Color classification'!G18</f>
        <v>632</v>
      </c>
      <c r="L18" s="15" t="n">
        <f aca="false">'Color classification'!H18</f>
        <v>159368</v>
      </c>
    </row>
    <row r="19" customFormat="false" ht="15" hidden="false" customHeight="false" outlineLevel="0" collapsed="false">
      <c r="A19" s="8"/>
      <c r="B19" s="13" t="n">
        <v>15</v>
      </c>
      <c r="C19" s="14" t="n">
        <v>752</v>
      </c>
      <c r="D19" s="15" t="n">
        <v>159248</v>
      </c>
      <c r="E19" s="63" t="n">
        <f aca="false">'Color clustering'!E19</f>
        <v>2</v>
      </c>
      <c r="F19" s="64" t="n">
        <f aca="false">'Color clustering'!F19</f>
        <v>159998</v>
      </c>
      <c r="G19" s="63" t="n">
        <f aca="false">'Color clustering'!G19</f>
        <v>745</v>
      </c>
      <c r="H19" s="63" t="n">
        <f aca="false">'Color clustering'!H19</f>
        <v>159255</v>
      </c>
      <c r="I19" s="14" t="n">
        <f aca="false">'Color classification'!E19</f>
        <v>8</v>
      </c>
      <c r="J19" s="16" t="n">
        <f aca="false">'Color classification'!F19</f>
        <v>159992</v>
      </c>
      <c r="K19" s="13" t="n">
        <f aca="false">'Color classification'!G19</f>
        <v>746</v>
      </c>
      <c r="L19" s="15" t="n">
        <f aca="false">'Color classification'!H19</f>
        <v>159254</v>
      </c>
    </row>
    <row r="20" customFormat="false" ht="15" hidden="false" customHeight="false" outlineLevel="0" collapsed="false">
      <c r="A20" s="8"/>
      <c r="B20" s="13" t="n">
        <v>16</v>
      </c>
      <c r="C20" s="14" t="n">
        <v>812</v>
      </c>
      <c r="D20" s="15" t="n">
        <v>159188</v>
      </c>
      <c r="E20" s="63" t="n">
        <f aca="false">'Color clustering'!E20</f>
        <v>6</v>
      </c>
      <c r="F20" s="64" t="n">
        <f aca="false">'Color clustering'!F20</f>
        <v>159994</v>
      </c>
      <c r="G20" s="63" t="n">
        <f aca="false">'Color clustering'!G20</f>
        <v>818</v>
      </c>
      <c r="H20" s="63" t="n">
        <f aca="false">'Color clustering'!H20</f>
        <v>159182</v>
      </c>
      <c r="I20" s="14" t="n">
        <f aca="false">'Color classification'!E20</f>
        <v>2</v>
      </c>
      <c r="J20" s="16" t="n">
        <f aca="false">'Color classification'!F20</f>
        <v>159998</v>
      </c>
      <c r="K20" s="13" t="n">
        <f aca="false">'Color classification'!G20</f>
        <v>818</v>
      </c>
      <c r="L20" s="15" t="n">
        <f aca="false">'Color classification'!H20</f>
        <v>159182</v>
      </c>
    </row>
    <row r="21" customFormat="false" ht="15" hidden="false" customHeight="false" outlineLevel="0" collapsed="false">
      <c r="A21" s="8"/>
      <c r="B21" s="13" t="n">
        <v>17</v>
      </c>
      <c r="C21" s="14" t="n">
        <v>929</v>
      </c>
      <c r="D21" s="15" t="n">
        <v>159071</v>
      </c>
      <c r="E21" s="63" t="n">
        <f aca="false">'Color clustering'!E21</f>
        <v>29</v>
      </c>
      <c r="F21" s="64" t="n">
        <f aca="false">'Color clustering'!F21</f>
        <v>159971</v>
      </c>
      <c r="G21" s="63" t="n">
        <f aca="false">'Color clustering'!G21</f>
        <v>940</v>
      </c>
      <c r="H21" s="63" t="n">
        <f aca="false">'Color clustering'!H21</f>
        <v>159060</v>
      </c>
      <c r="I21" s="14" t="n">
        <f aca="false">'Color classification'!E21</f>
        <v>1</v>
      </c>
      <c r="J21" s="16" t="n">
        <f aca="false">'Color classification'!F21</f>
        <v>159999</v>
      </c>
      <c r="K21" s="13" t="n">
        <f aca="false">'Color classification'!G21</f>
        <v>942</v>
      </c>
      <c r="L21" s="15" t="n">
        <f aca="false">'Color classification'!H21</f>
        <v>159058</v>
      </c>
    </row>
    <row r="22" customFormat="false" ht="15" hidden="false" customHeight="false" outlineLevel="0" collapsed="false">
      <c r="A22" s="8"/>
      <c r="B22" s="13" t="n">
        <v>18</v>
      </c>
      <c r="C22" s="14" t="n">
        <v>1053</v>
      </c>
      <c r="D22" s="15" t="n">
        <v>158947</v>
      </c>
      <c r="E22" s="63" t="n">
        <f aca="false">'Color clustering'!E22</f>
        <v>51</v>
      </c>
      <c r="F22" s="64" t="n">
        <f aca="false">'Color clustering'!F22</f>
        <v>159949</v>
      </c>
      <c r="G22" s="63" t="n">
        <f aca="false">'Color clustering'!G22</f>
        <v>1047</v>
      </c>
      <c r="H22" s="63" t="n">
        <f aca="false">'Color clustering'!H22</f>
        <v>158953</v>
      </c>
      <c r="I22" s="14" t="n">
        <f aca="false">'Color classification'!E22</f>
        <v>11</v>
      </c>
      <c r="J22" s="16" t="n">
        <f aca="false">'Color classification'!F22</f>
        <v>159989</v>
      </c>
      <c r="K22" s="13" t="n">
        <f aca="false">'Color classification'!G22</f>
        <v>1048</v>
      </c>
      <c r="L22" s="15" t="n">
        <f aca="false">'Color classification'!H22</f>
        <v>158952</v>
      </c>
    </row>
    <row r="23" customFormat="false" ht="15" hidden="false" customHeight="false" outlineLevel="0" collapsed="false">
      <c r="A23" s="8"/>
      <c r="B23" s="13" t="n">
        <v>19</v>
      </c>
      <c r="C23" s="14" t="n">
        <v>1179</v>
      </c>
      <c r="D23" s="15" t="n">
        <v>158821</v>
      </c>
      <c r="E23" s="63" t="n">
        <f aca="false">'Color clustering'!E23</f>
        <v>26</v>
      </c>
      <c r="F23" s="64" t="n">
        <f aca="false">'Color clustering'!F23</f>
        <v>159974</v>
      </c>
      <c r="G23" s="63" t="n">
        <f aca="false">'Color clustering'!G23</f>
        <v>1180</v>
      </c>
      <c r="H23" s="63" t="n">
        <f aca="false">'Color clustering'!H23</f>
        <v>158820</v>
      </c>
      <c r="I23" s="14" t="n">
        <f aca="false">'Color classification'!E23</f>
        <v>52</v>
      </c>
      <c r="J23" s="16" t="n">
        <f aca="false">'Color classification'!F23</f>
        <v>159948</v>
      </c>
      <c r="K23" s="13" t="n">
        <f aca="false">'Color classification'!G23</f>
        <v>1181</v>
      </c>
      <c r="L23" s="15" t="n">
        <f aca="false">'Color classification'!H23</f>
        <v>158819</v>
      </c>
    </row>
    <row r="24" customFormat="false" ht="15" hidden="false" customHeight="false" outlineLevel="0" collapsed="false">
      <c r="A24" s="8"/>
      <c r="B24" s="13" t="n">
        <v>20</v>
      </c>
      <c r="C24" s="14" t="n">
        <v>1262</v>
      </c>
      <c r="D24" s="15" t="n">
        <v>158738</v>
      </c>
      <c r="E24" s="63" t="n">
        <f aca="false">'Color clustering'!E24</f>
        <v>5</v>
      </c>
      <c r="F24" s="64" t="n">
        <f aca="false">'Color clustering'!F24</f>
        <v>159995</v>
      </c>
      <c r="G24" s="63" t="n">
        <f aca="false">'Color clustering'!G24</f>
        <v>1256</v>
      </c>
      <c r="H24" s="63" t="n">
        <f aca="false">'Color clustering'!H24</f>
        <v>158744</v>
      </c>
      <c r="I24" s="14" t="n">
        <f aca="false">'Color classification'!E24</f>
        <v>3</v>
      </c>
      <c r="J24" s="16" t="n">
        <f aca="false">'Color classification'!F24</f>
        <v>159997</v>
      </c>
      <c r="K24" s="13" t="n">
        <f aca="false">'Color classification'!G24</f>
        <v>1258</v>
      </c>
      <c r="L24" s="15" t="n">
        <f aca="false">'Color classification'!H24</f>
        <v>158742</v>
      </c>
    </row>
    <row r="25" customFormat="false" ht="15" hidden="false" customHeight="false" outlineLevel="0" collapsed="false">
      <c r="A25" s="8"/>
      <c r="B25" s="13" t="n">
        <v>21</v>
      </c>
      <c r="C25" s="14" t="n">
        <v>1402</v>
      </c>
      <c r="D25" s="15" t="n">
        <v>158598</v>
      </c>
      <c r="E25" s="63" t="n">
        <f aca="false">'Color clustering'!E25</f>
        <v>20</v>
      </c>
      <c r="F25" s="64" t="n">
        <f aca="false">'Color clustering'!F25</f>
        <v>159980</v>
      </c>
      <c r="G25" s="63" t="n">
        <f aca="false">'Color clustering'!G25</f>
        <v>1405</v>
      </c>
      <c r="H25" s="63" t="n">
        <f aca="false">'Color clustering'!H25</f>
        <v>158595</v>
      </c>
      <c r="I25" s="14" t="n">
        <f aca="false">'Color classification'!E25</f>
        <v>1</v>
      </c>
      <c r="J25" s="16" t="n">
        <f aca="false">'Color classification'!F25</f>
        <v>159999</v>
      </c>
      <c r="K25" s="13" t="n">
        <f aca="false">'Color classification'!G25</f>
        <v>1406</v>
      </c>
      <c r="L25" s="15" t="n">
        <f aca="false">'Color classification'!H25</f>
        <v>158594</v>
      </c>
    </row>
    <row r="26" customFormat="false" ht="15" hidden="false" customHeight="false" outlineLevel="0" collapsed="false">
      <c r="A26" s="8"/>
      <c r="B26" s="13" t="n">
        <v>22</v>
      </c>
      <c r="C26" s="14" t="n">
        <v>1553</v>
      </c>
      <c r="D26" s="15" t="n">
        <v>158447</v>
      </c>
      <c r="E26" s="63" t="n">
        <f aca="false">'Color clustering'!E26</f>
        <v>4</v>
      </c>
      <c r="F26" s="64" t="n">
        <f aca="false">'Color clustering'!F26</f>
        <v>159996</v>
      </c>
      <c r="G26" s="63" t="n">
        <f aca="false">'Color clustering'!G26</f>
        <v>1550</v>
      </c>
      <c r="H26" s="63" t="n">
        <f aca="false">'Color clustering'!H26</f>
        <v>158450</v>
      </c>
      <c r="I26" s="14" t="n">
        <f aca="false">'Color classification'!E26</f>
        <v>14</v>
      </c>
      <c r="J26" s="16" t="n">
        <f aca="false">'Color classification'!F26</f>
        <v>159986</v>
      </c>
      <c r="K26" s="13" t="n">
        <f aca="false">'Color classification'!G26</f>
        <v>1550</v>
      </c>
      <c r="L26" s="15" t="n">
        <f aca="false">'Color classification'!H26</f>
        <v>158450</v>
      </c>
    </row>
    <row r="27" customFormat="false" ht="15" hidden="false" customHeight="false" outlineLevel="0" collapsed="false">
      <c r="A27" s="8"/>
      <c r="B27" s="13" t="n">
        <v>23</v>
      </c>
      <c r="C27" s="14" t="n">
        <v>1712</v>
      </c>
      <c r="D27" s="15" t="n">
        <v>158288</v>
      </c>
      <c r="E27" s="63" t="n">
        <f aca="false">'Color clustering'!E27</f>
        <v>16</v>
      </c>
      <c r="F27" s="64" t="n">
        <f aca="false">'Color clustering'!F27</f>
        <v>159984</v>
      </c>
      <c r="G27" s="63" t="n">
        <f aca="false">'Color clustering'!G27</f>
        <v>1708</v>
      </c>
      <c r="H27" s="63" t="n">
        <f aca="false">'Color clustering'!H27</f>
        <v>158292</v>
      </c>
      <c r="I27" s="14" t="n">
        <f aca="false">'Color classification'!E27</f>
        <v>13</v>
      </c>
      <c r="J27" s="16" t="n">
        <f aca="false">'Color classification'!F27</f>
        <v>159987</v>
      </c>
      <c r="K27" s="13" t="n">
        <f aca="false">'Color classification'!G27</f>
        <v>1708</v>
      </c>
      <c r="L27" s="15" t="n">
        <f aca="false">'Color classification'!H27</f>
        <v>158292</v>
      </c>
    </row>
    <row r="28" customFormat="false" ht="15" hidden="false" customHeight="false" outlineLevel="0" collapsed="false">
      <c r="A28" s="8"/>
      <c r="B28" s="13" t="n">
        <v>24</v>
      </c>
      <c r="C28" s="14" t="n">
        <v>1804</v>
      </c>
      <c r="D28" s="15" t="n">
        <v>158196</v>
      </c>
      <c r="E28" s="63" t="n">
        <f aca="false">'Color clustering'!E28</f>
        <v>225</v>
      </c>
      <c r="F28" s="64" t="n">
        <f aca="false">'Color clustering'!F28</f>
        <v>159775</v>
      </c>
      <c r="G28" s="63" t="n">
        <f aca="false">'Color clustering'!G28</f>
        <v>1807</v>
      </c>
      <c r="H28" s="63" t="n">
        <f aca="false">'Color clustering'!H28</f>
        <v>158193</v>
      </c>
      <c r="I28" s="14" t="n">
        <f aca="false">'Color classification'!E28</f>
        <v>46</v>
      </c>
      <c r="J28" s="16" t="n">
        <f aca="false">'Color classification'!F28</f>
        <v>159954</v>
      </c>
      <c r="K28" s="13" t="n">
        <f aca="false">'Color classification'!G28</f>
        <v>1807</v>
      </c>
      <c r="L28" s="15" t="n">
        <f aca="false">'Color classification'!H28</f>
        <v>158193</v>
      </c>
    </row>
    <row r="29" customFormat="false" ht="15" hidden="false" customHeight="false" outlineLevel="0" collapsed="false">
      <c r="A29" s="8"/>
      <c r="B29" s="13" t="n">
        <v>25</v>
      </c>
      <c r="C29" s="14" t="n">
        <v>1974</v>
      </c>
      <c r="D29" s="15" t="n">
        <v>158026</v>
      </c>
      <c r="E29" s="63" t="n">
        <f aca="false">'Color clustering'!E29</f>
        <v>8</v>
      </c>
      <c r="F29" s="64" t="n">
        <f aca="false">'Color clustering'!F29</f>
        <v>159992</v>
      </c>
      <c r="G29" s="63" t="n">
        <f aca="false">'Color clustering'!G29</f>
        <v>1974</v>
      </c>
      <c r="H29" s="63" t="n">
        <f aca="false">'Color clustering'!H29</f>
        <v>158026</v>
      </c>
      <c r="I29" s="14" t="n">
        <f aca="false">'Color classification'!E29</f>
        <v>92</v>
      </c>
      <c r="J29" s="16" t="n">
        <f aca="false">'Color classification'!F29</f>
        <v>159908</v>
      </c>
      <c r="K29" s="13" t="n">
        <f aca="false">'Color classification'!G29</f>
        <v>1977</v>
      </c>
      <c r="L29" s="15" t="n">
        <f aca="false">'Color classification'!H29</f>
        <v>158023</v>
      </c>
    </row>
    <row r="30" customFormat="false" ht="15" hidden="false" customHeight="false" outlineLevel="0" collapsed="false">
      <c r="A30" s="8"/>
      <c r="B30" s="13" t="n">
        <v>26</v>
      </c>
      <c r="C30" s="14" t="n">
        <v>2153</v>
      </c>
      <c r="D30" s="15" t="n">
        <v>157847</v>
      </c>
      <c r="E30" s="63" t="n">
        <f aca="false">'Color clustering'!E30</f>
        <v>22</v>
      </c>
      <c r="F30" s="64" t="n">
        <f aca="false">'Color clustering'!F30</f>
        <v>159978</v>
      </c>
      <c r="G30" s="63" t="n">
        <f aca="false">'Color clustering'!G30</f>
        <v>2151</v>
      </c>
      <c r="H30" s="63" t="n">
        <f aca="false">'Color clustering'!H30</f>
        <v>157849</v>
      </c>
      <c r="I30" s="14" t="n">
        <f aca="false">'Color classification'!E30</f>
        <v>36</v>
      </c>
      <c r="J30" s="16" t="n">
        <f aca="false">'Color classification'!F30</f>
        <v>159964</v>
      </c>
      <c r="K30" s="13" t="n">
        <f aca="false">'Color classification'!G30</f>
        <v>2151</v>
      </c>
      <c r="L30" s="15" t="n">
        <f aca="false">'Color classification'!H30</f>
        <v>157849</v>
      </c>
    </row>
    <row r="31" customFormat="false" ht="15" hidden="false" customHeight="false" outlineLevel="0" collapsed="false">
      <c r="A31" s="8"/>
      <c r="B31" s="13" t="n">
        <v>27</v>
      </c>
      <c r="C31" s="14" t="n">
        <v>2336</v>
      </c>
      <c r="D31" s="15" t="n">
        <v>157664</v>
      </c>
      <c r="E31" s="63" t="n">
        <f aca="false">'Color clustering'!E31</f>
        <v>19</v>
      </c>
      <c r="F31" s="64" t="n">
        <f aca="false">'Color clustering'!F31</f>
        <v>159981</v>
      </c>
      <c r="G31" s="63" t="n">
        <f aca="false">'Color clustering'!G31</f>
        <v>2333</v>
      </c>
      <c r="H31" s="63" t="n">
        <f aca="false">'Color clustering'!H31</f>
        <v>157667</v>
      </c>
      <c r="I31" s="14" t="n">
        <f aca="false">'Color classification'!E31</f>
        <v>59</v>
      </c>
      <c r="J31" s="16" t="n">
        <f aca="false">'Color classification'!F31</f>
        <v>159941</v>
      </c>
      <c r="K31" s="13" t="n">
        <f aca="false">'Color classification'!G31</f>
        <v>2334</v>
      </c>
      <c r="L31" s="15" t="n">
        <f aca="false">'Color classification'!H31</f>
        <v>157666</v>
      </c>
    </row>
    <row r="32" customFormat="false" ht="15" hidden="false" customHeight="false" outlineLevel="0" collapsed="false">
      <c r="A32" s="8"/>
      <c r="B32" s="13" t="n">
        <v>28</v>
      </c>
      <c r="C32" s="14" t="n">
        <v>2446</v>
      </c>
      <c r="D32" s="15" t="n">
        <v>157554</v>
      </c>
      <c r="E32" s="63" t="n">
        <f aca="false">'Color clustering'!E32</f>
        <v>47</v>
      </c>
      <c r="F32" s="64" t="n">
        <f aca="false">'Color clustering'!F32</f>
        <v>159953</v>
      </c>
      <c r="G32" s="63" t="n">
        <f aca="false">'Color clustering'!G32</f>
        <v>2390</v>
      </c>
      <c r="H32" s="63" t="n">
        <f aca="false">'Color clustering'!H32</f>
        <v>157610</v>
      </c>
      <c r="I32" s="14" t="n">
        <f aca="false">'Color classification'!E32</f>
        <v>28</v>
      </c>
      <c r="J32" s="16" t="n">
        <f aca="false">'Color classification'!F32</f>
        <v>159972</v>
      </c>
      <c r="K32" s="13" t="n">
        <f aca="false">'Color classification'!G32</f>
        <v>2391</v>
      </c>
      <c r="L32" s="15" t="n">
        <f aca="false">'Color classification'!H32</f>
        <v>157609</v>
      </c>
    </row>
    <row r="33" customFormat="false" ht="15" hidden="false" customHeight="false" outlineLevel="0" collapsed="false">
      <c r="A33" s="8"/>
      <c r="B33" s="13" t="n">
        <v>29</v>
      </c>
      <c r="C33" s="14" t="n">
        <v>2644</v>
      </c>
      <c r="D33" s="15" t="n">
        <v>157356</v>
      </c>
      <c r="E33" s="63" t="n">
        <f aca="false">'Color clustering'!E33</f>
        <v>7</v>
      </c>
      <c r="F33" s="64" t="n">
        <f aca="false">'Color clustering'!F33</f>
        <v>159993</v>
      </c>
      <c r="G33" s="63" t="n">
        <f aca="false">'Color clustering'!G33</f>
        <v>2664</v>
      </c>
      <c r="H33" s="63" t="n">
        <f aca="false">'Color clustering'!H33</f>
        <v>157336</v>
      </c>
      <c r="I33" s="14" t="n">
        <f aca="false">'Color classification'!E33</f>
        <v>6</v>
      </c>
      <c r="J33" s="16" t="n">
        <f aca="false">'Color classification'!F33</f>
        <v>159994</v>
      </c>
      <c r="K33" s="13" t="n">
        <f aca="false">'Color classification'!G33</f>
        <v>2665</v>
      </c>
      <c r="L33" s="15" t="n">
        <f aca="false">'Color classification'!H33</f>
        <v>157335</v>
      </c>
    </row>
    <row r="34" customFormat="false" ht="15" hidden="false" customHeight="false" outlineLevel="0" collapsed="false">
      <c r="A34" s="8"/>
      <c r="B34" s="13" t="n">
        <v>30</v>
      </c>
      <c r="C34" s="14" t="n">
        <v>2848</v>
      </c>
      <c r="D34" s="15" t="n">
        <v>157152</v>
      </c>
      <c r="E34" s="63" t="n">
        <f aca="false">'Color clustering'!E34</f>
        <v>35</v>
      </c>
      <c r="F34" s="64" t="n">
        <f aca="false">'Color clustering'!F34</f>
        <v>159965</v>
      </c>
      <c r="G34" s="63" t="n">
        <f aca="false">'Color clustering'!G34</f>
        <v>2846</v>
      </c>
      <c r="H34" s="63" t="n">
        <f aca="false">'Color clustering'!H34</f>
        <v>157154</v>
      </c>
      <c r="I34" s="14" t="n">
        <f aca="false">'Color classification'!E34</f>
        <v>9</v>
      </c>
      <c r="J34" s="16" t="n">
        <f aca="false">'Color classification'!F34</f>
        <v>159991</v>
      </c>
      <c r="K34" s="13" t="n">
        <f aca="false">'Color classification'!G34</f>
        <v>2847</v>
      </c>
      <c r="L34" s="15" t="n">
        <f aca="false">'Color classification'!H34</f>
        <v>157153</v>
      </c>
    </row>
    <row r="35" customFormat="false" ht="15" hidden="false" customHeight="false" outlineLevel="0" collapsed="false">
      <c r="A35" s="8"/>
      <c r="B35" s="13" t="n">
        <v>31</v>
      </c>
      <c r="C35" s="14" t="n">
        <v>3062</v>
      </c>
      <c r="D35" s="15" t="n">
        <v>156938</v>
      </c>
      <c r="E35" s="63" t="n">
        <f aca="false">'Color clustering'!E35</f>
        <v>6</v>
      </c>
      <c r="F35" s="64" t="n">
        <f aca="false">'Color clustering'!F35</f>
        <v>159994</v>
      </c>
      <c r="G35" s="63" t="n">
        <f aca="false">'Color clustering'!G35</f>
        <v>3038</v>
      </c>
      <c r="H35" s="63" t="n">
        <f aca="false">'Color clustering'!H35</f>
        <v>156962</v>
      </c>
      <c r="I35" s="14" t="n">
        <f aca="false">'Color classification'!E35</f>
        <v>22</v>
      </c>
      <c r="J35" s="16" t="n">
        <f aca="false">'Color classification'!F35</f>
        <v>159978</v>
      </c>
      <c r="K35" s="13" t="n">
        <f aca="false">'Color classification'!G35</f>
        <v>3041</v>
      </c>
      <c r="L35" s="15" t="n">
        <f aca="false">'Color classification'!H35</f>
        <v>156959</v>
      </c>
    </row>
    <row r="36" customFormat="false" ht="15" hidden="false" customHeight="false" outlineLevel="0" collapsed="false">
      <c r="A36" s="8"/>
      <c r="B36" s="13" t="n">
        <v>32</v>
      </c>
      <c r="C36" s="14" t="n">
        <v>3184</v>
      </c>
      <c r="D36" s="15" t="n">
        <v>156816</v>
      </c>
      <c r="E36" s="63" t="n">
        <f aca="false">'Color clustering'!E36</f>
        <v>9</v>
      </c>
      <c r="F36" s="64" t="n">
        <f aca="false">'Color clustering'!F36</f>
        <v>159991</v>
      </c>
      <c r="G36" s="63" t="n">
        <f aca="false">'Color clustering'!G36</f>
        <v>3185</v>
      </c>
      <c r="H36" s="63" t="n">
        <f aca="false">'Color clustering'!H36</f>
        <v>156815</v>
      </c>
      <c r="I36" s="14" t="n">
        <f aca="false">'Color classification'!E36</f>
        <v>26</v>
      </c>
      <c r="J36" s="16" t="n">
        <f aca="false">'Color classification'!F36</f>
        <v>159974</v>
      </c>
      <c r="K36" s="13" t="n">
        <f aca="false">'Color classification'!G36</f>
        <v>3186</v>
      </c>
      <c r="L36" s="15" t="n">
        <f aca="false">'Color classification'!H36</f>
        <v>156814</v>
      </c>
    </row>
    <row r="37" customFormat="false" ht="15" hidden="false" customHeight="false" outlineLevel="0" collapsed="false">
      <c r="A37" s="8"/>
      <c r="B37" s="13" t="n">
        <v>33</v>
      </c>
      <c r="C37" s="14" t="n">
        <v>3411</v>
      </c>
      <c r="D37" s="15" t="n">
        <v>156589</v>
      </c>
      <c r="E37" s="63" t="n">
        <f aca="false">'Color clustering'!E37</f>
        <v>2</v>
      </c>
      <c r="F37" s="64" t="n">
        <f aca="false">'Color clustering'!F37</f>
        <v>159998</v>
      </c>
      <c r="G37" s="63" t="n">
        <f aca="false">'Color clustering'!G37</f>
        <v>3409</v>
      </c>
      <c r="H37" s="63" t="n">
        <f aca="false">'Color clustering'!H37</f>
        <v>156591</v>
      </c>
      <c r="I37" s="14" t="n">
        <f aca="false">'Color classification'!E37</f>
        <v>6</v>
      </c>
      <c r="J37" s="16" t="n">
        <f aca="false">'Color classification'!F37</f>
        <v>159994</v>
      </c>
      <c r="K37" s="13" t="n">
        <f aca="false">'Color classification'!G37</f>
        <v>3413</v>
      </c>
      <c r="L37" s="15" t="n">
        <f aca="false">'Color classification'!H37</f>
        <v>156587</v>
      </c>
    </row>
    <row r="38" customFormat="false" ht="15" hidden="false" customHeight="false" outlineLevel="0" collapsed="false">
      <c r="A38" s="8"/>
      <c r="B38" s="13" t="n">
        <v>34</v>
      </c>
      <c r="C38" s="14" t="n">
        <v>3641</v>
      </c>
      <c r="D38" s="15" t="n">
        <v>156359</v>
      </c>
      <c r="E38" s="63" t="n">
        <f aca="false">'Color clustering'!E38</f>
        <v>410</v>
      </c>
      <c r="F38" s="64" t="n">
        <f aca="false">'Color clustering'!F38</f>
        <v>159590</v>
      </c>
      <c r="G38" s="63" t="n">
        <f aca="false">'Color clustering'!G38</f>
        <v>3641</v>
      </c>
      <c r="H38" s="63" t="n">
        <f aca="false">'Color clustering'!H38</f>
        <v>156359</v>
      </c>
      <c r="I38" s="14" t="n">
        <f aca="false">'Color classification'!E38</f>
        <v>17</v>
      </c>
      <c r="J38" s="16" t="n">
        <f aca="false">'Color classification'!F38</f>
        <v>159983</v>
      </c>
      <c r="K38" s="13" t="n">
        <f aca="false">'Color classification'!G38</f>
        <v>3642</v>
      </c>
      <c r="L38" s="15" t="n">
        <f aca="false">'Color classification'!H38</f>
        <v>156358</v>
      </c>
    </row>
    <row r="39" customFormat="false" ht="15" hidden="false" customHeight="false" outlineLevel="0" collapsed="false">
      <c r="A39" s="8"/>
      <c r="B39" s="13" t="n">
        <v>35</v>
      </c>
      <c r="C39" s="14" t="n">
        <v>3881</v>
      </c>
      <c r="D39" s="15" t="n">
        <v>156119</v>
      </c>
      <c r="E39" s="63" t="n">
        <f aca="false">'Color clustering'!E39</f>
        <v>25</v>
      </c>
      <c r="F39" s="64" t="n">
        <f aca="false">'Color clustering'!F39</f>
        <v>159975</v>
      </c>
      <c r="G39" s="63" t="n">
        <f aca="false">'Color clustering'!G39</f>
        <v>3898</v>
      </c>
      <c r="H39" s="63" t="n">
        <f aca="false">'Color clustering'!H39</f>
        <v>156102</v>
      </c>
      <c r="I39" s="14" t="n">
        <f aca="false">'Color classification'!E39</f>
        <v>31</v>
      </c>
      <c r="J39" s="16" t="n">
        <f aca="false">'Color classification'!F39</f>
        <v>159969</v>
      </c>
      <c r="K39" s="13" t="n">
        <f aca="false">'Color classification'!G39</f>
        <v>3899</v>
      </c>
      <c r="L39" s="15" t="n">
        <f aca="false">'Color classification'!H39</f>
        <v>156101</v>
      </c>
    </row>
    <row r="40" customFormat="false" ht="15" hidden="false" customHeight="false" outlineLevel="0" collapsed="false">
      <c r="A40" s="8"/>
      <c r="B40" s="13" t="n">
        <v>36</v>
      </c>
      <c r="C40" s="14" t="n">
        <v>4020</v>
      </c>
      <c r="D40" s="15" t="n">
        <v>155980</v>
      </c>
      <c r="E40" s="63" t="n">
        <f aca="false">'Color clustering'!E40</f>
        <v>141</v>
      </c>
      <c r="F40" s="64" t="n">
        <f aca="false">'Color clustering'!F40</f>
        <v>159859</v>
      </c>
      <c r="G40" s="63" t="n">
        <f aca="false">'Color clustering'!G40</f>
        <v>3997</v>
      </c>
      <c r="H40" s="63" t="n">
        <f aca="false">'Color clustering'!H40</f>
        <v>156003</v>
      </c>
      <c r="I40" s="14" t="n">
        <f aca="false">'Color classification'!E40</f>
        <v>592</v>
      </c>
      <c r="J40" s="16" t="n">
        <f aca="false">'Color classification'!F40</f>
        <v>159408</v>
      </c>
      <c r="K40" s="13" t="n">
        <f aca="false">'Color classification'!G40</f>
        <v>3998</v>
      </c>
      <c r="L40" s="15" t="n">
        <f aca="false">'Color classification'!H40</f>
        <v>156002</v>
      </c>
    </row>
    <row r="41" customFormat="false" ht="15" hidden="false" customHeight="false" outlineLevel="0" collapsed="false">
      <c r="A41" s="8"/>
      <c r="B41" s="13" t="n">
        <v>37</v>
      </c>
      <c r="C41" s="14" t="n">
        <v>4261</v>
      </c>
      <c r="D41" s="15" t="n">
        <v>155739</v>
      </c>
      <c r="E41" s="63" t="n">
        <f aca="false">'Color clustering'!E41</f>
        <v>38</v>
      </c>
      <c r="F41" s="64" t="n">
        <f aca="false">'Color clustering'!F41</f>
        <v>159962</v>
      </c>
      <c r="G41" s="63" t="n">
        <f aca="false">'Color clustering'!G41</f>
        <v>4261</v>
      </c>
      <c r="H41" s="63" t="n">
        <f aca="false">'Color clustering'!H41</f>
        <v>155739</v>
      </c>
      <c r="I41" s="14" t="n">
        <f aca="false">'Color classification'!E41</f>
        <v>8</v>
      </c>
      <c r="J41" s="16" t="n">
        <f aca="false">'Color classification'!F41</f>
        <v>159992</v>
      </c>
      <c r="K41" s="13" t="n">
        <f aca="false">'Color classification'!G41</f>
        <v>4262</v>
      </c>
      <c r="L41" s="15" t="n">
        <f aca="false">'Color classification'!H41</f>
        <v>155738</v>
      </c>
    </row>
    <row r="42" customFormat="false" ht="15" hidden="false" customHeight="false" outlineLevel="0" collapsed="false">
      <c r="A42" s="8"/>
      <c r="B42" s="13" t="n">
        <v>38</v>
      </c>
      <c r="C42" s="14" t="n">
        <v>4505</v>
      </c>
      <c r="D42" s="15" t="n">
        <v>155495</v>
      </c>
      <c r="E42" s="63" t="n">
        <f aca="false">'Color clustering'!E42</f>
        <v>22</v>
      </c>
      <c r="F42" s="64" t="n">
        <f aca="false">'Color clustering'!F42</f>
        <v>159978</v>
      </c>
      <c r="G42" s="63" t="n">
        <f aca="false">'Color clustering'!G42</f>
        <v>4504</v>
      </c>
      <c r="H42" s="63" t="n">
        <f aca="false">'Color clustering'!H42</f>
        <v>155496</v>
      </c>
      <c r="I42" s="14" t="n">
        <f aca="false">'Color classification'!E42</f>
        <v>114</v>
      </c>
      <c r="J42" s="16" t="n">
        <f aca="false">'Color classification'!F42</f>
        <v>159886</v>
      </c>
      <c r="K42" s="13" t="n">
        <f aca="false">'Color classification'!G42</f>
        <v>4505</v>
      </c>
      <c r="L42" s="15" t="n">
        <f aca="false">'Color classification'!H42</f>
        <v>155495</v>
      </c>
    </row>
    <row r="43" customFormat="false" ht="15" hidden="false" customHeight="false" outlineLevel="0" collapsed="false">
      <c r="A43" s="8"/>
      <c r="B43" s="13" t="n">
        <v>39</v>
      </c>
      <c r="C43" s="14" t="n">
        <v>4746</v>
      </c>
      <c r="D43" s="15" t="n">
        <v>155254</v>
      </c>
      <c r="E43" s="63" t="n">
        <f aca="false">'Color clustering'!E43</f>
        <v>478</v>
      </c>
      <c r="F43" s="64" t="n">
        <f aca="false">'Color clustering'!F43</f>
        <v>159522</v>
      </c>
      <c r="G43" s="63" t="n">
        <f aca="false">'Color clustering'!G43</f>
        <v>4746</v>
      </c>
      <c r="H43" s="63" t="n">
        <f aca="false">'Color clustering'!H43</f>
        <v>155254</v>
      </c>
      <c r="I43" s="14" t="n">
        <f aca="false">'Color classification'!E43</f>
        <v>80</v>
      </c>
      <c r="J43" s="16" t="n">
        <f aca="false">'Color classification'!F43</f>
        <v>159920</v>
      </c>
      <c r="K43" s="13" t="n">
        <f aca="false">'Color classification'!G43</f>
        <v>4745</v>
      </c>
      <c r="L43" s="15" t="n">
        <f aca="false">'Color classification'!H43</f>
        <v>155255</v>
      </c>
    </row>
    <row r="44" customFormat="false" ht="15" hidden="false" customHeight="false" outlineLevel="0" collapsed="false">
      <c r="A44" s="8"/>
      <c r="B44" s="13" t="n">
        <v>40</v>
      </c>
      <c r="C44" s="14" t="n">
        <v>4883</v>
      </c>
      <c r="D44" s="15" t="n">
        <v>155117</v>
      </c>
      <c r="E44" s="63" t="n">
        <f aca="false">'Color clustering'!E44</f>
        <v>1031</v>
      </c>
      <c r="F44" s="64" t="n">
        <f aca="false">'Color clustering'!F44</f>
        <v>158969</v>
      </c>
      <c r="G44" s="63" t="n">
        <f aca="false">'Color clustering'!G44</f>
        <v>4887</v>
      </c>
      <c r="H44" s="63" t="n">
        <f aca="false">'Color clustering'!H44</f>
        <v>155113</v>
      </c>
      <c r="I44" s="14" t="n">
        <f aca="false">'Color classification'!E44</f>
        <v>1037</v>
      </c>
      <c r="J44" s="16" t="n">
        <f aca="false">'Color classification'!F44</f>
        <v>158963</v>
      </c>
      <c r="K44" s="13" t="n">
        <f aca="false">'Color classification'!G44</f>
        <v>4888</v>
      </c>
      <c r="L44" s="15" t="n">
        <f aca="false">'Color classification'!H44</f>
        <v>155112</v>
      </c>
    </row>
    <row r="45" customFormat="false" ht="15" hidden="false" customHeight="false" outlineLevel="0" collapsed="false">
      <c r="A45" s="8"/>
      <c r="B45" s="13" t="n">
        <v>41</v>
      </c>
      <c r="C45" s="14" t="n">
        <v>5130</v>
      </c>
      <c r="D45" s="15" t="n">
        <v>154870</v>
      </c>
      <c r="E45" s="63" t="n">
        <f aca="false">'Color clustering'!E45</f>
        <v>11</v>
      </c>
      <c r="F45" s="64" t="n">
        <f aca="false">'Color clustering'!F45</f>
        <v>159989</v>
      </c>
      <c r="G45" s="63" t="n">
        <f aca="false">'Color clustering'!G45</f>
        <v>5104</v>
      </c>
      <c r="H45" s="63" t="n">
        <f aca="false">'Color clustering'!H45</f>
        <v>154896</v>
      </c>
      <c r="I45" s="14" t="n">
        <f aca="false">'Color classification'!E45</f>
        <v>18</v>
      </c>
      <c r="J45" s="16" t="n">
        <f aca="false">'Color classification'!F45</f>
        <v>159982</v>
      </c>
      <c r="K45" s="13" t="n">
        <f aca="false">'Color classification'!G45</f>
        <v>5105</v>
      </c>
      <c r="L45" s="15" t="n">
        <f aca="false">'Color classification'!H45</f>
        <v>154895</v>
      </c>
    </row>
    <row r="46" customFormat="false" ht="15" hidden="false" customHeight="false" outlineLevel="0" collapsed="false">
      <c r="A46" s="8"/>
      <c r="B46" s="13" t="n">
        <v>42</v>
      </c>
      <c r="C46" s="14" t="n">
        <v>5367</v>
      </c>
      <c r="D46" s="15" t="n">
        <v>154633</v>
      </c>
      <c r="E46" s="63" t="n">
        <f aca="false">'Color clustering'!E46</f>
        <v>0</v>
      </c>
      <c r="F46" s="64" t="n">
        <f aca="false">'Color clustering'!F46</f>
        <v>160000</v>
      </c>
      <c r="G46" s="63" t="n">
        <f aca="false">'Color clustering'!G46</f>
        <v>5368</v>
      </c>
      <c r="H46" s="63" t="n">
        <f aca="false">'Color clustering'!H46</f>
        <v>154632</v>
      </c>
      <c r="I46" s="14" t="n">
        <f aca="false">'Color classification'!E46</f>
        <v>746</v>
      </c>
      <c r="J46" s="16" t="n">
        <f aca="false">'Color classification'!F46</f>
        <v>159254</v>
      </c>
      <c r="K46" s="13" t="n">
        <f aca="false">'Color classification'!G46</f>
        <v>5369</v>
      </c>
      <c r="L46" s="15" t="n">
        <f aca="false">'Color classification'!H46</f>
        <v>154631</v>
      </c>
    </row>
    <row r="47" customFormat="false" ht="15" hidden="false" customHeight="false" outlineLevel="0" collapsed="false">
      <c r="A47" s="8"/>
      <c r="B47" s="13" t="n">
        <v>43</v>
      </c>
      <c r="C47" s="14" t="n">
        <v>5608</v>
      </c>
      <c r="D47" s="15" t="n">
        <v>154392</v>
      </c>
      <c r="E47" s="63" t="n">
        <f aca="false">'Color clustering'!E47</f>
        <v>19</v>
      </c>
      <c r="F47" s="64" t="n">
        <f aca="false">'Color clustering'!F47</f>
        <v>159981</v>
      </c>
      <c r="G47" s="63" t="n">
        <f aca="false">'Color clustering'!G47</f>
        <v>5608</v>
      </c>
      <c r="H47" s="63" t="n">
        <f aca="false">'Color clustering'!H47</f>
        <v>154392</v>
      </c>
      <c r="I47" s="14" t="n">
        <f aca="false">'Color classification'!E47</f>
        <v>28</v>
      </c>
      <c r="J47" s="16" t="n">
        <f aca="false">'Color classification'!F47</f>
        <v>159972</v>
      </c>
      <c r="K47" s="13" t="n">
        <f aca="false">'Color classification'!G47</f>
        <v>5609</v>
      </c>
      <c r="L47" s="15" t="n">
        <f aca="false">'Color classification'!H47</f>
        <v>154391</v>
      </c>
    </row>
    <row r="48" customFormat="false" ht="15" hidden="false" customHeight="false" outlineLevel="0" collapsed="false">
      <c r="A48" s="8"/>
      <c r="B48" s="13" t="n">
        <v>44</v>
      </c>
      <c r="C48" s="14" t="n">
        <v>5751</v>
      </c>
      <c r="D48" s="15" t="n">
        <v>154249</v>
      </c>
      <c r="E48" s="63" t="n">
        <f aca="false">'Color clustering'!E48</f>
        <v>26</v>
      </c>
      <c r="F48" s="64" t="n">
        <f aca="false">'Color clustering'!F48</f>
        <v>159974</v>
      </c>
      <c r="G48" s="63" t="n">
        <f aca="false">'Color clustering'!G48</f>
        <v>5748</v>
      </c>
      <c r="H48" s="63" t="n">
        <f aca="false">'Color clustering'!H48</f>
        <v>154252</v>
      </c>
      <c r="I48" s="14" t="n">
        <f aca="false">'Color classification'!E48</f>
        <v>15</v>
      </c>
      <c r="J48" s="16" t="n">
        <f aca="false">'Color classification'!F48</f>
        <v>159985</v>
      </c>
      <c r="K48" s="13" t="n">
        <f aca="false">'Color classification'!G48</f>
        <v>5749</v>
      </c>
      <c r="L48" s="15" t="n">
        <f aca="false">'Color classification'!H48</f>
        <v>154251</v>
      </c>
    </row>
    <row r="49" customFormat="false" ht="15" hidden="false" customHeight="false" outlineLevel="0" collapsed="false">
      <c r="A49" s="8"/>
      <c r="B49" s="13" t="n">
        <v>45</v>
      </c>
      <c r="C49" s="14" t="n">
        <v>5988</v>
      </c>
      <c r="D49" s="15" t="n">
        <v>154012</v>
      </c>
      <c r="E49" s="63" t="n">
        <f aca="false">'Color clustering'!E49</f>
        <v>10</v>
      </c>
      <c r="F49" s="64" t="n">
        <f aca="false">'Color clustering'!F49</f>
        <v>159990</v>
      </c>
      <c r="G49" s="63" t="n">
        <f aca="false">'Color clustering'!G49</f>
        <v>5964</v>
      </c>
      <c r="H49" s="63" t="n">
        <f aca="false">'Color clustering'!H49</f>
        <v>154036</v>
      </c>
      <c r="I49" s="14" t="n">
        <f aca="false">'Color classification'!E49</f>
        <v>61</v>
      </c>
      <c r="J49" s="16" t="n">
        <f aca="false">'Color classification'!F49</f>
        <v>159939</v>
      </c>
      <c r="K49" s="13" t="n">
        <f aca="false">'Color classification'!G49</f>
        <v>5965</v>
      </c>
      <c r="L49" s="15" t="n">
        <f aca="false">'Color classification'!H49</f>
        <v>154035</v>
      </c>
    </row>
    <row r="50" customFormat="false" ht="15" hidden="false" customHeight="false" outlineLevel="0" collapsed="false">
      <c r="A50" s="8"/>
      <c r="B50" s="13" t="n">
        <v>46</v>
      </c>
      <c r="C50" s="14" t="n">
        <v>6233</v>
      </c>
      <c r="D50" s="15" t="n">
        <v>153767</v>
      </c>
      <c r="E50" s="63" t="n">
        <f aca="false">'Color clustering'!E50</f>
        <v>15</v>
      </c>
      <c r="F50" s="64" t="n">
        <f aca="false">'Color clustering'!F50</f>
        <v>159985</v>
      </c>
      <c r="G50" s="63" t="n">
        <f aca="false">'Color clustering'!G50</f>
        <v>6233</v>
      </c>
      <c r="H50" s="63" t="n">
        <f aca="false">'Color clustering'!H50</f>
        <v>153767</v>
      </c>
      <c r="I50" s="14" t="n">
        <f aca="false">'Color classification'!E50</f>
        <v>6</v>
      </c>
      <c r="J50" s="16" t="n">
        <f aca="false">'Color classification'!F50</f>
        <v>159994</v>
      </c>
      <c r="K50" s="13" t="n">
        <f aca="false">'Color classification'!G50</f>
        <v>6234</v>
      </c>
      <c r="L50" s="15" t="n">
        <f aca="false">'Color classification'!H50</f>
        <v>153766</v>
      </c>
    </row>
    <row r="51" customFormat="false" ht="15" hidden="false" customHeight="false" outlineLevel="0" collapsed="false">
      <c r="A51" s="8"/>
      <c r="B51" s="13" t="n">
        <v>47</v>
      </c>
      <c r="C51" s="14" t="n">
        <v>6477</v>
      </c>
      <c r="D51" s="15" t="n">
        <v>153523</v>
      </c>
      <c r="E51" s="63" t="n">
        <f aca="false">'Color clustering'!E51</f>
        <v>760</v>
      </c>
      <c r="F51" s="64" t="n">
        <f aca="false">'Color clustering'!F51</f>
        <v>159240</v>
      </c>
      <c r="G51" s="63" t="n">
        <f aca="false">'Color clustering'!G51</f>
        <v>6480</v>
      </c>
      <c r="H51" s="63" t="n">
        <f aca="false">'Color clustering'!H51</f>
        <v>153520</v>
      </c>
      <c r="I51" s="14" t="n">
        <f aca="false">'Color classification'!E51</f>
        <v>349</v>
      </c>
      <c r="J51" s="16" t="n">
        <f aca="false">'Color classification'!F51</f>
        <v>159651</v>
      </c>
      <c r="K51" s="13" t="n">
        <f aca="false">'Color classification'!G51</f>
        <v>6479</v>
      </c>
      <c r="L51" s="15" t="n">
        <f aca="false">'Color classification'!H51</f>
        <v>153521</v>
      </c>
    </row>
    <row r="52" customFormat="false" ht="15" hidden="false" customHeight="false" outlineLevel="0" collapsed="false">
      <c r="A52" s="8"/>
      <c r="B52" s="13" t="n">
        <v>48</v>
      </c>
      <c r="C52" s="14" t="n">
        <v>6611</v>
      </c>
      <c r="D52" s="15" t="n">
        <v>153389</v>
      </c>
      <c r="E52" s="63" t="n">
        <f aca="false">'Color clustering'!E52</f>
        <v>74</v>
      </c>
      <c r="F52" s="64" t="n">
        <f aca="false">'Color clustering'!F52</f>
        <v>159926</v>
      </c>
      <c r="G52" s="63" t="n">
        <f aca="false">'Color clustering'!G52</f>
        <v>6538</v>
      </c>
      <c r="H52" s="63" t="n">
        <f aca="false">'Color clustering'!H52</f>
        <v>153462</v>
      </c>
      <c r="I52" s="14" t="n">
        <f aca="false">'Color classification'!E52</f>
        <v>105</v>
      </c>
      <c r="J52" s="16" t="n">
        <f aca="false">'Color classification'!F52</f>
        <v>159895</v>
      </c>
      <c r="K52" s="13" t="n">
        <f aca="false">'Color classification'!G52</f>
        <v>6539</v>
      </c>
      <c r="L52" s="15" t="n">
        <f aca="false">'Color classification'!H52</f>
        <v>153461</v>
      </c>
    </row>
    <row r="53" customFormat="false" ht="15" hidden="false" customHeight="false" outlineLevel="0" collapsed="false">
      <c r="A53" s="8"/>
      <c r="B53" s="13" t="n">
        <v>49</v>
      </c>
      <c r="C53" s="14" t="n">
        <v>6856</v>
      </c>
      <c r="D53" s="15" t="n">
        <v>153144</v>
      </c>
      <c r="E53" s="63" t="n">
        <f aca="false">'Color clustering'!E53</f>
        <v>312</v>
      </c>
      <c r="F53" s="64" t="n">
        <f aca="false">'Color clustering'!F53</f>
        <v>159688</v>
      </c>
      <c r="G53" s="63" t="n">
        <f aca="false">'Color clustering'!G53</f>
        <v>6864</v>
      </c>
      <c r="H53" s="63" t="n">
        <f aca="false">'Color clustering'!H53</f>
        <v>153136</v>
      </c>
      <c r="I53" s="14" t="n">
        <f aca="false">'Color classification'!E53</f>
        <v>103</v>
      </c>
      <c r="J53" s="16" t="n">
        <f aca="false">'Color classification'!F53</f>
        <v>159897</v>
      </c>
      <c r="K53" s="13" t="n">
        <f aca="false">'Color classification'!G53</f>
        <v>6865</v>
      </c>
      <c r="L53" s="15" t="n">
        <f aca="false">'Color classification'!H53</f>
        <v>153135</v>
      </c>
    </row>
    <row r="54" customFormat="false" ht="15" hidden="false" customHeight="false" outlineLevel="0" collapsed="false">
      <c r="A54" s="8"/>
      <c r="B54" s="13" t="n">
        <v>50</v>
      </c>
      <c r="C54" s="14" t="n">
        <v>7087</v>
      </c>
      <c r="D54" s="15" t="n">
        <v>152913</v>
      </c>
      <c r="E54" s="63" t="n">
        <f aca="false">'Color clustering'!E54</f>
        <v>69</v>
      </c>
      <c r="F54" s="64" t="n">
        <f aca="false">'Color clustering'!F54</f>
        <v>159931</v>
      </c>
      <c r="G54" s="63" t="n">
        <f aca="false">'Color clustering'!G54</f>
        <v>7057</v>
      </c>
      <c r="H54" s="63" t="n">
        <f aca="false">'Color clustering'!H54</f>
        <v>152943</v>
      </c>
      <c r="I54" s="14" t="n">
        <f aca="false">'Color classification'!E54</f>
        <v>249</v>
      </c>
      <c r="J54" s="16" t="n">
        <f aca="false">'Color classification'!F54</f>
        <v>159751</v>
      </c>
      <c r="K54" s="13" t="n">
        <f aca="false">'Color classification'!G54</f>
        <v>7059</v>
      </c>
      <c r="L54" s="15" t="n">
        <f aca="false">'Color classification'!H54</f>
        <v>152941</v>
      </c>
    </row>
    <row r="55" customFormat="false" ht="15" hidden="false" customHeight="false" outlineLevel="0" collapsed="false">
      <c r="A55" s="8"/>
      <c r="B55" s="13" t="n">
        <v>51</v>
      </c>
      <c r="C55" s="14" t="n">
        <v>7310</v>
      </c>
      <c r="D55" s="15" t="n">
        <v>152690</v>
      </c>
      <c r="E55" s="63" t="n">
        <f aca="false">'Color clustering'!E55</f>
        <v>114</v>
      </c>
      <c r="F55" s="64" t="n">
        <f aca="false">'Color clustering'!F55</f>
        <v>159886</v>
      </c>
      <c r="G55" s="63" t="n">
        <f aca="false">'Color clustering'!G55</f>
        <v>7310</v>
      </c>
      <c r="H55" s="63" t="n">
        <f aca="false">'Color clustering'!H55</f>
        <v>152690</v>
      </c>
      <c r="I55" s="14" t="n">
        <f aca="false">'Color classification'!E55</f>
        <v>46</v>
      </c>
      <c r="J55" s="16" t="n">
        <f aca="false">'Color classification'!F55</f>
        <v>159954</v>
      </c>
      <c r="K55" s="13" t="n">
        <f aca="false">'Color classification'!G55</f>
        <v>7309</v>
      </c>
      <c r="L55" s="15" t="n">
        <f aca="false">'Color classification'!H55</f>
        <v>152691</v>
      </c>
    </row>
    <row r="56" customFormat="false" ht="15" hidden="false" customHeight="false" outlineLevel="0" collapsed="false">
      <c r="A56" s="8"/>
      <c r="B56" s="13" t="n">
        <v>52</v>
      </c>
      <c r="C56" s="14" t="n">
        <v>7441</v>
      </c>
      <c r="D56" s="15" t="n">
        <v>152559</v>
      </c>
      <c r="E56" s="63" t="n">
        <f aca="false">'Color clustering'!E56</f>
        <v>12</v>
      </c>
      <c r="F56" s="64" t="n">
        <f aca="false">'Color clustering'!F56</f>
        <v>159988</v>
      </c>
      <c r="G56" s="63" t="n">
        <f aca="false">'Color clustering'!G56</f>
        <v>7440</v>
      </c>
      <c r="H56" s="63" t="n">
        <f aca="false">'Color clustering'!H56</f>
        <v>152560</v>
      </c>
      <c r="I56" s="14" t="n">
        <f aca="false">'Color classification'!E56</f>
        <v>162</v>
      </c>
      <c r="J56" s="16" t="n">
        <f aca="false">'Color classification'!F56</f>
        <v>159838</v>
      </c>
      <c r="K56" s="13" t="n">
        <f aca="false">'Color classification'!G56</f>
        <v>7439</v>
      </c>
      <c r="L56" s="15" t="n">
        <f aca="false">'Color classification'!H56</f>
        <v>152561</v>
      </c>
    </row>
    <row r="57" customFormat="false" ht="15" hidden="false" customHeight="false" outlineLevel="0" collapsed="false">
      <c r="A57" s="8"/>
      <c r="B57" s="13" t="n">
        <v>53</v>
      </c>
      <c r="C57" s="14" t="n">
        <v>7650</v>
      </c>
      <c r="D57" s="15" t="n">
        <v>152350</v>
      </c>
      <c r="E57" s="63" t="n">
        <f aca="false">'Color clustering'!E57</f>
        <v>1715</v>
      </c>
      <c r="F57" s="64" t="n">
        <f aca="false">'Color clustering'!F57</f>
        <v>158285</v>
      </c>
      <c r="G57" s="63" t="n">
        <f aca="false">'Color clustering'!G57</f>
        <v>7648</v>
      </c>
      <c r="H57" s="63" t="n">
        <f aca="false">'Color clustering'!H57</f>
        <v>152352</v>
      </c>
      <c r="I57" s="14" t="n">
        <f aca="false">'Color classification'!E57</f>
        <v>85</v>
      </c>
      <c r="J57" s="16" t="n">
        <f aca="false">'Color classification'!F57</f>
        <v>159915</v>
      </c>
      <c r="K57" s="13" t="n">
        <f aca="false">'Color classification'!G57</f>
        <v>7652</v>
      </c>
      <c r="L57" s="15" t="n">
        <f aca="false">'Color classification'!H57</f>
        <v>152348</v>
      </c>
    </row>
    <row r="58" customFormat="false" ht="15" hidden="false" customHeight="false" outlineLevel="0" collapsed="false">
      <c r="A58" s="8"/>
      <c r="B58" s="13" t="n">
        <v>54</v>
      </c>
      <c r="C58" s="14" t="n">
        <v>7858</v>
      </c>
      <c r="D58" s="15" t="n">
        <v>152142</v>
      </c>
      <c r="E58" s="63" t="n">
        <f aca="false">'Color clustering'!E58</f>
        <v>76</v>
      </c>
      <c r="F58" s="64" t="n">
        <f aca="false">'Color clustering'!F58</f>
        <v>159924</v>
      </c>
      <c r="G58" s="63" t="n">
        <f aca="false">'Color clustering'!G58</f>
        <v>7865</v>
      </c>
      <c r="H58" s="63" t="n">
        <f aca="false">'Color clustering'!H58</f>
        <v>152135</v>
      </c>
      <c r="I58" s="14" t="n">
        <f aca="false">'Color classification'!E58</f>
        <v>2800</v>
      </c>
      <c r="J58" s="16" t="n">
        <f aca="false">'Color classification'!F58</f>
        <v>157200</v>
      </c>
      <c r="K58" s="13" t="n">
        <f aca="false">'Color classification'!G58</f>
        <v>7863</v>
      </c>
      <c r="L58" s="15" t="n">
        <f aca="false">'Color classification'!H58</f>
        <v>152137</v>
      </c>
    </row>
    <row r="59" customFormat="false" ht="15" hidden="false" customHeight="false" outlineLevel="0" collapsed="false">
      <c r="A59" s="8"/>
      <c r="B59" s="13" t="n">
        <v>55</v>
      </c>
      <c r="C59" s="14" t="n">
        <v>8058</v>
      </c>
      <c r="D59" s="15" t="n">
        <v>151942</v>
      </c>
      <c r="E59" s="63" t="n">
        <f aca="false">'Color clustering'!E59</f>
        <v>50</v>
      </c>
      <c r="F59" s="64" t="n">
        <f aca="false">'Color clustering'!F59</f>
        <v>159950</v>
      </c>
      <c r="G59" s="63" t="n">
        <f aca="false">'Color clustering'!G59</f>
        <v>8061</v>
      </c>
      <c r="H59" s="63" t="n">
        <f aca="false">'Color clustering'!H59</f>
        <v>151939</v>
      </c>
      <c r="I59" s="14" t="n">
        <f aca="false">'Color classification'!E59</f>
        <v>43</v>
      </c>
      <c r="J59" s="16" t="n">
        <f aca="false">'Color classification'!F59</f>
        <v>159957</v>
      </c>
      <c r="K59" s="13" t="n">
        <f aca="false">'Color classification'!G59</f>
        <v>8059</v>
      </c>
      <c r="L59" s="15" t="n">
        <f aca="false">'Color classification'!H59</f>
        <v>151941</v>
      </c>
    </row>
    <row r="60" customFormat="false" ht="15" hidden="false" customHeight="false" outlineLevel="0" collapsed="false">
      <c r="A60" s="8"/>
      <c r="B60" s="13" t="n">
        <v>56</v>
      </c>
      <c r="C60" s="14" t="n">
        <v>8166</v>
      </c>
      <c r="D60" s="15" t="n">
        <v>151834</v>
      </c>
      <c r="E60" s="63" t="n">
        <f aca="false">'Color clustering'!E60</f>
        <v>447</v>
      </c>
      <c r="F60" s="64" t="n">
        <f aca="false">'Color clustering'!F60</f>
        <v>159553</v>
      </c>
      <c r="G60" s="63" t="n">
        <f aca="false">'Color clustering'!G60</f>
        <v>8146</v>
      </c>
      <c r="H60" s="63" t="n">
        <f aca="false">'Color clustering'!H60</f>
        <v>151854</v>
      </c>
      <c r="I60" s="14" t="n">
        <f aca="false">'Color classification'!E60</f>
        <v>1235</v>
      </c>
      <c r="J60" s="16" t="n">
        <f aca="false">'Color classification'!F60</f>
        <v>158765</v>
      </c>
      <c r="K60" s="13" t="n">
        <f aca="false">'Color classification'!G60</f>
        <v>8148</v>
      </c>
      <c r="L60" s="15" t="n">
        <f aca="false">'Color classification'!H60</f>
        <v>151852</v>
      </c>
    </row>
    <row r="61" customFormat="false" ht="15" hidden="false" customHeight="false" outlineLevel="0" collapsed="false">
      <c r="A61" s="8"/>
      <c r="B61" s="13" t="n">
        <v>57</v>
      </c>
      <c r="C61" s="14" t="n">
        <v>8348</v>
      </c>
      <c r="D61" s="15" t="n">
        <v>151652</v>
      </c>
      <c r="E61" s="63" t="n">
        <f aca="false">'Color clustering'!E61</f>
        <v>46</v>
      </c>
      <c r="F61" s="64" t="n">
        <f aca="false">'Color clustering'!F61</f>
        <v>159954</v>
      </c>
      <c r="G61" s="63" t="n">
        <f aca="false">'Color clustering'!G61</f>
        <v>8348</v>
      </c>
      <c r="H61" s="63" t="n">
        <f aca="false">'Color clustering'!H61</f>
        <v>151652</v>
      </c>
      <c r="I61" s="14" t="n">
        <f aca="false">'Color classification'!E61</f>
        <v>18</v>
      </c>
      <c r="J61" s="16" t="n">
        <f aca="false">'Color classification'!F61</f>
        <v>159982</v>
      </c>
      <c r="K61" s="13" t="n">
        <f aca="false">'Color classification'!G61</f>
        <v>8354</v>
      </c>
      <c r="L61" s="15" t="n">
        <f aca="false">'Color classification'!H61</f>
        <v>151646</v>
      </c>
    </row>
    <row r="62" customFormat="false" ht="15" hidden="false" customHeight="false" outlineLevel="0" collapsed="false">
      <c r="A62" s="8"/>
      <c r="B62" s="13" t="n">
        <v>58</v>
      </c>
      <c r="C62" s="14" t="n">
        <v>8523</v>
      </c>
      <c r="D62" s="15" t="n">
        <v>151477</v>
      </c>
      <c r="E62" s="63" t="n">
        <f aca="false">'Color clustering'!E62</f>
        <v>38</v>
      </c>
      <c r="F62" s="64" t="n">
        <f aca="false">'Color clustering'!F62</f>
        <v>159962</v>
      </c>
      <c r="G62" s="63" t="n">
        <f aca="false">'Color clustering'!G62</f>
        <v>8501</v>
      </c>
      <c r="H62" s="63" t="n">
        <f aca="false">'Color clustering'!H62</f>
        <v>151499</v>
      </c>
      <c r="I62" s="14" t="n">
        <f aca="false">'Color classification'!E62</f>
        <v>8</v>
      </c>
      <c r="J62" s="16" t="n">
        <f aca="false">'Color classification'!F62</f>
        <v>159992</v>
      </c>
      <c r="K62" s="13" t="n">
        <f aca="false">'Color classification'!G62</f>
        <v>8505</v>
      </c>
      <c r="L62" s="15" t="n">
        <f aca="false">'Color classification'!H62</f>
        <v>151495</v>
      </c>
    </row>
    <row r="63" customFormat="false" ht="15" hidden="false" customHeight="false" outlineLevel="0" collapsed="false">
      <c r="A63" s="8"/>
      <c r="B63" s="13" t="n">
        <v>59</v>
      </c>
      <c r="C63" s="14" t="n">
        <v>8677</v>
      </c>
      <c r="D63" s="15" t="n">
        <v>151323</v>
      </c>
      <c r="E63" s="63" t="n">
        <f aca="false">'Color clustering'!E63</f>
        <v>312</v>
      </c>
      <c r="F63" s="64" t="n">
        <f aca="false">'Color clustering'!F63</f>
        <v>159688</v>
      </c>
      <c r="G63" s="63" t="n">
        <f aca="false">'Color clustering'!G63</f>
        <v>8678</v>
      </c>
      <c r="H63" s="63" t="n">
        <f aca="false">'Color clustering'!H63</f>
        <v>151322</v>
      </c>
      <c r="I63" s="14" t="n">
        <f aca="false">'Color classification'!E63</f>
        <v>1380</v>
      </c>
      <c r="J63" s="16" t="n">
        <f aca="false">'Color classification'!F63</f>
        <v>158620</v>
      </c>
      <c r="K63" s="13" t="n">
        <f aca="false">'Color classification'!G63</f>
        <v>8681</v>
      </c>
      <c r="L63" s="15" t="n">
        <f aca="false">'Color classification'!H63</f>
        <v>151319</v>
      </c>
    </row>
    <row r="64" customFormat="false" ht="15" hidden="false" customHeight="false" outlineLevel="0" collapsed="false">
      <c r="A64" s="8"/>
      <c r="B64" s="13" t="n">
        <v>60</v>
      </c>
      <c r="C64" s="14" t="n">
        <v>8749</v>
      </c>
      <c r="D64" s="15" t="n">
        <v>151251</v>
      </c>
      <c r="E64" s="63" t="n">
        <f aca="false">'Color clustering'!E64</f>
        <v>28</v>
      </c>
      <c r="F64" s="64" t="n">
        <f aca="false">'Color clustering'!F64</f>
        <v>159972</v>
      </c>
      <c r="G64" s="63" t="n">
        <f aca="false">'Color clustering'!G64</f>
        <v>8751</v>
      </c>
      <c r="H64" s="63" t="n">
        <f aca="false">'Color clustering'!H64</f>
        <v>151249</v>
      </c>
      <c r="I64" s="14" t="n">
        <f aca="false">'Color classification'!E64</f>
        <v>116</v>
      </c>
      <c r="J64" s="16" t="n">
        <f aca="false">'Color classification'!F64</f>
        <v>159884</v>
      </c>
      <c r="K64" s="13" t="n">
        <f aca="false">'Color classification'!G64</f>
        <v>8749</v>
      </c>
      <c r="L64" s="15" t="n">
        <f aca="false">'Color classification'!H64</f>
        <v>151251</v>
      </c>
    </row>
    <row r="65" customFormat="false" ht="15" hidden="false" customHeight="false" outlineLevel="0" collapsed="false">
      <c r="A65" s="8"/>
      <c r="B65" s="13" t="n">
        <v>61</v>
      </c>
      <c r="C65" s="14" t="n">
        <v>8894</v>
      </c>
      <c r="D65" s="15" t="n">
        <v>151106</v>
      </c>
      <c r="E65" s="63" t="n">
        <f aca="false">'Color clustering'!E65</f>
        <v>29</v>
      </c>
      <c r="F65" s="64" t="n">
        <f aca="false">'Color clustering'!F65</f>
        <v>159971</v>
      </c>
      <c r="G65" s="63" t="n">
        <f aca="false">'Color clustering'!G65</f>
        <v>8892</v>
      </c>
      <c r="H65" s="63" t="n">
        <f aca="false">'Color clustering'!H65</f>
        <v>151108</v>
      </c>
      <c r="I65" s="14" t="n">
        <f aca="false">'Color classification'!E65</f>
        <v>752</v>
      </c>
      <c r="J65" s="16" t="n">
        <f aca="false">'Color classification'!F65</f>
        <v>159248</v>
      </c>
      <c r="K65" s="13" t="n">
        <f aca="false">'Color classification'!G65</f>
        <v>8894</v>
      </c>
      <c r="L65" s="15" t="n">
        <f aca="false">'Color classification'!H65</f>
        <v>151106</v>
      </c>
    </row>
    <row r="66" customFormat="false" ht="15" hidden="false" customHeight="false" outlineLevel="0" collapsed="false">
      <c r="A66" s="8"/>
      <c r="B66" s="13" t="n">
        <v>62</v>
      </c>
      <c r="C66" s="14" t="n">
        <v>9011</v>
      </c>
      <c r="D66" s="15" t="n">
        <v>150989</v>
      </c>
      <c r="E66" s="63" t="n">
        <f aca="false">'Color clustering'!E66</f>
        <v>12</v>
      </c>
      <c r="F66" s="64" t="n">
        <f aca="false">'Color clustering'!F66</f>
        <v>159988</v>
      </c>
      <c r="G66" s="63" t="n">
        <f aca="false">'Color clustering'!G66</f>
        <v>8978</v>
      </c>
      <c r="H66" s="63" t="n">
        <f aca="false">'Color clustering'!H66</f>
        <v>151022</v>
      </c>
      <c r="I66" s="14" t="n">
        <f aca="false">'Color classification'!E66</f>
        <v>620</v>
      </c>
      <c r="J66" s="16" t="n">
        <f aca="false">'Color classification'!F66</f>
        <v>159380</v>
      </c>
      <c r="K66" s="13" t="n">
        <f aca="false">'Color classification'!G66</f>
        <v>8976</v>
      </c>
      <c r="L66" s="15" t="n">
        <f aca="false">'Color classification'!H66</f>
        <v>151024</v>
      </c>
    </row>
    <row r="67" customFormat="false" ht="15" hidden="false" customHeight="false" outlineLevel="0" collapsed="false">
      <c r="A67" s="8"/>
      <c r="B67" s="13" t="n">
        <v>63</v>
      </c>
      <c r="C67" s="14" t="n">
        <v>9108</v>
      </c>
      <c r="D67" s="15" t="n">
        <v>150892</v>
      </c>
      <c r="E67" s="63" t="n">
        <f aca="false">'Color clustering'!E67</f>
        <v>43</v>
      </c>
      <c r="F67" s="64" t="n">
        <f aca="false">'Color clustering'!F67</f>
        <v>159957</v>
      </c>
      <c r="G67" s="63" t="n">
        <f aca="false">'Color clustering'!G67</f>
        <v>9109</v>
      </c>
      <c r="H67" s="63" t="n">
        <f aca="false">'Color clustering'!H67</f>
        <v>150891</v>
      </c>
      <c r="I67" s="14" t="n">
        <f aca="false">'Color classification'!E67</f>
        <v>14</v>
      </c>
      <c r="J67" s="16" t="n">
        <f aca="false">'Color classification'!F67</f>
        <v>159986</v>
      </c>
      <c r="K67" s="13" t="n">
        <f aca="false">'Color classification'!G67</f>
        <v>9106</v>
      </c>
      <c r="L67" s="15" t="n">
        <f aca="false">'Color classification'!H67</f>
        <v>150894</v>
      </c>
    </row>
    <row r="68" customFormat="false" ht="15" hidden="false" customHeight="false" outlineLevel="0" collapsed="false">
      <c r="A68" s="8"/>
      <c r="B68" s="13" t="n">
        <v>64</v>
      </c>
      <c r="C68" s="14" t="n">
        <v>9142</v>
      </c>
      <c r="D68" s="15" t="n">
        <v>150858</v>
      </c>
      <c r="E68" s="63" t="n">
        <f aca="false">'Color clustering'!E68</f>
        <v>163</v>
      </c>
      <c r="F68" s="64" t="n">
        <f aca="false">'Color clustering'!F68</f>
        <v>159837</v>
      </c>
      <c r="G68" s="63" t="n">
        <f aca="false">'Color clustering'!G68</f>
        <v>9134</v>
      </c>
      <c r="H68" s="63" t="n">
        <f aca="false">'Color clustering'!H68</f>
        <v>150866</v>
      </c>
      <c r="I68" s="14" t="n">
        <f aca="false">'Color classification'!E68</f>
        <v>16</v>
      </c>
      <c r="J68" s="16" t="n">
        <f aca="false">'Color classification'!F68</f>
        <v>159984</v>
      </c>
      <c r="K68" s="13" t="n">
        <f aca="false">'Color classification'!G68</f>
        <v>9135</v>
      </c>
      <c r="L68" s="15" t="n">
        <f aca="false">'Color classification'!H68</f>
        <v>150865</v>
      </c>
    </row>
    <row r="69" customFormat="false" ht="15" hidden="false" customHeight="false" outlineLevel="0" collapsed="false">
      <c r="A69" s="8"/>
      <c r="B69" s="13" t="n">
        <v>65</v>
      </c>
      <c r="C69" s="14" t="n">
        <v>9240</v>
      </c>
      <c r="D69" s="15" t="n">
        <v>150760</v>
      </c>
      <c r="E69" s="63" t="n">
        <f aca="false">'Color clustering'!E69</f>
        <v>12</v>
      </c>
      <c r="F69" s="64" t="n">
        <f aca="false">'Color clustering'!F69</f>
        <v>159988</v>
      </c>
      <c r="G69" s="63" t="n">
        <f aca="false">'Color clustering'!G69</f>
        <v>9218</v>
      </c>
      <c r="H69" s="63" t="n">
        <f aca="false">'Color clustering'!H69</f>
        <v>150782</v>
      </c>
      <c r="I69" s="14" t="n">
        <f aca="false">'Color classification'!E69</f>
        <v>19</v>
      </c>
      <c r="J69" s="16" t="n">
        <f aca="false">'Color classification'!F69</f>
        <v>159981</v>
      </c>
      <c r="K69" s="13" t="n">
        <f aca="false">'Color classification'!G69</f>
        <v>9221</v>
      </c>
      <c r="L69" s="15" t="n">
        <f aca="false">'Color classification'!H69</f>
        <v>150779</v>
      </c>
    </row>
    <row r="70" customFormat="false" ht="15" hidden="false" customHeight="false" outlineLevel="0" collapsed="false">
      <c r="A70" s="8"/>
      <c r="B70" s="13" t="n">
        <v>66</v>
      </c>
      <c r="C70" s="14" t="n">
        <v>9298</v>
      </c>
      <c r="D70" s="15" t="n">
        <v>150702</v>
      </c>
      <c r="E70" s="63" t="n">
        <f aca="false">'Color clustering'!E70</f>
        <v>768</v>
      </c>
      <c r="F70" s="64" t="n">
        <f aca="false">'Color clustering'!F70</f>
        <v>159232</v>
      </c>
      <c r="G70" s="63" t="n">
        <f aca="false">'Color clustering'!G70</f>
        <v>9293</v>
      </c>
      <c r="H70" s="63" t="n">
        <f aca="false">'Color clustering'!H70</f>
        <v>150707</v>
      </c>
      <c r="I70" s="14" t="n">
        <f aca="false">'Color classification'!E70</f>
        <v>7</v>
      </c>
      <c r="J70" s="16" t="n">
        <f aca="false">'Color classification'!F70</f>
        <v>159993</v>
      </c>
      <c r="K70" s="13" t="n">
        <f aca="false">'Color classification'!G70</f>
        <v>9294</v>
      </c>
      <c r="L70" s="15" t="n">
        <f aca="false">'Color classification'!H70</f>
        <v>150706</v>
      </c>
    </row>
    <row r="71" customFormat="false" ht="15" hidden="false" customHeight="false" outlineLevel="0" collapsed="false">
      <c r="A71" s="8"/>
      <c r="B71" s="13" t="n">
        <v>67</v>
      </c>
      <c r="C71" s="14" t="n">
        <v>9352</v>
      </c>
      <c r="D71" s="15" t="n">
        <v>150648</v>
      </c>
      <c r="E71" s="63" t="n">
        <f aca="false">'Color clustering'!E71</f>
        <v>119</v>
      </c>
      <c r="F71" s="64" t="n">
        <f aca="false">'Color clustering'!F71</f>
        <v>159881</v>
      </c>
      <c r="G71" s="63" t="n">
        <f aca="false">'Color clustering'!G71</f>
        <v>9377</v>
      </c>
      <c r="H71" s="63" t="n">
        <f aca="false">'Color clustering'!H71</f>
        <v>150623</v>
      </c>
      <c r="I71" s="14" t="n">
        <f aca="false">'Color classification'!E71</f>
        <v>25</v>
      </c>
      <c r="J71" s="16" t="n">
        <f aca="false">'Color classification'!F71</f>
        <v>159975</v>
      </c>
      <c r="K71" s="13" t="n">
        <f aca="false">'Color classification'!G71</f>
        <v>9378</v>
      </c>
      <c r="L71" s="15" t="n">
        <f aca="false">'Color classification'!H71</f>
        <v>150622</v>
      </c>
    </row>
    <row r="72" customFormat="false" ht="15" hidden="false" customHeight="false" outlineLevel="0" collapsed="false">
      <c r="A72" s="8"/>
      <c r="B72" s="13" t="n">
        <v>68</v>
      </c>
      <c r="C72" s="14" t="n">
        <v>9333</v>
      </c>
      <c r="D72" s="15" t="n">
        <v>150667</v>
      </c>
      <c r="E72" s="63" t="n">
        <f aca="false">'Color clustering'!E72</f>
        <v>5</v>
      </c>
      <c r="F72" s="64" t="n">
        <f aca="false">'Color clustering'!F72</f>
        <v>159995</v>
      </c>
      <c r="G72" s="63" t="n">
        <f aca="false">'Color clustering'!G72</f>
        <v>9337</v>
      </c>
      <c r="H72" s="63" t="n">
        <f aca="false">'Color clustering'!H72</f>
        <v>150663</v>
      </c>
      <c r="I72" s="14" t="n">
        <f aca="false">'Color classification'!E72</f>
        <v>12</v>
      </c>
      <c r="J72" s="16" t="n">
        <f aca="false">'Color classification'!F72</f>
        <v>159988</v>
      </c>
      <c r="K72" s="13" t="n">
        <f aca="false">'Color classification'!G72</f>
        <v>9337</v>
      </c>
      <c r="L72" s="15" t="n">
        <f aca="false">'Color classification'!H72</f>
        <v>150663</v>
      </c>
    </row>
    <row r="73" customFormat="false" ht="15" hidden="false" customHeight="false" outlineLevel="0" collapsed="false">
      <c r="A73" s="8"/>
      <c r="B73" s="13" t="n">
        <v>69</v>
      </c>
      <c r="C73" s="14" t="n">
        <v>9391</v>
      </c>
      <c r="D73" s="15" t="n">
        <v>150609</v>
      </c>
      <c r="E73" s="63" t="n">
        <f aca="false">'Color clustering'!E73</f>
        <v>21</v>
      </c>
      <c r="F73" s="64" t="n">
        <f aca="false">'Color clustering'!F73</f>
        <v>159979</v>
      </c>
      <c r="G73" s="63" t="n">
        <f aca="false">'Color clustering'!G73</f>
        <v>9390</v>
      </c>
      <c r="H73" s="63" t="n">
        <f aca="false">'Color clustering'!H73</f>
        <v>150610</v>
      </c>
      <c r="I73" s="14" t="n">
        <f aca="false">'Color classification'!E73</f>
        <v>530</v>
      </c>
      <c r="J73" s="16" t="n">
        <f aca="false">'Color classification'!F73</f>
        <v>159470</v>
      </c>
      <c r="K73" s="13" t="n">
        <f aca="false">'Color classification'!G73</f>
        <v>9394</v>
      </c>
      <c r="L73" s="15" t="n">
        <f aca="false">'Color classification'!H73</f>
        <v>150606</v>
      </c>
    </row>
    <row r="74" customFormat="false" ht="15" hidden="false" customHeight="false" outlineLevel="0" collapsed="false">
      <c r="A74" s="8"/>
      <c r="B74" s="13" t="n">
        <v>70</v>
      </c>
      <c r="C74" s="14" t="n">
        <v>9401</v>
      </c>
      <c r="D74" s="15" t="n">
        <v>150599</v>
      </c>
      <c r="E74" s="63" t="n">
        <f aca="false">'Color clustering'!E74</f>
        <v>39</v>
      </c>
      <c r="F74" s="64" t="n">
        <f aca="false">'Color clustering'!F74</f>
        <v>159961</v>
      </c>
      <c r="G74" s="63" t="n">
        <f aca="false">'Color clustering'!G74</f>
        <v>9404</v>
      </c>
      <c r="H74" s="63" t="n">
        <f aca="false">'Color clustering'!H74</f>
        <v>150596</v>
      </c>
      <c r="I74" s="14" t="n">
        <f aca="false">'Color classification'!E74</f>
        <v>58</v>
      </c>
      <c r="J74" s="16" t="n">
        <f aca="false">'Color classification'!F74</f>
        <v>159942</v>
      </c>
      <c r="K74" s="13" t="n">
        <f aca="false">'Color classification'!G74</f>
        <v>9405</v>
      </c>
      <c r="L74" s="15" t="n">
        <f aca="false">'Color classification'!H74</f>
        <v>150595</v>
      </c>
    </row>
    <row r="75" customFormat="false" ht="15" hidden="false" customHeight="false" outlineLevel="0" collapsed="false">
      <c r="A75" s="8"/>
      <c r="B75" s="13" t="n">
        <v>71</v>
      </c>
      <c r="C75" s="14" t="n">
        <v>9391</v>
      </c>
      <c r="D75" s="15" t="n">
        <v>150609</v>
      </c>
      <c r="E75" s="63" t="n">
        <f aca="false">'Color clustering'!E75</f>
        <v>126</v>
      </c>
      <c r="F75" s="64" t="n">
        <f aca="false">'Color clustering'!F75</f>
        <v>159874</v>
      </c>
      <c r="G75" s="63" t="n">
        <f aca="false">'Color clustering'!G75</f>
        <v>9390</v>
      </c>
      <c r="H75" s="63" t="n">
        <f aca="false">'Color clustering'!H75</f>
        <v>150610</v>
      </c>
      <c r="I75" s="14" t="n">
        <f aca="false">'Color classification'!E75</f>
        <v>80</v>
      </c>
      <c r="J75" s="16" t="n">
        <f aca="false">'Color classification'!F75</f>
        <v>159920</v>
      </c>
      <c r="K75" s="13" t="n">
        <f aca="false">'Color classification'!G75</f>
        <v>9389</v>
      </c>
      <c r="L75" s="15" t="n">
        <f aca="false">'Color classification'!H75</f>
        <v>150611</v>
      </c>
    </row>
    <row r="76" customFormat="false" ht="15" hidden="false" customHeight="false" outlineLevel="0" collapsed="false">
      <c r="A76" s="8"/>
      <c r="B76" s="13" t="n">
        <v>72</v>
      </c>
      <c r="C76" s="14" t="n">
        <v>9333</v>
      </c>
      <c r="D76" s="15" t="n">
        <v>150667</v>
      </c>
      <c r="E76" s="63" t="n">
        <f aca="false">'Color clustering'!E76</f>
        <v>427</v>
      </c>
      <c r="F76" s="64" t="n">
        <f aca="false">'Color clustering'!F76</f>
        <v>159573</v>
      </c>
      <c r="G76" s="63" t="n">
        <f aca="false">'Color clustering'!G76</f>
        <v>9336</v>
      </c>
      <c r="H76" s="63" t="n">
        <f aca="false">'Color clustering'!H76</f>
        <v>150664</v>
      </c>
      <c r="I76" s="14" t="n">
        <f aca="false">'Color classification'!E76</f>
        <v>1261</v>
      </c>
      <c r="J76" s="16" t="n">
        <f aca="false">'Color classification'!F76</f>
        <v>158739</v>
      </c>
      <c r="K76" s="13" t="n">
        <f aca="false">'Color classification'!G76</f>
        <v>9338</v>
      </c>
      <c r="L76" s="15" t="n">
        <f aca="false">'Color classification'!H76</f>
        <v>150662</v>
      </c>
    </row>
    <row r="77" customFormat="false" ht="15" hidden="false" customHeight="false" outlineLevel="0" collapsed="false">
      <c r="A77" s="8"/>
      <c r="B77" s="13" t="n">
        <v>73</v>
      </c>
      <c r="C77" s="14" t="n">
        <v>9352</v>
      </c>
      <c r="D77" s="15" t="n">
        <v>150648</v>
      </c>
      <c r="E77" s="63" t="n">
        <f aca="false">'Color clustering'!E77</f>
        <v>9</v>
      </c>
      <c r="F77" s="64" t="n">
        <f aca="false">'Color clustering'!F77</f>
        <v>159991</v>
      </c>
      <c r="G77" s="63" t="n">
        <f aca="false">'Color clustering'!G77</f>
        <v>9351</v>
      </c>
      <c r="H77" s="63" t="n">
        <f aca="false">'Color clustering'!H77</f>
        <v>150649</v>
      </c>
      <c r="I77" s="14" t="n">
        <f aca="false">'Color classification'!E77</f>
        <v>17</v>
      </c>
      <c r="J77" s="16" t="n">
        <f aca="false">'Color classification'!F77</f>
        <v>159983</v>
      </c>
      <c r="K77" s="13" t="n">
        <f aca="false">'Color classification'!G77</f>
        <v>9352</v>
      </c>
      <c r="L77" s="15" t="n">
        <f aca="false">'Color classification'!H77</f>
        <v>150648</v>
      </c>
    </row>
    <row r="78" customFormat="false" ht="15" hidden="false" customHeight="false" outlineLevel="0" collapsed="false">
      <c r="A78" s="8"/>
      <c r="B78" s="13" t="n">
        <v>74</v>
      </c>
      <c r="C78" s="14" t="n">
        <v>9298</v>
      </c>
      <c r="D78" s="15" t="n">
        <v>150702</v>
      </c>
      <c r="E78" s="63" t="n">
        <f aca="false">'Color clustering'!E78</f>
        <v>9</v>
      </c>
      <c r="F78" s="64" t="n">
        <f aca="false">'Color clustering'!F78</f>
        <v>159991</v>
      </c>
      <c r="G78" s="63" t="n">
        <f aca="false">'Color clustering'!G78</f>
        <v>9292</v>
      </c>
      <c r="H78" s="63" t="n">
        <f aca="false">'Color clustering'!H78</f>
        <v>150708</v>
      </c>
      <c r="I78" s="14" t="n">
        <f aca="false">'Color classification'!E78</f>
        <v>19</v>
      </c>
      <c r="J78" s="16" t="n">
        <f aca="false">'Color classification'!F78</f>
        <v>159981</v>
      </c>
      <c r="K78" s="13" t="n">
        <f aca="false">'Color classification'!G78</f>
        <v>9295</v>
      </c>
      <c r="L78" s="15" t="n">
        <f aca="false">'Color classification'!H78</f>
        <v>150705</v>
      </c>
    </row>
    <row r="79" customFormat="false" ht="15" hidden="false" customHeight="false" outlineLevel="0" collapsed="false">
      <c r="A79" s="8"/>
      <c r="B79" s="13" t="n">
        <v>75</v>
      </c>
      <c r="C79" s="14" t="n">
        <v>9240</v>
      </c>
      <c r="D79" s="15" t="n">
        <v>150760</v>
      </c>
      <c r="E79" s="63" t="n">
        <f aca="false">'Color clustering'!E79</f>
        <v>1345</v>
      </c>
      <c r="F79" s="64" t="n">
        <f aca="false">'Color clustering'!F79</f>
        <v>158655</v>
      </c>
      <c r="G79" s="63" t="n">
        <f aca="false">'Color clustering'!G79</f>
        <v>9239</v>
      </c>
      <c r="H79" s="63" t="n">
        <f aca="false">'Color clustering'!H79</f>
        <v>150761</v>
      </c>
      <c r="I79" s="14" t="n">
        <f aca="false">'Color classification'!E79</f>
        <v>141</v>
      </c>
      <c r="J79" s="16" t="n">
        <f aca="false">'Color classification'!F79</f>
        <v>159859</v>
      </c>
      <c r="K79" s="13" t="n">
        <f aca="false">'Color classification'!G79</f>
        <v>9242</v>
      </c>
      <c r="L79" s="15" t="n">
        <f aca="false">'Color classification'!H79</f>
        <v>150758</v>
      </c>
    </row>
    <row r="80" customFormat="false" ht="15" hidden="false" customHeight="false" outlineLevel="0" collapsed="false">
      <c r="A80" s="8"/>
      <c r="B80" s="13" t="n">
        <v>76</v>
      </c>
      <c r="C80" s="14" t="n">
        <v>9142</v>
      </c>
      <c r="D80" s="15" t="n">
        <v>150858</v>
      </c>
      <c r="E80" s="63" t="n">
        <f aca="false">'Color clustering'!E80</f>
        <v>29</v>
      </c>
      <c r="F80" s="64" t="n">
        <f aca="false">'Color clustering'!F80</f>
        <v>159971</v>
      </c>
      <c r="G80" s="63" t="n">
        <f aca="false">'Color clustering'!G80</f>
        <v>9143</v>
      </c>
      <c r="H80" s="63" t="n">
        <f aca="false">'Color clustering'!H80</f>
        <v>150857</v>
      </c>
      <c r="I80" s="14" t="n">
        <f aca="false">'Color classification'!E80</f>
        <v>709</v>
      </c>
      <c r="J80" s="16" t="n">
        <f aca="false">'Color classification'!F80</f>
        <v>159291</v>
      </c>
      <c r="K80" s="13" t="n">
        <f aca="false">'Color classification'!G80</f>
        <v>9146</v>
      </c>
      <c r="L80" s="15" t="n">
        <f aca="false">'Color classification'!H80</f>
        <v>150854</v>
      </c>
    </row>
    <row r="81" customFormat="false" ht="15" hidden="false" customHeight="false" outlineLevel="0" collapsed="false">
      <c r="A81" s="8"/>
      <c r="B81" s="13" t="n">
        <v>77</v>
      </c>
      <c r="C81" s="14" t="n">
        <v>9108</v>
      </c>
      <c r="D81" s="15" t="n">
        <v>150892</v>
      </c>
      <c r="E81" s="63" t="n">
        <f aca="false">'Color clustering'!E81</f>
        <v>11</v>
      </c>
      <c r="F81" s="64" t="n">
        <f aca="false">'Color clustering'!F81</f>
        <v>159989</v>
      </c>
      <c r="G81" s="63" t="n">
        <f aca="false">'Color clustering'!G81</f>
        <v>9106</v>
      </c>
      <c r="H81" s="63" t="n">
        <f aca="false">'Color clustering'!H81</f>
        <v>150894</v>
      </c>
      <c r="I81" s="14" t="n">
        <f aca="false">'Color classification'!E81</f>
        <v>994</v>
      </c>
      <c r="J81" s="16" t="n">
        <f aca="false">'Color classification'!F81</f>
        <v>159006</v>
      </c>
      <c r="K81" s="13" t="n">
        <f aca="false">'Color classification'!G81</f>
        <v>9110</v>
      </c>
      <c r="L81" s="15" t="n">
        <f aca="false">'Color classification'!H81</f>
        <v>150890</v>
      </c>
    </row>
    <row r="82" customFormat="false" ht="15" hidden="false" customHeight="false" outlineLevel="0" collapsed="false">
      <c r="A82" s="8"/>
      <c r="B82" s="13" t="n">
        <v>78</v>
      </c>
      <c r="C82" s="14" t="n">
        <v>9011</v>
      </c>
      <c r="D82" s="15" t="n">
        <v>150989</v>
      </c>
      <c r="E82" s="63" t="n">
        <f aca="false">'Color clustering'!E82</f>
        <v>47</v>
      </c>
      <c r="F82" s="64" t="n">
        <f aca="false">'Color clustering'!F82</f>
        <v>159953</v>
      </c>
      <c r="G82" s="63" t="n">
        <f aca="false">'Color clustering'!G82</f>
        <v>9000</v>
      </c>
      <c r="H82" s="63" t="n">
        <f aca="false">'Color clustering'!H82</f>
        <v>151000</v>
      </c>
      <c r="I82" s="14" t="n">
        <f aca="false">'Color classification'!E82</f>
        <v>1134</v>
      </c>
      <c r="J82" s="16" t="n">
        <f aca="false">'Color classification'!F82</f>
        <v>158866</v>
      </c>
      <c r="K82" s="13" t="n">
        <f aca="false">'Color classification'!G82</f>
        <v>9004</v>
      </c>
      <c r="L82" s="15" t="n">
        <f aca="false">'Color classification'!H82</f>
        <v>150996</v>
      </c>
    </row>
    <row r="83" customFormat="false" ht="15" hidden="false" customHeight="false" outlineLevel="0" collapsed="false">
      <c r="A83" s="8"/>
      <c r="B83" s="13" t="n">
        <v>79</v>
      </c>
      <c r="C83" s="14" t="n">
        <v>8894</v>
      </c>
      <c r="D83" s="15" t="n">
        <v>151106</v>
      </c>
      <c r="E83" s="63" t="n">
        <f aca="false">'Color clustering'!E83</f>
        <v>246</v>
      </c>
      <c r="F83" s="64" t="n">
        <f aca="false">'Color clustering'!F83</f>
        <v>159754</v>
      </c>
      <c r="G83" s="63" t="n">
        <f aca="false">'Color clustering'!G83</f>
        <v>8895</v>
      </c>
      <c r="H83" s="63" t="n">
        <f aca="false">'Color clustering'!H83</f>
        <v>151105</v>
      </c>
      <c r="I83" s="14" t="n">
        <f aca="false">'Color classification'!E83</f>
        <v>174</v>
      </c>
      <c r="J83" s="16" t="n">
        <f aca="false">'Color classification'!F83</f>
        <v>159826</v>
      </c>
      <c r="K83" s="13" t="n">
        <f aca="false">'Color classification'!G83</f>
        <v>8893</v>
      </c>
      <c r="L83" s="15" t="n">
        <f aca="false">'Color classification'!H83</f>
        <v>151107</v>
      </c>
    </row>
    <row r="84" customFormat="false" ht="15" hidden="false" customHeight="false" outlineLevel="0" collapsed="false">
      <c r="A84" s="8"/>
      <c r="B84" s="13" t="n">
        <v>80</v>
      </c>
      <c r="C84" s="14" t="n">
        <v>8749</v>
      </c>
      <c r="D84" s="15" t="n">
        <v>151251</v>
      </c>
      <c r="E84" s="63" t="n">
        <f aca="false">'Color clustering'!E84</f>
        <v>1473</v>
      </c>
      <c r="F84" s="64" t="n">
        <f aca="false">'Color clustering'!F84</f>
        <v>158527</v>
      </c>
      <c r="G84" s="63" t="n">
        <f aca="false">'Color clustering'!G84</f>
        <v>8751</v>
      </c>
      <c r="H84" s="63" t="n">
        <f aca="false">'Color clustering'!H84</f>
        <v>151249</v>
      </c>
      <c r="I84" s="14" t="n">
        <f aca="false">'Color classification'!E84</f>
        <v>49</v>
      </c>
      <c r="J84" s="16" t="n">
        <f aca="false">'Color classification'!F84</f>
        <v>159951</v>
      </c>
      <c r="K84" s="13" t="n">
        <f aca="false">'Color classification'!G84</f>
        <v>8750</v>
      </c>
      <c r="L84" s="15" t="n">
        <f aca="false">'Color classification'!H84</f>
        <v>151250</v>
      </c>
    </row>
    <row r="85" customFormat="false" ht="15" hidden="false" customHeight="false" outlineLevel="0" collapsed="false">
      <c r="A85" s="8"/>
      <c r="B85" s="13" t="n">
        <v>81</v>
      </c>
      <c r="C85" s="14" t="n">
        <v>8677</v>
      </c>
      <c r="D85" s="15" t="n">
        <v>151323</v>
      </c>
      <c r="E85" s="63" t="n">
        <f aca="false">'Color clustering'!E85</f>
        <v>19</v>
      </c>
      <c r="F85" s="64" t="n">
        <f aca="false">'Color clustering'!F85</f>
        <v>159981</v>
      </c>
      <c r="G85" s="63" t="n">
        <f aca="false">'Color clustering'!G85</f>
        <v>8679</v>
      </c>
      <c r="H85" s="63" t="n">
        <f aca="false">'Color clustering'!H85</f>
        <v>151321</v>
      </c>
      <c r="I85" s="14" t="n">
        <f aca="false">'Color classification'!E85</f>
        <v>324</v>
      </c>
      <c r="J85" s="16" t="n">
        <f aca="false">'Color classification'!F85</f>
        <v>159676</v>
      </c>
      <c r="K85" s="13" t="n">
        <f aca="false">'Color classification'!G85</f>
        <v>8677</v>
      </c>
      <c r="L85" s="15" t="n">
        <f aca="false">'Color classification'!H85</f>
        <v>151323</v>
      </c>
    </row>
    <row r="86" customFormat="false" ht="15" hidden="false" customHeight="false" outlineLevel="0" collapsed="false">
      <c r="A86" s="8"/>
      <c r="B86" s="13" t="n">
        <v>82</v>
      </c>
      <c r="C86" s="14" t="n">
        <v>8523</v>
      </c>
      <c r="D86" s="15" t="n">
        <v>151477</v>
      </c>
      <c r="E86" s="63" t="n">
        <f aca="false">'Color clustering'!E86</f>
        <v>467</v>
      </c>
      <c r="F86" s="64" t="n">
        <f aca="false">'Color clustering'!F86</f>
        <v>159533</v>
      </c>
      <c r="G86" s="63" t="n">
        <f aca="false">'Color clustering'!G86</f>
        <v>8522</v>
      </c>
      <c r="H86" s="63" t="n">
        <f aca="false">'Color clustering'!H86</f>
        <v>151478</v>
      </c>
      <c r="I86" s="14" t="n">
        <f aca="false">'Color classification'!E86</f>
        <v>672</v>
      </c>
      <c r="J86" s="16" t="n">
        <f aca="false">'Color classification'!F86</f>
        <v>159328</v>
      </c>
      <c r="K86" s="13" t="n">
        <f aca="false">'Color classification'!G86</f>
        <v>8523</v>
      </c>
      <c r="L86" s="15" t="n">
        <f aca="false">'Color classification'!H86</f>
        <v>151477</v>
      </c>
    </row>
    <row r="87" customFormat="false" ht="15" hidden="false" customHeight="false" outlineLevel="0" collapsed="false">
      <c r="A87" s="8"/>
      <c r="B87" s="13" t="n">
        <v>83</v>
      </c>
      <c r="C87" s="14" t="n">
        <v>8348</v>
      </c>
      <c r="D87" s="15" t="n">
        <v>151652</v>
      </c>
      <c r="E87" s="63" t="n">
        <f aca="false">'Color clustering'!E87</f>
        <v>14</v>
      </c>
      <c r="F87" s="64" t="n">
        <f aca="false">'Color clustering'!F87</f>
        <v>159986</v>
      </c>
      <c r="G87" s="63" t="n">
        <f aca="false">'Color clustering'!G87</f>
        <v>8327</v>
      </c>
      <c r="H87" s="63" t="n">
        <f aca="false">'Color clustering'!H87</f>
        <v>151673</v>
      </c>
      <c r="I87" s="14" t="n">
        <f aca="false">'Color classification'!E87</f>
        <v>10</v>
      </c>
      <c r="J87" s="16" t="n">
        <f aca="false">'Color classification'!F87</f>
        <v>159990</v>
      </c>
      <c r="K87" s="13" t="n">
        <f aca="false">'Color classification'!G87</f>
        <v>8332</v>
      </c>
      <c r="L87" s="15" t="n">
        <f aca="false">'Color classification'!H87</f>
        <v>151668</v>
      </c>
    </row>
    <row r="88" customFormat="false" ht="15" hidden="false" customHeight="false" outlineLevel="0" collapsed="false">
      <c r="A88" s="8"/>
      <c r="B88" s="13" t="n">
        <v>84</v>
      </c>
      <c r="C88" s="14" t="n">
        <v>8166</v>
      </c>
      <c r="D88" s="15" t="n">
        <v>151834</v>
      </c>
      <c r="E88" s="63" t="n">
        <f aca="false">'Color clustering'!E88</f>
        <v>7</v>
      </c>
      <c r="F88" s="64" t="n">
        <f aca="false">'Color clustering'!F88</f>
        <v>159993</v>
      </c>
      <c r="G88" s="63" t="n">
        <f aca="false">'Color clustering'!G88</f>
        <v>8216</v>
      </c>
      <c r="H88" s="63" t="n">
        <f aca="false">'Color clustering'!H88</f>
        <v>151784</v>
      </c>
      <c r="I88" s="14" t="n">
        <f aca="false">'Color classification'!E88</f>
        <v>81</v>
      </c>
      <c r="J88" s="16" t="n">
        <f aca="false">'Color classification'!F88</f>
        <v>159919</v>
      </c>
      <c r="K88" s="13" t="n">
        <f aca="false">'Color classification'!G88</f>
        <v>8222</v>
      </c>
      <c r="L88" s="15" t="n">
        <f aca="false">'Color classification'!H88</f>
        <v>151778</v>
      </c>
    </row>
    <row r="89" customFormat="false" ht="15" hidden="false" customHeight="false" outlineLevel="0" collapsed="false">
      <c r="A89" s="8"/>
      <c r="B89" s="13" t="n">
        <v>85</v>
      </c>
      <c r="C89" s="14" t="n">
        <v>8058</v>
      </c>
      <c r="D89" s="15" t="n">
        <v>151942</v>
      </c>
      <c r="E89" s="63" t="n">
        <f aca="false">'Color clustering'!E89</f>
        <v>47</v>
      </c>
      <c r="F89" s="64" t="n">
        <f aca="false">'Color clustering'!F89</f>
        <v>159953</v>
      </c>
      <c r="G89" s="63" t="n">
        <f aca="false">'Color clustering'!G89</f>
        <v>8058</v>
      </c>
      <c r="H89" s="63" t="n">
        <f aca="false">'Color clustering'!H89</f>
        <v>151942</v>
      </c>
      <c r="I89" s="14" t="n">
        <f aca="false">'Color classification'!E89</f>
        <v>9</v>
      </c>
      <c r="J89" s="16" t="n">
        <f aca="false">'Color classification'!F89</f>
        <v>159991</v>
      </c>
      <c r="K89" s="13" t="n">
        <f aca="false">'Color classification'!G89</f>
        <v>8062</v>
      </c>
      <c r="L89" s="15" t="n">
        <f aca="false">'Color classification'!H89</f>
        <v>151938</v>
      </c>
    </row>
    <row r="90" customFormat="false" ht="15" hidden="false" customHeight="false" outlineLevel="0" collapsed="false">
      <c r="A90" s="8"/>
      <c r="B90" s="13" t="n">
        <v>86</v>
      </c>
      <c r="C90" s="14" t="n">
        <v>7858</v>
      </c>
      <c r="D90" s="15" t="n">
        <v>152142</v>
      </c>
      <c r="E90" s="63" t="n">
        <f aca="false">'Color clustering'!E90</f>
        <v>28</v>
      </c>
      <c r="F90" s="64" t="n">
        <f aca="false">'Color clustering'!F90</f>
        <v>159972</v>
      </c>
      <c r="G90" s="63" t="n">
        <f aca="false">'Color clustering'!G90</f>
        <v>7858</v>
      </c>
      <c r="H90" s="63" t="n">
        <f aca="false">'Color clustering'!H90</f>
        <v>152142</v>
      </c>
      <c r="I90" s="14" t="n">
        <f aca="false">'Color classification'!E90</f>
        <v>1790</v>
      </c>
      <c r="J90" s="16" t="n">
        <f aca="false">'Color classification'!F90</f>
        <v>158210</v>
      </c>
      <c r="K90" s="13" t="n">
        <f aca="false">'Color classification'!G90</f>
        <v>7858</v>
      </c>
      <c r="L90" s="15" t="n">
        <f aca="false">'Color classification'!H90</f>
        <v>152142</v>
      </c>
    </row>
    <row r="91" customFormat="false" ht="15" hidden="false" customHeight="false" outlineLevel="0" collapsed="false">
      <c r="A91" s="8"/>
      <c r="B91" s="13" t="n">
        <v>87</v>
      </c>
      <c r="C91" s="14" t="n">
        <v>7650</v>
      </c>
      <c r="D91" s="15" t="n">
        <v>152350</v>
      </c>
      <c r="E91" s="63" t="n">
        <f aca="false">'Color clustering'!E91</f>
        <v>17</v>
      </c>
      <c r="F91" s="64" t="n">
        <f aca="false">'Color clustering'!F91</f>
        <v>159983</v>
      </c>
      <c r="G91" s="63" t="n">
        <f aca="false">'Color clustering'!G91</f>
        <v>7653</v>
      </c>
      <c r="H91" s="63" t="n">
        <f aca="false">'Color clustering'!H91</f>
        <v>152347</v>
      </c>
      <c r="I91" s="14" t="n">
        <f aca="false">'Color classification'!E91</f>
        <v>62</v>
      </c>
      <c r="J91" s="16" t="n">
        <f aca="false">'Color classification'!F91</f>
        <v>159938</v>
      </c>
      <c r="K91" s="13" t="n">
        <f aca="false">'Color classification'!G91</f>
        <v>7655</v>
      </c>
      <c r="L91" s="15" t="n">
        <f aca="false">'Color classification'!H91</f>
        <v>152345</v>
      </c>
    </row>
    <row r="92" customFormat="false" ht="15" hidden="false" customHeight="false" outlineLevel="0" collapsed="false">
      <c r="A92" s="8"/>
      <c r="B92" s="13" t="n">
        <v>88</v>
      </c>
      <c r="C92" s="14" t="n">
        <v>7441</v>
      </c>
      <c r="D92" s="15" t="n">
        <v>152559</v>
      </c>
      <c r="E92" s="63" t="n">
        <f aca="false">'Color clustering'!E92</f>
        <v>73</v>
      </c>
      <c r="F92" s="64" t="n">
        <f aca="false">'Color clustering'!F92</f>
        <v>159927</v>
      </c>
      <c r="G92" s="63" t="n">
        <f aca="false">'Color clustering'!G92</f>
        <v>7444</v>
      </c>
      <c r="H92" s="63" t="n">
        <f aca="false">'Color clustering'!H92</f>
        <v>152556</v>
      </c>
      <c r="I92" s="14" t="n">
        <f aca="false">'Color classification'!E92</f>
        <v>31</v>
      </c>
      <c r="J92" s="16" t="n">
        <f aca="false">'Color classification'!F92</f>
        <v>159969</v>
      </c>
      <c r="K92" s="13" t="n">
        <f aca="false">'Color classification'!G92</f>
        <v>7444</v>
      </c>
      <c r="L92" s="15" t="n">
        <f aca="false">'Color classification'!H92</f>
        <v>152556</v>
      </c>
    </row>
    <row r="93" customFormat="false" ht="15" hidden="false" customHeight="false" outlineLevel="0" collapsed="false">
      <c r="A93" s="8"/>
      <c r="B93" s="13" t="n">
        <v>89</v>
      </c>
      <c r="C93" s="14" t="n">
        <v>7310</v>
      </c>
      <c r="D93" s="15" t="n">
        <v>152690</v>
      </c>
      <c r="E93" s="63" t="n">
        <f aca="false">'Color clustering'!E93</f>
        <v>338</v>
      </c>
      <c r="F93" s="64" t="n">
        <f aca="false">'Color clustering'!F93</f>
        <v>159662</v>
      </c>
      <c r="G93" s="63" t="n">
        <f aca="false">'Color clustering'!G93</f>
        <v>7380</v>
      </c>
      <c r="H93" s="63" t="n">
        <f aca="false">'Color clustering'!H93</f>
        <v>152620</v>
      </c>
      <c r="I93" s="14" t="n">
        <f aca="false">'Color classification'!E93</f>
        <v>15</v>
      </c>
      <c r="J93" s="16" t="n">
        <f aca="false">'Color classification'!F93</f>
        <v>159985</v>
      </c>
      <c r="K93" s="13" t="n">
        <f aca="false">'Color classification'!G93</f>
        <v>7379</v>
      </c>
      <c r="L93" s="15" t="n">
        <f aca="false">'Color classification'!H93</f>
        <v>152621</v>
      </c>
    </row>
    <row r="94" customFormat="false" ht="15" hidden="false" customHeight="false" outlineLevel="0" collapsed="false">
      <c r="A94" s="8"/>
      <c r="B94" s="13" t="n">
        <v>90</v>
      </c>
      <c r="C94" s="14" t="n">
        <v>7087</v>
      </c>
      <c r="D94" s="15" t="n">
        <v>152913</v>
      </c>
      <c r="E94" s="63" t="n">
        <f aca="false">'Color clustering'!E94</f>
        <v>31</v>
      </c>
      <c r="F94" s="64" t="n">
        <f aca="false">'Color clustering'!F94</f>
        <v>159969</v>
      </c>
      <c r="G94" s="63" t="n">
        <f aca="false">'Color clustering'!G94</f>
        <v>7086</v>
      </c>
      <c r="H94" s="63" t="n">
        <f aca="false">'Color clustering'!H94</f>
        <v>152914</v>
      </c>
      <c r="I94" s="14" t="n">
        <f aca="false">'Color classification'!E94</f>
        <v>205</v>
      </c>
      <c r="J94" s="16" t="n">
        <f aca="false">'Color classification'!F94</f>
        <v>159795</v>
      </c>
      <c r="K94" s="13" t="n">
        <f aca="false">'Color classification'!G94</f>
        <v>7087</v>
      </c>
      <c r="L94" s="15" t="n">
        <f aca="false">'Color classification'!H94</f>
        <v>152913</v>
      </c>
    </row>
    <row r="95" customFormat="false" ht="15" hidden="false" customHeight="false" outlineLevel="0" collapsed="false">
      <c r="A95" s="8"/>
      <c r="B95" s="13" t="n">
        <v>91</v>
      </c>
      <c r="C95" s="14" t="n">
        <v>6856</v>
      </c>
      <c r="D95" s="15" t="n">
        <v>153144</v>
      </c>
      <c r="E95" s="63" t="n">
        <f aca="false">'Color clustering'!E95</f>
        <v>432</v>
      </c>
      <c r="F95" s="64" t="n">
        <f aca="false">'Color clustering'!F95</f>
        <v>159568</v>
      </c>
      <c r="G95" s="63" t="n">
        <f aca="false">'Color clustering'!G95</f>
        <v>6881</v>
      </c>
      <c r="H95" s="63" t="n">
        <f aca="false">'Color clustering'!H95</f>
        <v>153119</v>
      </c>
      <c r="I95" s="14" t="n">
        <f aca="false">'Color classification'!E95</f>
        <v>77</v>
      </c>
      <c r="J95" s="16" t="n">
        <f aca="false">'Color classification'!F95</f>
        <v>159923</v>
      </c>
      <c r="K95" s="13" t="n">
        <f aca="false">'Color classification'!G95</f>
        <v>6881</v>
      </c>
      <c r="L95" s="15" t="n">
        <f aca="false">'Color classification'!H95</f>
        <v>153119</v>
      </c>
    </row>
    <row r="96" customFormat="false" ht="15" hidden="false" customHeight="false" outlineLevel="0" collapsed="false">
      <c r="A96" s="8"/>
      <c r="B96" s="13" t="n">
        <v>92</v>
      </c>
      <c r="C96" s="14" t="n">
        <v>6611</v>
      </c>
      <c r="D96" s="15" t="n">
        <v>153389</v>
      </c>
      <c r="E96" s="63" t="n">
        <f aca="false">'Color clustering'!E96</f>
        <v>312</v>
      </c>
      <c r="F96" s="64" t="n">
        <f aca="false">'Color clustering'!F96</f>
        <v>159688</v>
      </c>
      <c r="G96" s="63" t="n">
        <f aca="false">'Color clustering'!G96</f>
        <v>6534</v>
      </c>
      <c r="H96" s="63" t="n">
        <f aca="false">'Color clustering'!H96</f>
        <v>153466</v>
      </c>
      <c r="I96" s="14" t="n">
        <f aca="false">'Color classification'!E96</f>
        <v>94</v>
      </c>
      <c r="J96" s="16" t="n">
        <f aca="false">'Color classification'!F96</f>
        <v>159906</v>
      </c>
      <c r="K96" s="13" t="n">
        <f aca="false">'Color classification'!G96</f>
        <v>6533</v>
      </c>
      <c r="L96" s="15" t="n">
        <f aca="false">'Color classification'!H96</f>
        <v>153467</v>
      </c>
    </row>
    <row r="97" customFormat="false" ht="15" hidden="false" customHeight="false" outlineLevel="0" collapsed="false">
      <c r="A97" s="8"/>
      <c r="B97" s="13" t="n">
        <v>93</v>
      </c>
      <c r="C97" s="14" t="n">
        <v>6477</v>
      </c>
      <c r="D97" s="15" t="n">
        <v>153523</v>
      </c>
      <c r="E97" s="63" t="n">
        <f aca="false">'Color clustering'!E97</f>
        <v>15</v>
      </c>
      <c r="F97" s="64" t="n">
        <f aca="false">'Color clustering'!F97</f>
        <v>159985</v>
      </c>
      <c r="G97" s="63" t="n">
        <f aca="false">'Color clustering'!G97</f>
        <v>6475</v>
      </c>
      <c r="H97" s="63" t="n">
        <f aca="false">'Color clustering'!H97</f>
        <v>153525</v>
      </c>
      <c r="I97" s="14" t="n">
        <f aca="false">'Color classification'!E97</f>
        <v>17</v>
      </c>
      <c r="J97" s="16" t="n">
        <f aca="false">'Color classification'!F97</f>
        <v>159983</v>
      </c>
      <c r="K97" s="13" t="n">
        <f aca="false">'Color classification'!G97</f>
        <v>6475</v>
      </c>
      <c r="L97" s="15" t="n">
        <f aca="false">'Color classification'!H97</f>
        <v>153525</v>
      </c>
    </row>
    <row r="98" customFormat="false" ht="15" hidden="false" customHeight="false" outlineLevel="0" collapsed="false">
      <c r="A98" s="8"/>
      <c r="B98" s="13" t="n">
        <v>94</v>
      </c>
      <c r="C98" s="14" t="n">
        <v>6233</v>
      </c>
      <c r="D98" s="15" t="n">
        <v>153767</v>
      </c>
      <c r="E98" s="63" t="n">
        <f aca="false">'Color clustering'!E98</f>
        <v>342</v>
      </c>
      <c r="F98" s="64" t="n">
        <f aca="false">'Color clustering'!F98</f>
        <v>159658</v>
      </c>
      <c r="G98" s="63" t="n">
        <f aca="false">'Color clustering'!G98</f>
        <v>6228</v>
      </c>
      <c r="H98" s="63" t="n">
        <f aca="false">'Color clustering'!H98</f>
        <v>153772</v>
      </c>
      <c r="I98" s="14" t="n">
        <f aca="false">'Color classification'!E98</f>
        <v>18</v>
      </c>
      <c r="J98" s="16" t="n">
        <f aca="false">'Color classification'!F98</f>
        <v>159982</v>
      </c>
      <c r="K98" s="13" t="n">
        <f aca="false">'Color classification'!G98</f>
        <v>6229</v>
      </c>
      <c r="L98" s="15" t="n">
        <f aca="false">'Color classification'!H98</f>
        <v>153771</v>
      </c>
    </row>
    <row r="99" customFormat="false" ht="15" hidden="false" customHeight="false" outlineLevel="0" collapsed="false">
      <c r="A99" s="8"/>
      <c r="B99" s="13" t="n">
        <v>95</v>
      </c>
      <c r="C99" s="14" t="n">
        <v>5988</v>
      </c>
      <c r="D99" s="15" t="n">
        <v>154012</v>
      </c>
      <c r="E99" s="63" t="n">
        <f aca="false">'Color clustering'!E99</f>
        <v>232</v>
      </c>
      <c r="F99" s="64" t="n">
        <f aca="false">'Color clustering'!F99</f>
        <v>159768</v>
      </c>
      <c r="G99" s="63" t="n">
        <f aca="false">'Color clustering'!G99</f>
        <v>5983</v>
      </c>
      <c r="H99" s="63" t="n">
        <f aca="false">'Color clustering'!H99</f>
        <v>154017</v>
      </c>
      <c r="I99" s="14" t="n">
        <f aca="false">'Color classification'!E99</f>
        <v>127</v>
      </c>
      <c r="J99" s="16" t="n">
        <f aca="false">'Color classification'!F99</f>
        <v>159873</v>
      </c>
      <c r="K99" s="13" t="n">
        <f aca="false">'Color classification'!G99</f>
        <v>5983</v>
      </c>
      <c r="L99" s="15" t="n">
        <f aca="false">'Color classification'!H99</f>
        <v>154017</v>
      </c>
    </row>
    <row r="100" customFormat="false" ht="15" hidden="false" customHeight="false" outlineLevel="0" collapsed="false">
      <c r="A100" s="8"/>
      <c r="B100" s="13" t="n">
        <v>96</v>
      </c>
      <c r="C100" s="14" t="n">
        <v>5751</v>
      </c>
      <c r="D100" s="15" t="n">
        <v>154249</v>
      </c>
      <c r="E100" s="63" t="n">
        <f aca="false">'Color clustering'!E100</f>
        <v>14</v>
      </c>
      <c r="F100" s="64" t="n">
        <f aca="false">'Color clustering'!F100</f>
        <v>159986</v>
      </c>
      <c r="G100" s="63" t="n">
        <f aca="false">'Color clustering'!G100</f>
        <v>5750</v>
      </c>
      <c r="H100" s="63" t="n">
        <f aca="false">'Color clustering'!H100</f>
        <v>154250</v>
      </c>
      <c r="I100" s="14" t="n">
        <f aca="false">'Color classification'!E100</f>
        <v>8</v>
      </c>
      <c r="J100" s="16" t="n">
        <f aca="false">'Color classification'!F100</f>
        <v>159992</v>
      </c>
      <c r="K100" s="13" t="n">
        <f aca="false">'Color classification'!G100</f>
        <v>5753</v>
      </c>
      <c r="L100" s="15" t="n">
        <f aca="false">'Color classification'!H100</f>
        <v>154247</v>
      </c>
    </row>
    <row r="101" customFormat="false" ht="15" hidden="false" customHeight="false" outlineLevel="0" collapsed="false">
      <c r="A101" s="8"/>
      <c r="B101" s="13" t="n">
        <v>97</v>
      </c>
      <c r="C101" s="14" t="n">
        <v>5608</v>
      </c>
      <c r="D101" s="15" t="n">
        <v>154392</v>
      </c>
      <c r="E101" s="63" t="n">
        <f aca="false">'Color clustering'!E101</f>
        <v>212</v>
      </c>
      <c r="F101" s="64" t="n">
        <f aca="false">'Color clustering'!F101</f>
        <v>159788</v>
      </c>
      <c r="G101" s="63" t="n">
        <f aca="false">'Color clustering'!G101</f>
        <v>5612</v>
      </c>
      <c r="H101" s="63" t="n">
        <f aca="false">'Color clustering'!H101</f>
        <v>154388</v>
      </c>
      <c r="I101" s="14" t="n">
        <f aca="false">'Color classification'!E101</f>
        <v>15</v>
      </c>
      <c r="J101" s="16" t="n">
        <f aca="false">'Color classification'!F101</f>
        <v>159985</v>
      </c>
      <c r="K101" s="13" t="n">
        <f aca="false">'Color classification'!G101</f>
        <v>5615</v>
      </c>
      <c r="L101" s="15" t="n">
        <f aca="false">'Color classification'!H101</f>
        <v>154385</v>
      </c>
    </row>
    <row r="102" customFormat="false" ht="15" hidden="false" customHeight="false" outlineLevel="0" collapsed="false">
      <c r="A102" s="8"/>
      <c r="B102" s="13" t="n">
        <v>98</v>
      </c>
      <c r="C102" s="14" t="n">
        <v>5367</v>
      </c>
      <c r="D102" s="15" t="n">
        <v>154633</v>
      </c>
      <c r="E102" s="63" t="n">
        <f aca="false">'Color clustering'!E102</f>
        <v>416</v>
      </c>
      <c r="F102" s="64" t="n">
        <f aca="false">'Color clustering'!F102</f>
        <v>159584</v>
      </c>
      <c r="G102" s="63" t="n">
        <f aca="false">'Color clustering'!G102</f>
        <v>5364</v>
      </c>
      <c r="H102" s="63" t="n">
        <f aca="false">'Color clustering'!H102</f>
        <v>154636</v>
      </c>
      <c r="I102" s="14" t="n">
        <f aca="false">'Color classification'!E102</f>
        <v>23</v>
      </c>
      <c r="J102" s="16" t="n">
        <f aca="false">'Color classification'!F102</f>
        <v>159977</v>
      </c>
      <c r="K102" s="13" t="n">
        <f aca="false">'Color classification'!G102</f>
        <v>5367</v>
      </c>
      <c r="L102" s="15" t="n">
        <f aca="false">'Color classification'!H102</f>
        <v>154633</v>
      </c>
    </row>
    <row r="103" customFormat="false" ht="15" hidden="false" customHeight="false" outlineLevel="0" collapsed="false">
      <c r="A103" s="8"/>
      <c r="B103" s="13" t="n">
        <v>99</v>
      </c>
      <c r="C103" s="14" t="n">
        <v>5130</v>
      </c>
      <c r="D103" s="15" t="n">
        <v>154870</v>
      </c>
      <c r="E103" s="63" t="n">
        <f aca="false">'Color clustering'!E103</f>
        <v>22</v>
      </c>
      <c r="F103" s="64" t="n">
        <f aca="false">'Color clustering'!F103</f>
        <v>159978</v>
      </c>
      <c r="G103" s="63" t="n">
        <f aca="false">'Color clustering'!G103</f>
        <v>5127</v>
      </c>
      <c r="H103" s="63" t="n">
        <f aca="false">'Color clustering'!H103</f>
        <v>154873</v>
      </c>
      <c r="I103" s="14" t="n">
        <f aca="false">'Color classification'!E103</f>
        <v>18</v>
      </c>
      <c r="J103" s="16" t="n">
        <f aca="false">'Color classification'!F103</f>
        <v>159982</v>
      </c>
      <c r="K103" s="13" t="n">
        <f aca="false">'Color classification'!G103</f>
        <v>5127</v>
      </c>
      <c r="L103" s="15" t="n">
        <f aca="false">'Color classification'!H103</f>
        <v>154873</v>
      </c>
    </row>
    <row r="104" customFormat="false" ht="15" hidden="false" customHeight="false" outlineLevel="0" collapsed="false">
      <c r="A104" s="8"/>
      <c r="B104" s="13" t="n">
        <v>100</v>
      </c>
      <c r="C104" s="14" t="n">
        <v>4883</v>
      </c>
      <c r="D104" s="15" t="n">
        <v>155117</v>
      </c>
      <c r="E104" s="63" t="n">
        <f aca="false">'Color clustering'!E104</f>
        <v>9</v>
      </c>
      <c r="F104" s="64" t="n">
        <f aca="false">'Color clustering'!F104</f>
        <v>159991</v>
      </c>
      <c r="G104" s="63" t="n">
        <f aca="false">'Color clustering'!G104</f>
        <v>4960</v>
      </c>
      <c r="H104" s="63" t="n">
        <f aca="false">'Color clustering'!H104</f>
        <v>155040</v>
      </c>
      <c r="I104" s="14" t="n">
        <f aca="false">'Color classification'!E104</f>
        <v>126</v>
      </c>
      <c r="J104" s="16" t="n">
        <f aca="false">'Color classification'!F104</f>
        <v>159874</v>
      </c>
      <c r="K104" s="13" t="n">
        <f aca="false">'Color classification'!G104</f>
        <v>4961</v>
      </c>
      <c r="L104" s="15" t="n">
        <f aca="false">'Color classification'!H104</f>
        <v>155039</v>
      </c>
    </row>
    <row r="105" customFormat="false" ht="15" hidden="false" customHeight="false" outlineLevel="0" collapsed="false">
      <c r="A105" s="8"/>
      <c r="B105" s="13" t="n">
        <v>101</v>
      </c>
      <c r="C105" s="14" t="n">
        <v>4746</v>
      </c>
      <c r="D105" s="15" t="n">
        <v>155254</v>
      </c>
      <c r="E105" s="63" t="n">
        <f aca="false">'Color clustering'!E105</f>
        <v>6</v>
      </c>
      <c r="F105" s="64" t="n">
        <f aca="false">'Color clustering'!F105</f>
        <v>159994</v>
      </c>
      <c r="G105" s="63" t="n">
        <f aca="false">'Color clustering'!G105</f>
        <v>4675</v>
      </c>
      <c r="H105" s="63" t="n">
        <f aca="false">'Color clustering'!H105</f>
        <v>155325</v>
      </c>
      <c r="I105" s="14" t="n">
        <f aca="false">'Color classification'!E105</f>
        <v>11</v>
      </c>
      <c r="J105" s="16" t="n">
        <f aca="false">'Color classification'!F105</f>
        <v>159989</v>
      </c>
      <c r="K105" s="13" t="n">
        <f aca="false">'Color classification'!G105</f>
        <v>4677</v>
      </c>
      <c r="L105" s="15" t="n">
        <f aca="false">'Color classification'!H105</f>
        <v>155323</v>
      </c>
    </row>
    <row r="106" customFormat="false" ht="15" hidden="false" customHeight="false" outlineLevel="0" collapsed="false">
      <c r="A106" s="8"/>
      <c r="B106" s="13" t="n">
        <v>102</v>
      </c>
      <c r="C106" s="14" t="n">
        <v>4505</v>
      </c>
      <c r="D106" s="15" t="n">
        <v>155495</v>
      </c>
      <c r="E106" s="63" t="n">
        <f aca="false">'Color clustering'!E106</f>
        <v>44</v>
      </c>
      <c r="F106" s="64" t="n">
        <f aca="false">'Color clustering'!F106</f>
        <v>159956</v>
      </c>
      <c r="G106" s="63" t="n">
        <f aca="false">'Color clustering'!G106</f>
        <v>4502</v>
      </c>
      <c r="H106" s="63" t="n">
        <f aca="false">'Color clustering'!H106</f>
        <v>155498</v>
      </c>
      <c r="I106" s="14" t="n">
        <f aca="false">'Color classification'!E106</f>
        <v>603</v>
      </c>
      <c r="J106" s="16" t="n">
        <f aca="false">'Color classification'!F106</f>
        <v>159397</v>
      </c>
      <c r="K106" s="13" t="n">
        <f aca="false">'Color classification'!G106</f>
        <v>4500</v>
      </c>
      <c r="L106" s="15" t="n">
        <f aca="false">'Color classification'!H106</f>
        <v>155500</v>
      </c>
    </row>
    <row r="107" customFormat="false" ht="15" hidden="false" customHeight="false" outlineLevel="0" collapsed="false">
      <c r="A107" s="8"/>
      <c r="B107" s="13" t="n">
        <v>103</v>
      </c>
      <c r="C107" s="14" t="n">
        <v>4261</v>
      </c>
      <c r="D107" s="15" t="n">
        <v>155739</v>
      </c>
      <c r="E107" s="63" t="n">
        <f aca="false">'Color clustering'!E107</f>
        <v>31</v>
      </c>
      <c r="F107" s="64" t="n">
        <f aca="false">'Color clustering'!F107</f>
        <v>159969</v>
      </c>
      <c r="G107" s="63" t="n">
        <f aca="false">'Color clustering'!G107</f>
        <v>4260</v>
      </c>
      <c r="H107" s="63" t="n">
        <f aca="false">'Color clustering'!H107</f>
        <v>155740</v>
      </c>
      <c r="I107" s="14" t="n">
        <f aca="false">'Color classification'!E107</f>
        <v>52</v>
      </c>
      <c r="J107" s="16" t="n">
        <f aca="false">'Color classification'!F107</f>
        <v>159948</v>
      </c>
      <c r="K107" s="13" t="n">
        <f aca="false">'Color classification'!G107</f>
        <v>4261</v>
      </c>
      <c r="L107" s="15" t="n">
        <f aca="false">'Color classification'!H107</f>
        <v>155739</v>
      </c>
    </row>
    <row r="108" customFormat="false" ht="15" hidden="false" customHeight="false" outlineLevel="0" collapsed="false">
      <c r="A108" s="8"/>
      <c r="B108" s="13" t="n">
        <v>104</v>
      </c>
      <c r="C108" s="14" t="n">
        <v>4020</v>
      </c>
      <c r="D108" s="15" t="n">
        <v>155980</v>
      </c>
      <c r="E108" s="63" t="n">
        <f aca="false">'Color clustering'!E108</f>
        <v>72</v>
      </c>
      <c r="F108" s="64" t="n">
        <f aca="false">'Color clustering'!F108</f>
        <v>159928</v>
      </c>
      <c r="G108" s="63" t="n">
        <f aca="false">'Color clustering'!G108</f>
        <v>4017</v>
      </c>
      <c r="H108" s="63" t="n">
        <f aca="false">'Color clustering'!H108</f>
        <v>155983</v>
      </c>
      <c r="I108" s="14" t="n">
        <f aca="false">'Color classification'!E108</f>
        <v>34</v>
      </c>
      <c r="J108" s="16" t="n">
        <f aca="false">'Color classification'!F108</f>
        <v>159966</v>
      </c>
      <c r="K108" s="13" t="n">
        <f aca="false">'Color classification'!G108</f>
        <v>4019</v>
      </c>
      <c r="L108" s="15" t="n">
        <f aca="false">'Color classification'!H108</f>
        <v>155981</v>
      </c>
    </row>
    <row r="109" customFormat="false" ht="15" hidden="false" customHeight="false" outlineLevel="0" collapsed="false">
      <c r="A109" s="8"/>
      <c r="B109" s="13" t="n">
        <v>105</v>
      </c>
      <c r="C109" s="14" t="n">
        <v>3881</v>
      </c>
      <c r="D109" s="15" t="n">
        <v>156119</v>
      </c>
      <c r="E109" s="63" t="n">
        <f aca="false">'Color clustering'!E109</f>
        <v>17</v>
      </c>
      <c r="F109" s="64" t="n">
        <f aca="false">'Color clustering'!F109</f>
        <v>159983</v>
      </c>
      <c r="G109" s="63" t="n">
        <f aca="false">'Color clustering'!G109</f>
        <v>3844</v>
      </c>
      <c r="H109" s="63" t="n">
        <f aca="false">'Color clustering'!H109</f>
        <v>156156</v>
      </c>
      <c r="I109" s="14" t="n">
        <f aca="false">'Color classification'!E109</f>
        <v>27</v>
      </c>
      <c r="J109" s="16" t="n">
        <f aca="false">'Color classification'!F109</f>
        <v>159973</v>
      </c>
      <c r="K109" s="13" t="n">
        <f aca="false">'Color classification'!G109</f>
        <v>3846</v>
      </c>
      <c r="L109" s="15" t="n">
        <f aca="false">'Color classification'!H109</f>
        <v>156154</v>
      </c>
    </row>
    <row r="110" customFormat="false" ht="15" hidden="false" customHeight="false" outlineLevel="0" collapsed="false">
      <c r="A110" s="8"/>
      <c r="B110" s="13" t="n">
        <v>106</v>
      </c>
      <c r="C110" s="14" t="n">
        <v>3641</v>
      </c>
      <c r="D110" s="15" t="n">
        <v>156359</v>
      </c>
      <c r="E110" s="63" t="n">
        <f aca="false">'Color clustering'!E110</f>
        <v>0</v>
      </c>
      <c r="F110" s="64" t="n">
        <f aca="false">'Color clustering'!F110</f>
        <v>160000</v>
      </c>
      <c r="G110" s="63" t="n">
        <f aca="false">'Color clustering'!G110</f>
        <v>3644</v>
      </c>
      <c r="H110" s="63" t="n">
        <f aca="false">'Color clustering'!H110</f>
        <v>156356</v>
      </c>
      <c r="I110" s="14" t="n">
        <f aca="false">'Color classification'!E110</f>
        <v>0</v>
      </c>
      <c r="J110" s="16" t="n">
        <f aca="false">'Color classification'!F110</f>
        <v>160000</v>
      </c>
      <c r="K110" s="13" t="n">
        <f aca="false">'Color classification'!G110</f>
        <v>3644</v>
      </c>
      <c r="L110" s="15" t="n">
        <f aca="false">'Color classification'!H110</f>
        <v>156356</v>
      </c>
    </row>
    <row r="111" customFormat="false" ht="15" hidden="false" customHeight="false" outlineLevel="0" collapsed="false">
      <c r="A111" s="8"/>
      <c r="B111" s="13" t="n">
        <v>107</v>
      </c>
      <c r="C111" s="14" t="n">
        <v>3411</v>
      </c>
      <c r="D111" s="15" t="n">
        <v>156589</v>
      </c>
      <c r="E111" s="63" t="n">
        <f aca="false">'Color clustering'!E111</f>
        <v>30</v>
      </c>
      <c r="F111" s="64" t="n">
        <f aca="false">'Color clustering'!F111</f>
        <v>159970</v>
      </c>
      <c r="G111" s="63" t="n">
        <f aca="false">'Color clustering'!G111</f>
        <v>3449</v>
      </c>
      <c r="H111" s="63" t="n">
        <f aca="false">'Color clustering'!H111</f>
        <v>156551</v>
      </c>
      <c r="I111" s="14" t="n">
        <f aca="false">'Color classification'!E111</f>
        <v>24</v>
      </c>
      <c r="J111" s="16" t="n">
        <f aca="false">'Color classification'!F111</f>
        <v>159976</v>
      </c>
      <c r="K111" s="13" t="n">
        <f aca="false">'Color classification'!G111</f>
        <v>3446</v>
      </c>
      <c r="L111" s="15" t="n">
        <f aca="false">'Color classification'!H111</f>
        <v>156554</v>
      </c>
    </row>
    <row r="112" customFormat="false" ht="15" hidden="false" customHeight="false" outlineLevel="0" collapsed="false">
      <c r="A112" s="8"/>
      <c r="B112" s="13" t="n">
        <v>108</v>
      </c>
      <c r="C112" s="14" t="n">
        <v>3184</v>
      </c>
      <c r="D112" s="15" t="n">
        <v>156816</v>
      </c>
      <c r="E112" s="63" t="n">
        <f aca="false">'Color clustering'!E112</f>
        <v>12</v>
      </c>
      <c r="F112" s="64" t="n">
        <f aca="false">'Color clustering'!F112</f>
        <v>159988</v>
      </c>
      <c r="G112" s="63" t="n">
        <f aca="false">'Color clustering'!G112</f>
        <v>3188</v>
      </c>
      <c r="H112" s="63" t="n">
        <f aca="false">'Color clustering'!H112</f>
        <v>156812</v>
      </c>
      <c r="I112" s="14" t="n">
        <f aca="false">'Color classification'!E112</f>
        <v>4</v>
      </c>
      <c r="J112" s="16" t="n">
        <f aca="false">'Color classification'!F112</f>
        <v>159996</v>
      </c>
      <c r="K112" s="13" t="n">
        <f aca="false">'Color classification'!G112</f>
        <v>3183</v>
      </c>
      <c r="L112" s="15" t="n">
        <f aca="false">'Color classification'!H112</f>
        <v>156817</v>
      </c>
    </row>
    <row r="113" customFormat="false" ht="15" hidden="false" customHeight="false" outlineLevel="0" collapsed="false">
      <c r="A113" s="8"/>
      <c r="B113" s="13" t="n">
        <v>109</v>
      </c>
      <c r="C113" s="14" t="n">
        <v>3062</v>
      </c>
      <c r="D113" s="15" t="n">
        <v>156938</v>
      </c>
      <c r="E113" s="63" t="n">
        <f aca="false">'Color clustering'!E113</f>
        <v>0</v>
      </c>
      <c r="F113" s="64" t="n">
        <f aca="false">'Color clustering'!F113</f>
        <v>160000</v>
      </c>
      <c r="G113" s="63" t="n">
        <f aca="false">'Color clustering'!G113</f>
        <v>3052</v>
      </c>
      <c r="H113" s="63" t="n">
        <f aca="false">'Color clustering'!H113</f>
        <v>156948</v>
      </c>
      <c r="I113" s="14" t="n">
        <f aca="false">'Color classification'!E113</f>
        <v>0</v>
      </c>
      <c r="J113" s="16" t="n">
        <f aca="false">'Color classification'!F113</f>
        <v>160000</v>
      </c>
      <c r="K113" s="13" t="n">
        <f aca="false">'Color classification'!G113</f>
        <v>3052</v>
      </c>
      <c r="L113" s="15" t="n">
        <f aca="false">'Color classification'!H113</f>
        <v>156948</v>
      </c>
    </row>
    <row r="114" customFormat="false" ht="15" hidden="false" customHeight="false" outlineLevel="0" collapsed="false">
      <c r="A114" s="8"/>
      <c r="B114" s="13" t="n">
        <v>110</v>
      </c>
      <c r="C114" s="14" t="n">
        <v>2848</v>
      </c>
      <c r="D114" s="15" t="n">
        <v>157152</v>
      </c>
      <c r="E114" s="63" t="n">
        <f aca="false">'Color clustering'!E114</f>
        <v>0</v>
      </c>
      <c r="F114" s="64" t="n">
        <f aca="false">'Color clustering'!F114</f>
        <v>160000</v>
      </c>
      <c r="G114" s="63" t="n">
        <f aca="false">'Color clustering'!G114</f>
        <v>2859</v>
      </c>
      <c r="H114" s="63" t="n">
        <f aca="false">'Color clustering'!H114</f>
        <v>157141</v>
      </c>
      <c r="I114" s="14" t="n">
        <f aca="false">'Color classification'!E114</f>
        <v>0</v>
      </c>
      <c r="J114" s="16" t="n">
        <f aca="false">'Color classification'!F114</f>
        <v>160000</v>
      </c>
      <c r="K114" s="13" t="n">
        <f aca="false">'Color classification'!G114</f>
        <v>2859</v>
      </c>
      <c r="L114" s="15" t="n">
        <f aca="false">'Color classification'!H114</f>
        <v>157141</v>
      </c>
    </row>
    <row r="115" customFormat="false" ht="15" hidden="false" customHeight="false" outlineLevel="0" collapsed="false">
      <c r="A115" s="8"/>
      <c r="B115" s="13" t="n">
        <v>111</v>
      </c>
      <c r="C115" s="14" t="n">
        <v>2644</v>
      </c>
      <c r="D115" s="15" t="n">
        <v>157356</v>
      </c>
      <c r="E115" s="63" t="n">
        <f aca="false">'Color clustering'!E115</f>
        <v>0</v>
      </c>
      <c r="F115" s="64" t="n">
        <f aca="false">'Color clustering'!F115</f>
        <v>160000</v>
      </c>
      <c r="G115" s="63" t="n">
        <f aca="false">'Color clustering'!G115</f>
        <v>2540</v>
      </c>
      <c r="H115" s="63" t="n">
        <f aca="false">'Color clustering'!H115</f>
        <v>157460</v>
      </c>
      <c r="I115" s="14" t="n">
        <f aca="false">'Color classification'!E115</f>
        <v>0</v>
      </c>
      <c r="J115" s="16" t="n">
        <f aca="false">'Color classification'!F115</f>
        <v>160000</v>
      </c>
      <c r="K115" s="13" t="n">
        <f aca="false">'Color classification'!G115</f>
        <v>2603</v>
      </c>
      <c r="L115" s="15" t="n">
        <f aca="false">'Color classification'!H115</f>
        <v>157397</v>
      </c>
    </row>
    <row r="116" customFormat="false" ht="15" hidden="false" customHeight="false" outlineLevel="0" collapsed="false">
      <c r="A116" s="8"/>
      <c r="B116" s="13" t="n">
        <v>112</v>
      </c>
      <c r="C116" s="14" t="n">
        <v>2446</v>
      </c>
      <c r="D116" s="15" t="n">
        <v>157554</v>
      </c>
      <c r="E116" s="63" t="n">
        <f aca="false">'Color clustering'!E116</f>
        <v>412</v>
      </c>
      <c r="F116" s="64" t="n">
        <f aca="false">'Color clustering'!F116</f>
        <v>159588</v>
      </c>
      <c r="G116" s="63" t="n">
        <f aca="false">'Color clustering'!G116</f>
        <v>2446</v>
      </c>
      <c r="H116" s="63" t="n">
        <f aca="false">'Color clustering'!H116</f>
        <v>157554</v>
      </c>
      <c r="I116" s="14" t="n">
        <f aca="false">'Color classification'!E116</f>
        <v>103</v>
      </c>
      <c r="J116" s="16" t="n">
        <f aca="false">'Color classification'!F116</f>
        <v>159897</v>
      </c>
      <c r="K116" s="13" t="n">
        <f aca="false">'Color classification'!G116</f>
        <v>2446</v>
      </c>
      <c r="L116" s="15" t="n">
        <f aca="false">'Color classification'!H116</f>
        <v>157554</v>
      </c>
    </row>
    <row r="117" customFormat="false" ht="15" hidden="false" customHeight="false" outlineLevel="0" collapsed="false">
      <c r="A117" s="8"/>
      <c r="B117" s="13" t="n">
        <v>113</v>
      </c>
      <c r="C117" s="14" t="n">
        <v>2336</v>
      </c>
      <c r="D117" s="15" t="n">
        <v>157664</v>
      </c>
      <c r="E117" s="63" t="n">
        <f aca="false">'Color clustering'!E117</f>
        <v>0</v>
      </c>
      <c r="F117" s="64" t="n">
        <f aca="false">'Color clustering'!F117</f>
        <v>160000</v>
      </c>
      <c r="G117" s="63" t="n">
        <f aca="false">'Color clustering'!G117</f>
        <v>2343</v>
      </c>
      <c r="H117" s="63" t="n">
        <f aca="false">'Color clustering'!H117</f>
        <v>157657</v>
      </c>
      <c r="I117" s="14" t="n">
        <f aca="false">'Color classification'!E117</f>
        <v>0</v>
      </c>
      <c r="J117" s="16" t="n">
        <f aca="false">'Color classification'!F117</f>
        <v>160000</v>
      </c>
      <c r="K117" s="13" t="n">
        <f aca="false">'Color classification'!G117</f>
        <v>2337</v>
      </c>
      <c r="L117" s="15" t="n">
        <f aca="false">'Color classification'!H117</f>
        <v>157663</v>
      </c>
    </row>
    <row r="118" customFormat="false" ht="15" hidden="false" customHeight="false" outlineLevel="0" collapsed="false">
      <c r="A118" s="8"/>
      <c r="B118" s="13" t="n">
        <v>114</v>
      </c>
      <c r="C118" s="14" t="n">
        <v>2153</v>
      </c>
      <c r="D118" s="15" t="n">
        <v>157847</v>
      </c>
      <c r="E118" s="63" t="n">
        <f aca="false">'Color clustering'!E118</f>
        <v>18</v>
      </c>
      <c r="F118" s="64" t="n">
        <f aca="false">'Color clustering'!F118</f>
        <v>159982</v>
      </c>
      <c r="G118" s="63" t="n">
        <f aca="false">'Color clustering'!G118</f>
        <v>2157</v>
      </c>
      <c r="H118" s="63" t="n">
        <f aca="false">'Color clustering'!H118</f>
        <v>157843</v>
      </c>
      <c r="I118" s="14" t="n">
        <f aca="false">'Color classification'!E118</f>
        <v>40</v>
      </c>
      <c r="J118" s="16" t="n">
        <f aca="false">'Color classification'!F118</f>
        <v>159960</v>
      </c>
      <c r="K118" s="13" t="n">
        <f aca="false">'Color classification'!G118</f>
        <v>2158</v>
      </c>
      <c r="L118" s="15" t="n">
        <f aca="false">'Color classification'!H118</f>
        <v>157842</v>
      </c>
    </row>
    <row r="119" customFormat="false" ht="15" hidden="false" customHeight="false" outlineLevel="0" collapsed="false">
      <c r="A119" s="8"/>
      <c r="B119" s="13" t="n">
        <v>115</v>
      </c>
      <c r="C119" s="14" t="n">
        <v>1974</v>
      </c>
      <c r="D119" s="15" t="n">
        <v>158026</v>
      </c>
      <c r="E119" s="63" t="n">
        <f aca="false">'Color clustering'!E119</f>
        <v>28</v>
      </c>
      <c r="F119" s="64" t="n">
        <f aca="false">'Color clustering'!F119</f>
        <v>159972</v>
      </c>
      <c r="G119" s="63" t="n">
        <f aca="false">'Color clustering'!G119</f>
        <v>1988</v>
      </c>
      <c r="H119" s="63" t="n">
        <f aca="false">'Color clustering'!H119</f>
        <v>158012</v>
      </c>
      <c r="I119" s="14" t="n">
        <f aca="false">'Color classification'!E119</f>
        <v>0</v>
      </c>
      <c r="J119" s="16" t="n">
        <f aca="false">'Color classification'!F119</f>
        <v>160000</v>
      </c>
      <c r="K119" s="13" t="n">
        <f aca="false">'Color classification'!G119</f>
        <v>1994</v>
      </c>
      <c r="L119" s="15" t="n">
        <f aca="false">'Color classification'!H119</f>
        <v>158006</v>
      </c>
    </row>
    <row r="120" customFormat="false" ht="15" hidden="false" customHeight="false" outlineLevel="0" collapsed="false">
      <c r="A120" s="8"/>
      <c r="B120" s="13" t="n">
        <v>116</v>
      </c>
      <c r="C120" s="14" t="n">
        <v>1804</v>
      </c>
      <c r="D120" s="15" t="n">
        <v>158196</v>
      </c>
      <c r="E120" s="63" t="n">
        <f aca="false">'Color clustering'!E120</f>
        <v>14</v>
      </c>
      <c r="F120" s="64" t="n">
        <f aca="false">'Color clustering'!F120</f>
        <v>159986</v>
      </c>
      <c r="G120" s="63" t="n">
        <f aca="false">'Color clustering'!G120</f>
        <v>1800</v>
      </c>
      <c r="H120" s="63" t="n">
        <f aca="false">'Color clustering'!H120</f>
        <v>158200</v>
      </c>
      <c r="I120" s="14" t="n">
        <f aca="false">'Color classification'!E120</f>
        <v>20</v>
      </c>
      <c r="J120" s="16" t="n">
        <f aca="false">'Color classification'!F120</f>
        <v>159980</v>
      </c>
      <c r="K120" s="13" t="n">
        <f aca="false">'Color classification'!G120</f>
        <v>1804</v>
      </c>
      <c r="L120" s="15" t="n">
        <f aca="false">'Color classification'!H120</f>
        <v>158196</v>
      </c>
    </row>
    <row r="121" customFormat="false" ht="15" hidden="false" customHeight="false" outlineLevel="0" collapsed="false">
      <c r="A121" s="8"/>
      <c r="B121" s="13" t="n">
        <v>117</v>
      </c>
      <c r="C121" s="14" t="n">
        <v>1712</v>
      </c>
      <c r="D121" s="15" t="n">
        <v>158288</v>
      </c>
      <c r="E121" s="63" t="n">
        <f aca="false">'Color clustering'!E121</f>
        <v>89</v>
      </c>
      <c r="F121" s="64" t="n">
        <f aca="false">'Color clustering'!F121</f>
        <v>159911</v>
      </c>
      <c r="G121" s="63" t="n">
        <f aca="false">'Color clustering'!G121</f>
        <v>1715</v>
      </c>
      <c r="H121" s="63" t="n">
        <f aca="false">'Color clustering'!H121</f>
        <v>158285</v>
      </c>
      <c r="I121" s="14" t="n">
        <f aca="false">'Color classification'!E121</f>
        <v>16</v>
      </c>
      <c r="J121" s="16" t="n">
        <f aca="false">'Color classification'!F121</f>
        <v>159984</v>
      </c>
      <c r="K121" s="13" t="n">
        <f aca="false">'Color classification'!G121</f>
        <v>1722</v>
      </c>
      <c r="L121" s="15" t="n">
        <f aca="false">'Color classification'!H121</f>
        <v>158278</v>
      </c>
    </row>
    <row r="122" customFormat="false" ht="15" hidden="false" customHeight="false" outlineLevel="0" collapsed="false">
      <c r="A122" s="8"/>
      <c r="B122" s="13" t="n">
        <v>118</v>
      </c>
      <c r="C122" s="14" t="n">
        <v>1553</v>
      </c>
      <c r="D122" s="15" t="n">
        <v>158447</v>
      </c>
      <c r="E122" s="63" t="n">
        <f aca="false">'Color clustering'!E122</f>
        <v>0</v>
      </c>
      <c r="F122" s="64" t="n">
        <f aca="false">'Color clustering'!F122</f>
        <v>160000</v>
      </c>
      <c r="G122" s="63" t="n">
        <f aca="false">'Color clustering'!G122</f>
        <v>1596</v>
      </c>
      <c r="H122" s="63" t="n">
        <f aca="false">'Color clustering'!H122</f>
        <v>158404</v>
      </c>
      <c r="I122" s="14" t="n">
        <f aca="false">'Color classification'!E122</f>
        <v>0</v>
      </c>
      <c r="J122" s="16" t="n">
        <f aca="false">'Color classification'!F122</f>
        <v>160000</v>
      </c>
      <c r="K122" s="13" t="n">
        <f aca="false">'Color classification'!G122</f>
        <v>1586</v>
      </c>
      <c r="L122" s="15" t="n">
        <f aca="false">'Color classification'!H122</f>
        <v>158414</v>
      </c>
    </row>
    <row r="123" customFormat="false" ht="15" hidden="false" customHeight="false" outlineLevel="0" collapsed="false">
      <c r="A123" s="8"/>
      <c r="B123" s="13" t="n">
        <v>119</v>
      </c>
      <c r="C123" s="14" t="n">
        <v>1402</v>
      </c>
      <c r="D123" s="15" t="n">
        <v>158598</v>
      </c>
      <c r="E123" s="63" t="n">
        <f aca="false">'Color clustering'!E123</f>
        <v>0</v>
      </c>
      <c r="F123" s="64" t="n">
        <f aca="false">'Color clustering'!F123</f>
        <v>160000</v>
      </c>
      <c r="G123" s="63" t="n">
        <f aca="false">'Color clustering'!G123</f>
        <v>1402</v>
      </c>
      <c r="H123" s="63" t="n">
        <f aca="false">'Color clustering'!H123</f>
        <v>158598</v>
      </c>
      <c r="I123" s="14" t="n">
        <f aca="false">'Color classification'!E123</f>
        <v>0</v>
      </c>
      <c r="J123" s="16" t="n">
        <f aca="false">'Color classification'!F123</f>
        <v>160000</v>
      </c>
      <c r="K123" s="13" t="n">
        <f aca="false">'Color classification'!G123</f>
        <v>1402</v>
      </c>
      <c r="L123" s="15" t="n">
        <f aca="false">'Color classification'!H123</f>
        <v>158598</v>
      </c>
    </row>
    <row r="124" customFormat="false" ht="15" hidden="false" customHeight="false" outlineLevel="0" collapsed="false">
      <c r="A124" s="8"/>
      <c r="B124" s="13" t="n">
        <v>120</v>
      </c>
      <c r="C124" s="14" t="n">
        <v>1262</v>
      </c>
      <c r="D124" s="15" t="n">
        <v>158738</v>
      </c>
      <c r="E124" s="63" t="n">
        <f aca="false">'Color clustering'!E124</f>
        <v>23</v>
      </c>
      <c r="F124" s="64" t="n">
        <f aca="false">'Color clustering'!F124</f>
        <v>159977</v>
      </c>
      <c r="G124" s="63" t="n">
        <f aca="false">'Color clustering'!G124</f>
        <v>1262</v>
      </c>
      <c r="H124" s="63" t="n">
        <f aca="false">'Color clustering'!H124</f>
        <v>158738</v>
      </c>
      <c r="I124" s="14" t="n">
        <f aca="false">'Color classification'!E124</f>
        <v>18</v>
      </c>
      <c r="J124" s="16" t="n">
        <f aca="false">'Color classification'!F124</f>
        <v>159982</v>
      </c>
      <c r="K124" s="13" t="n">
        <f aca="false">'Color classification'!G124</f>
        <v>1262</v>
      </c>
      <c r="L124" s="15" t="n">
        <f aca="false">'Color classification'!H124</f>
        <v>158738</v>
      </c>
    </row>
    <row r="125" customFormat="false" ht="15" hidden="false" customHeight="false" outlineLevel="0" collapsed="false">
      <c r="A125" s="8"/>
      <c r="B125" s="13" t="n">
        <v>121</v>
      </c>
      <c r="C125" s="14" t="n">
        <v>1179</v>
      </c>
      <c r="D125" s="15" t="n">
        <v>158821</v>
      </c>
      <c r="E125" s="63" t="n">
        <f aca="false">'Color clustering'!E125</f>
        <v>0</v>
      </c>
      <c r="F125" s="64" t="n">
        <f aca="false">'Color clustering'!F125</f>
        <v>160000</v>
      </c>
      <c r="G125" s="63" t="n">
        <f aca="false">'Color clustering'!G125</f>
        <v>1146</v>
      </c>
      <c r="H125" s="63" t="n">
        <f aca="false">'Color clustering'!H125</f>
        <v>158854</v>
      </c>
      <c r="I125" s="14" t="n">
        <f aca="false">'Color classification'!E125</f>
        <v>0</v>
      </c>
      <c r="J125" s="16" t="n">
        <f aca="false">'Color classification'!F125</f>
        <v>160000</v>
      </c>
      <c r="K125" s="13" t="n">
        <f aca="false">'Color classification'!G125</f>
        <v>1143</v>
      </c>
      <c r="L125" s="15" t="n">
        <f aca="false">'Color classification'!H125</f>
        <v>158857</v>
      </c>
    </row>
    <row r="126" customFormat="false" ht="15" hidden="false" customHeight="false" outlineLevel="0" collapsed="false">
      <c r="A126" s="8"/>
      <c r="B126" s="13" t="n">
        <v>122</v>
      </c>
      <c r="C126" s="14" t="n">
        <v>1053</v>
      </c>
      <c r="D126" s="15" t="n">
        <v>158947</v>
      </c>
      <c r="E126" s="63" t="n">
        <f aca="false">'Color clustering'!E126</f>
        <v>211</v>
      </c>
      <c r="F126" s="64" t="n">
        <f aca="false">'Color clustering'!F126</f>
        <v>159789</v>
      </c>
      <c r="G126" s="63" t="n">
        <f aca="false">'Color clustering'!G126</f>
        <v>1060</v>
      </c>
      <c r="H126" s="63" t="n">
        <f aca="false">'Color clustering'!H126</f>
        <v>158940</v>
      </c>
      <c r="I126" s="14" t="n">
        <f aca="false">'Color classification'!E126</f>
        <v>58</v>
      </c>
      <c r="J126" s="16" t="n">
        <f aca="false">'Color classification'!F126</f>
        <v>159942</v>
      </c>
      <c r="K126" s="13" t="n">
        <f aca="false">'Color classification'!G126</f>
        <v>1063</v>
      </c>
      <c r="L126" s="15" t="n">
        <f aca="false">'Color classification'!H126</f>
        <v>158937</v>
      </c>
    </row>
    <row r="127" customFormat="false" ht="15" hidden="false" customHeight="false" outlineLevel="0" collapsed="false">
      <c r="A127" s="8"/>
      <c r="B127" s="13" t="n">
        <v>123</v>
      </c>
      <c r="C127" s="14" t="n">
        <v>929</v>
      </c>
      <c r="D127" s="15" t="n">
        <v>159071</v>
      </c>
      <c r="E127" s="63" t="n">
        <f aca="false">'Color clustering'!E127</f>
        <v>137</v>
      </c>
      <c r="F127" s="64" t="n">
        <f aca="false">'Color clustering'!F127</f>
        <v>159863</v>
      </c>
      <c r="G127" s="63" t="n">
        <f aca="false">'Color clustering'!G127</f>
        <v>927</v>
      </c>
      <c r="H127" s="63" t="n">
        <f aca="false">'Color clustering'!H127</f>
        <v>159073</v>
      </c>
      <c r="I127" s="14" t="n">
        <f aca="false">'Color classification'!E127</f>
        <v>3</v>
      </c>
      <c r="J127" s="16" t="n">
        <f aca="false">'Color classification'!F127</f>
        <v>159997</v>
      </c>
      <c r="K127" s="13" t="n">
        <f aca="false">'Color classification'!G127</f>
        <v>925</v>
      </c>
      <c r="L127" s="15" t="n">
        <f aca="false">'Color classification'!H127</f>
        <v>159075</v>
      </c>
    </row>
    <row r="128" customFormat="false" ht="15" hidden="false" customHeight="false" outlineLevel="0" collapsed="false">
      <c r="A128" s="8"/>
      <c r="B128" s="13" t="n">
        <v>124</v>
      </c>
      <c r="C128" s="14" t="n">
        <v>812</v>
      </c>
      <c r="D128" s="15" t="n">
        <v>159188</v>
      </c>
      <c r="E128" s="63" t="n">
        <f aca="false">'Color clustering'!E128</f>
        <v>5</v>
      </c>
      <c r="F128" s="64" t="n">
        <f aca="false">'Color clustering'!F128</f>
        <v>159995</v>
      </c>
      <c r="G128" s="63" t="n">
        <f aca="false">'Color clustering'!G128</f>
        <v>813</v>
      </c>
      <c r="H128" s="63" t="n">
        <f aca="false">'Color clustering'!H128</f>
        <v>159187</v>
      </c>
      <c r="I128" s="14" t="n">
        <f aca="false">'Color classification'!E128</f>
        <v>1</v>
      </c>
      <c r="J128" s="16" t="n">
        <f aca="false">'Color classification'!F128</f>
        <v>159999</v>
      </c>
      <c r="K128" s="13" t="n">
        <f aca="false">'Color classification'!G128</f>
        <v>815</v>
      </c>
      <c r="L128" s="15" t="n">
        <f aca="false">'Color classification'!H128</f>
        <v>159185</v>
      </c>
    </row>
    <row r="129" customFormat="false" ht="15" hidden="false" customHeight="false" outlineLevel="0" collapsed="false">
      <c r="A129" s="8"/>
      <c r="B129" s="13" t="n">
        <v>125</v>
      </c>
      <c r="C129" s="14" t="n">
        <v>752</v>
      </c>
      <c r="D129" s="15" t="n">
        <v>159248</v>
      </c>
      <c r="E129" s="63" t="n">
        <f aca="false">'Color clustering'!E129</f>
        <v>1</v>
      </c>
      <c r="F129" s="64" t="n">
        <f aca="false">'Color clustering'!F129</f>
        <v>159999</v>
      </c>
      <c r="G129" s="63" t="n">
        <f aca="false">'Color clustering'!G129</f>
        <v>763</v>
      </c>
      <c r="H129" s="63" t="n">
        <f aca="false">'Color clustering'!H129</f>
        <v>159237</v>
      </c>
      <c r="I129" s="14" t="n">
        <f aca="false">'Color classification'!E129</f>
        <v>4</v>
      </c>
      <c r="J129" s="16" t="n">
        <f aca="false">'Color classification'!F129</f>
        <v>159996</v>
      </c>
      <c r="K129" s="13" t="n">
        <f aca="false">'Color classification'!G129</f>
        <v>763</v>
      </c>
      <c r="L129" s="15" t="n">
        <f aca="false">'Color classification'!H129</f>
        <v>159237</v>
      </c>
    </row>
    <row r="130" customFormat="false" ht="15" hidden="false" customHeight="false" outlineLevel="0" collapsed="false">
      <c r="A130" s="8"/>
      <c r="B130" s="13" t="n">
        <v>126</v>
      </c>
      <c r="C130" s="14" t="n">
        <v>648</v>
      </c>
      <c r="D130" s="15" t="n">
        <v>159352</v>
      </c>
      <c r="E130" s="63" t="n">
        <f aca="false">'Color clustering'!E130</f>
        <v>0</v>
      </c>
      <c r="F130" s="64" t="n">
        <f aca="false">'Color clustering'!F130</f>
        <v>160000</v>
      </c>
      <c r="G130" s="63" t="n">
        <f aca="false">'Color clustering'!G130</f>
        <v>622</v>
      </c>
      <c r="H130" s="63" t="n">
        <f aca="false">'Color clustering'!H130</f>
        <v>159378</v>
      </c>
      <c r="I130" s="14" t="n">
        <f aca="false">'Color classification'!E130</f>
        <v>0</v>
      </c>
      <c r="J130" s="16" t="n">
        <f aca="false">'Color classification'!F130</f>
        <v>160000</v>
      </c>
      <c r="K130" s="13" t="n">
        <f aca="false">'Color classification'!G130</f>
        <v>625</v>
      </c>
      <c r="L130" s="15" t="n">
        <f aca="false">'Color classification'!H130</f>
        <v>159375</v>
      </c>
    </row>
    <row r="131" customFormat="false" ht="15" hidden="false" customHeight="false" outlineLevel="0" collapsed="false">
      <c r="A131" s="8"/>
      <c r="B131" s="13" t="n">
        <v>127</v>
      </c>
      <c r="C131" s="14" t="n">
        <v>551</v>
      </c>
      <c r="D131" s="15" t="n">
        <v>159449</v>
      </c>
      <c r="E131" s="63" t="n">
        <f aca="false">'Color clustering'!E131</f>
        <v>13</v>
      </c>
      <c r="F131" s="64" t="n">
        <f aca="false">'Color clustering'!F131</f>
        <v>159987</v>
      </c>
      <c r="G131" s="63" t="n">
        <f aca="false">'Color clustering'!G131</f>
        <v>551</v>
      </c>
      <c r="H131" s="63" t="n">
        <f aca="false">'Color clustering'!H131</f>
        <v>159449</v>
      </c>
      <c r="I131" s="14" t="n">
        <f aca="false">'Color classification'!E131</f>
        <v>5</v>
      </c>
      <c r="J131" s="16" t="n">
        <f aca="false">'Color classification'!F131</f>
        <v>159995</v>
      </c>
      <c r="K131" s="13" t="n">
        <f aca="false">'Color classification'!G131</f>
        <v>553</v>
      </c>
      <c r="L131" s="15" t="n">
        <f aca="false">'Color classification'!H131</f>
        <v>159447</v>
      </c>
    </row>
    <row r="132" customFormat="false" ht="15" hidden="false" customHeight="false" outlineLevel="0" collapsed="false">
      <c r="A132" s="8"/>
      <c r="B132" s="13" t="n">
        <v>128</v>
      </c>
      <c r="C132" s="14" t="n">
        <v>466</v>
      </c>
      <c r="D132" s="15" t="n">
        <v>159534</v>
      </c>
      <c r="E132" s="63" t="n">
        <f aca="false">'Color clustering'!E132</f>
        <v>37</v>
      </c>
      <c r="F132" s="64" t="n">
        <f aca="false">'Color clustering'!F132</f>
        <v>159963</v>
      </c>
      <c r="G132" s="63" t="n">
        <f aca="false">'Color clustering'!G132</f>
        <v>463</v>
      </c>
      <c r="H132" s="63" t="n">
        <f aca="false">'Color clustering'!H132</f>
        <v>159537</v>
      </c>
      <c r="I132" s="14" t="n">
        <f aca="false">'Color classification'!E132</f>
        <v>35</v>
      </c>
      <c r="J132" s="16" t="n">
        <f aca="false">'Color classification'!F132</f>
        <v>159965</v>
      </c>
      <c r="K132" s="13" t="n">
        <f aca="false">'Color classification'!G132</f>
        <v>463</v>
      </c>
      <c r="L132" s="15" t="n">
        <f aca="false">'Color classification'!H132</f>
        <v>159537</v>
      </c>
    </row>
    <row r="133" customFormat="false" ht="15" hidden="false" customHeight="false" outlineLevel="0" collapsed="false">
      <c r="A133" s="8"/>
      <c r="B133" s="13" t="n">
        <v>129</v>
      </c>
      <c r="C133" s="14" t="n">
        <v>417</v>
      </c>
      <c r="D133" s="15" t="n">
        <v>159583</v>
      </c>
      <c r="E133" s="63" t="n">
        <f aca="false">'Color clustering'!E133</f>
        <v>0</v>
      </c>
      <c r="F133" s="64" t="n">
        <f aca="false">'Color clustering'!F133</f>
        <v>160000</v>
      </c>
      <c r="G133" s="63" t="n">
        <f aca="false">'Color clustering'!G133</f>
        <v>417</v>
      </c>
      <c r="H133" s="63" t="n">
        <f aca="false">'Color clustering'!H133</f>
        <v>159583</v>
      </c>
      <c r="I133" s="14" t="n">
        <f aca="false">'Color classification'!E133</f>
        <v>0</v>
      </c>
      <c r="J133" s="16" t="n">
        <f aca="false">'Color classification'!F133</f>
        <v>160000</v>
      </c>
      <c r="K133" s="13" t="n">
        <f aca="false">'Color classification'!G133</f>
        <v>417</v>
      </c>
      <c r="L133" s="15" t="n">
        <f aca="false">'Color classification'!H133</f>
        <v>159583</v>
      </c>
    </row>
    <row r="134" customFormat="false" ht="15" hidden="false" customHeight="false" outlineLevel="0" collapsed="false">
      <c r="A134" s="8"/>
      <c r="B134" s="13" t="n">
        <v>130</v>
      </c>
      <c r="C134" s="14" t="n">
        <v>340</v>
      </c>
      <c r="D134" s="15" t="n">
        <v>159660</v>
      </c>
      <c r="E134" s="63" t="n">
        <f aca="false">'Color clustering'!E134</f>
        <v>6</v>
      </c>
      <c r="F134" s="64" t="n">
        <f aca="false">'Color clustering'!F134</f>
        <v>159994</v>
      </c>
      <c r="G134" s="63" t="n">
        <f aca="false">'Color clustering'!G134</f>
        <v>336</v>
      </c>
      <c r="H134" s="63" t="n">
        <f aca="false">'Color clustering'!H134</f>
        <v>159664</v>
      </c>
      <c r="I134" s="14" t="n">
        <f aca="false">'Color classification'!E134</f>
        <v>13</v>
      </c>
      <c r="J134" s="16" t="n">
        <f aca="false">'Color classification'!F134</f>
        <v>159987</v>
      </c>
      <c r="K134" s="13" t="n">
        <f aca="false">'Color classification'!G134</f>
        <v>337</v>
      </c>
      <c r="L134" s="15" t="n">
        <f aca="false">'Color classification'!H134</f>
        <v>159663</v>
      </c>
    </row>
    <row r="135" customFormat="false" ht="15" hidden="false" customHeight="false" outlineLevel="0" collapsed="false">
      <c r="A135" s="8"/>
      <c r="B135" s="13" t="n">
        <v>131</v>
      </c>
      <c r="C135" s="14" t="n">
        <v>275</v>
      </c>
      <c r="D135" s="15" t="n">
        <v>159725</v>
      </c>
      <c r="E135" s="63" t="n">
        <f aca="false">'Color clustering'!E135</f>
        <v>0</v>
      </c>
      <c r="F135" s="64" t="n">
        <f aca="false">'Color clustering'!F135</f>
        <v>160000</v>
      </c>
      <c r="G135" s="63" t="n">
        <f aca="false">'Color clustering'!G135</f>
        <v>274</v>
      </c>
      <c r="H135" s="63" t="n">
        <f aca="false">'Color clustering'!H135</f>
        <v>159726</v>
      </c>
      <c r="I135" s="14" t="n">
        <f aca="false">'Color classification'!E135</f>
        <v>0</v>
      </c>
      <c r="J135" s="16" t="n">
        <f aca="false">'Color classification'!F135</f>
        <v>160000</v>
      </c>
      <c r="K135" s="13" t="n">
        <f aca="false">'Color classification'!G135</f>
        <v>275</v>
      </c>
      <c r="L135" s="15" t="n">
        <f aca="false">'Color classification'!H135</f>
        <v>159725</v>
      </c>
    </row>
    <row r="136" customFormat="false" ht="15" hidden="false" customHeight="false" outlineLevel="0" collapsed="false">
      <c r="A136" s="8"/>
      <c r="B136" s="13" t="n">
        <v>132</v>
      </c>
      <c r="C136" s="14" t="n">
        <v>210</v>
      </c>
      <c r="D136" s="15" t="n">
        <v>159790</v>
      </c>
      <c r="E136" s="63" t="n">
        <f aca="false">'Color clustering'!E136</f>
        <v>0</v>
      </c>
      <c r="F136" s="64" t="n">
        <f aca="false">'Color clustering'!F136</f>
        <v>160000</v>
      </c>
      <c r="G136" s="63" t="n">
        <f aca="false">'Color clustering'!G136</f>
        <v>211</v>
      </c>
      <c r="H136" s="63" t="n">
        <f aca="false">'Color clustering'!H136</f>
        <v>159789</v>
      </c>
      <c r="I136" s="14" t="n">
        <f aca="false">'Color classification'!E136</f>
        <v>0</v>
      </c>
      <c r="J136" s="16" t="n">
        <f aca="false">'Color classification'!F136</f>
        <v>160000</v>
      </c>
      <c r="K136" s="13" t="n">
        <f aca="false">'Color classification'!G136</f>
        <v>213</v>
      </c>
      <c r="L136" s="15" t="n">
        <f aca="false">'Color classification'!H136</f>
        <v>159787</v>
      </c>
    </row>
    <row r="137" customFormat="false" ht="15" hidden="false" customHeight="false" outlineLevel="0" collapsed="false">
      <c r="A137" s="8"/>
      <c r="B137" s="13" t="n">
        <v>133</v>
      </c>
      <c r="C137" s="14" t="n">
        <v>181</v>
      </c>
      <c r="D137" s="15" t="n">
        <v>159819</v>
      </c>
      <c r="E137" s="63" t="n">
        <f aca="false">'Color clustering'!E137</f>
        <v>14</v>
      </c>
      <c r="F137" s="64" t="n">
        <f aca="false">'Color clustering'!F137</f>
        <v>159986</v>
      </c>
      <c r="G137" s="63" t="n">
        <f aca="false">'Color clustering'!G137</f>
        <v>181</v>
      </c>
      <c r="H137" s="63" t="n">
        <f aca="false">'Color clustering'!H137</f>
        <v>159819</v>
      </c>
      <c r="I137" s="14" t="n">
        <f aca="false">'Color classification'!E137</f>
        <v>53</v>
      </c>
      <c r="J137" s="16" t="n">
        <f aca="false">'Color classification'!F137</f>
        <v>159947</v>
      </c>
      <c r="K137" s="13" t="n">
        <f aca="false">'Color classification'!G137</f>
        <v>181</v>
      </c>
      <c r="L137" s="15" t="n">
        <f aca="false">'Color classification'!H137</f>
        <v>159819</v>
      </c>
    </row>
    <row r="138" customFormat="false" ht="15" hidden="false" customHeight="false" outlineLevel="0" collapsed="false">
      <c r="A138" s="8"/>
      <c r="B138" s="13" t="n">
        <v>134</v>
      </c>
      <c r="C138" s="14" t="n">
        <v>132</v>
      </c>
      <c r="D138" s="15" t="n">
        <v>159868</v>
      </c>
      <c r="E138" s="63" t="n">
        <f aca="false">'Color clustering'!E138</f>
        <v>0</v>
      </c>
      <c r="F138" s="64" t="n">
        <f aca="false">'Color clustering'!F138</f>
        <v>160000</v>
      </c>
      <c r="G138" s="63" t="n">
        <f aca="false">'Color clustering'!G138</f>
        <v>135</v>
      </c>
      <c r="H138" s="63" t="n">
        <f aca="false">'Color clustering'!H138</f>
        <v>159865</v>
      </c>
      <c r="I138" s="14" t="n">
        <f aca="false">'Color classification'!E138</f>
        <v>0</v>
      </c>
      <c r="J138" s="16" t="n">
        <f aca="false">'Color classification'!F138</f>
        <v>160000</v>
      </c>
      <c r="K138" s="13" t="n">
        <f aca="false">'Color classification'!G138</f>
        <v>135</v>
      </c>
      <c r="L138" s="15" t="n">
        <f aca="false">'Color classification'!H138</f>
        <v>159865</v>
      </c>
    </row>
    <row r="139" customFormat="false" ht="15" hidden="false" customHeight="false" outlineLevel="0" collapsed="false">
      <c r="A139" s="8"/>
      <c r="B139" s="13" t="n">
        <v>135</v>
      </c>
      <c r="C139" s="14" t="n">
        <v>92</v>
      </c>
      <c r="D139" s="15" t="n">
        <v>159908</v>
      </c>
      <c r="E139" s="63" t="n">
        <f aca="false">'Color clustering'!E139</f>
        <v>2</v>
      </c>
      <c r="F139" s="64" t="n">
        <f aca="false">'Color clustering'!F139</f>
        <v>159998</v>
      </c>
      <c r="G139" s="63" t="n">
        <f aca="false">'Color clustering'!G139</f>
        <v>90</v>
      </c>
      <c r="H139" s="63" t="n">
        <f aca="false">'Color clustering'!H139</f>
        <v>159910</v>
      </c>
      <c r="I139" s="14" t="n">
        <f aca="false">'Color classification'!E139</f>
        <v>5</v>
      </c>
      <c r="J139" s="16" t="n">
        <f aca="false">'Color classification'!F139</f>
        <v>159995</v>
      </c>
      <c r="K139" s="13" t="n">
        <f aca="false">'Color classification'!G139</f>
        <v>90</v>
      </c>
      <c r="L139" s="15" t="n">
        <f aca="false">'Color classification'!H139</f>
        <v>159910</v>
      </c>
    </row>
    <row r="140" customFormat="false" ht="15" hidden="false" customHeight="false" outlineLevel="0" collapsed="false">
      <c r="A140" s="8"/>
      <c r="B140" s="13" t="n">
        <v>136</v>
      </c>
      <c r="C140" s="14" t="n">
        <v>71</v>
      </c>
      <c r="D140" s="15" t="n">
        <v>159929</v>
      </c>
      <c r="E140" s="63" t="n">
        <f aca="false">'Color clustering'!E140</f>
        <v>6</v>
      </c>
      <c r="F140" s="64" t="n">
        <f aca="false">'Color clustering'!F140</f>
        <v>159994</v>
      </c>
      <c r="G140" s="63" t="n">
        <f aca="false">'Color clustering'!G140</f>
        <v>71</v>
      </c>
      <c r="H140" s="63" t="n">
        <f aca="false">'Color clustering'!H140</f>
        <v>159929</v>
      </c>
      <c r="I140" s="14" t="n">
        <f aca="false">'Color classification'!E140</f>
        <v>1</v>
      </c>
      <c r="J140" s="16" t="n">
        <f aca="false">'Color classification'!F140</f>
        <v>159999</v>
      </c>
      <c r="K140" s="13" t="n">
        <f aca="false">'Color classification'!G140</f>
        <v>71</v>
      </c>
      <c r="L140" s="15" t="n">
        <f aca="false">'Color classification'!H140</f>
        <v>159929</v>
      </c>
    </row>
    <row r="141" customFormat="false" ht="15" hidden="false" customHeight="false" outlineLevel="0" collapsed="false">
      <c r="A141" s="8"/>
      <c r="B141" s="13" t="n">
        <v>137</v>
      </c>
      <c r="C141" s="14" t="n">
        <v>42</v>
      </c>
      <c r="D141" s="15" t="n">
        <v>159958</v>
      </c>
      <c r="E141" s="63" t="n">
        <f aca="false">'Color clustering'!E141</f>
        <v>0</v>
      </c>
      <c r="F141" s="64" t="n">
        <f aca="false">'Color clustering'!F141</f>
        <v>160000</v>
      </c>
      <c r="G141" s="63" t="n">
        <f aca="false">'Color clustering'!G141</f>
        <v>38</v>
      </c>
      <c r="H141" s="63" t="n">
        <f aca="false">'Color clustering'!H141</f>
        <v>159962</v>
      </c>
      <c r="I141" s="14" t="n">
        <f aca="false">'Color classification'!E141</f>
        <v>15</v>
      </c>
      <c r="J141" s="16" t="n">
        <f aca="false">'Color classification'!F141</f>
        <v>159985</v>
      </c>
      <c r="K141" s="13" t="n">
        <f aca="false">'Color classification'!G141</f>
        <v>38</v>
      </c>
      <c r="L141" s="15" t="n">
        <f aca="false">'Color classification'!H141</f>
        <v>159962</v>
      </c>
    </row>
    <row r="142" customFormat="false" ht="15" hidden="false" customHeight="false" outlineLevel="0" collapsed="false">
      <c r="A142" s="8"/>
      <c r="B142" s="13" t="n">
        <v>138</v>
      </c>
      <c r="C142" s="14" t="n">
        <v>22</v>
      </c>
      <c r="D142" s="15" t="n">
        <v>159978</v>
      </c>
      <c r="E142" s="63" t="n">
        <f aca="false">'Color clustering'!E142</f>
        <v>0</v>
      </c>
      <c r="F142" s="64" t="n">
        <f aca="false">'Color clustering'!F142</f>
        <v>160000</v>
      </c>
      <c r="G142" s="63" t="n">
        <f aca="false">'Color clustering'!G142</f>
        <v>22</v>
      </c>
      <c r="H142" s="63" t="n">
        <f aca="false">'Color clustering'!H142</f>
        <v>159978</v>
      </c>
      <c r="I142" s="14" t="n">
        <f aca="false">'Color classification'!E142</f>
        <v>0</v>
      </c>
      <c r="J142" s="16" t="n">
        <f aca="false">'Color classification'!F142</f>
        <v>160000</v>
      </c>
      <c r="K142" s="13" t="n">
        <f aca="false">'Color classification'!G142</f>
        <v>25</v>
      </c>
      <c r="L142" s="15" t="n">
        <f aca="false">'Color classification'!H142</f>
        <v>159975</v>
      </c>
    </row>
    <row r="143" customFormat="false" ht="15" hidden="false" customHeight="false" outlineLevel="0" collapsed="false">
      <c r="A143" s="8"/>
      <c r="B143" s="13" t="n">
        <v>139</v>
      </c>
      <c r="C143" s="14" t="n">
        <v>6</v>
      </c>
      <c r="D143" s="15" t="n">
        <v>159994</v>
      </c>
      <c r="E143" s="63" t="n">
        <f aca="false">'Color clustering'!E143</f>
        <v>0</v>
      </c>
      <c r="F143" s="64" t="n">
        <f aca="false">'Color clustering'!F143</f>
        <v>160000</v>
      </c>
      <c r="G143" s="63" t="n">
        <f aca="false">'Color clustering'!G143</f>
        <v>7</v>
      </c>
      <c r="H143" s="63" t="n">
        <f aca="false">'Color clustering'!H143</f>
        <v>159993</v>
      </c>
      <c r="I143" s="14" t="n">
        <f aca="false">'Color classification'!E143</f>
        <v>0</v>
      </c>
      <c r="J143" s="16" t="n">
        <f aca="false">'Color classification'!F143</f>
        <v>160000</v>
      </c>
      <c r="K143" s="13" t="n">
        <f aca="false">'Color classification'!G143</f>
        <v>6</v>
      </c>
      <c r="L143" s="15" t="n">
        <f aca="false">'Color classification'!H143</f>
        <v>159994</v>
      </c>
    </row>
    <row r="144" customFormat="false" ht="15" hidden="false" customHeight="false" outlineLevel="0" collapsed="false">
      <c r="A144" s="8"/>
      <c r="B144" s="13" t="n">
        <v>140</v>
      </c>
      <c r="C144" s="14" t="n">
        <v>2</v>
      </c>
      <c r="D144" s="15" t="n">
        <v>159998</v>
      </c>
      <c r="E144" s="63" t="n">
        <f aca="false">'Color clustering'!E144</f>
        <v>0</v>
      </c>
      <c r="F144" s="64" t="n">
        <f aca="false">'Color clustering'!F144</f>
        <v>160000</v>
      </c>
      <c r="G144" s="63" t="n">
        <f aca="false">'Color clustering'!G144</f>
        <v>1</v>
      </c>
      <c r="H144" s="63" t="n">
        <f aca="false">'Color clustering'!H144</f>
        <v>159999</v>
      </c>
      <c r="I144" s="14" t="n">
        <f aca="false">'Color classification'!E144</f>
        <v>0</v>
      </c>
      <c r="J144" s="16" t="n">
        <f aca="false">'Color classification'!F144</f>
        <v>160000</v>
      </c>
      <c r="K144" s="13" t="n">
        <f aca="false">'Color classification'!G144</f>
        <v>1</v>
      </c>
      <c r="L144" s="15" t="n">
        <f aca="false">'Color classification'!H144</f>
        <v>159999</v>
      </c>
    </row>
    <row r="145" customFormat="false" ht="15" hidden="false" customHeight="false" outlineLevel="0" collapsed="false">
      <c r="A145" s="8"/>
      <c r="B145" s="66" t="s">
        <v>8</v>
      </c>
      <c r="C145" s="18" t="n">
        <f aca="false">SUM(C4:C144)</f>
        <v>598531</v>
      </c>
      <c r="D145" s="19" t="n">
        <f aca="false">SUM(D4:D144)</f>
        <v>21961469</v>
      </c>
      <c r="E145" s="67" t="n">
        <f aca="false">SUM(E4:E144)</f>
        <v>16142</v>
      </c>
      <c r="F145" s="68" t="n">
        <f aca="false">SUM(F4:F144)</f>
        <v>22543858</v>
      </c>
      <c r="G145" s="67" t="n">
        <f aca="false">SUM(G4:G144)</f>
        <v>598140</v>
      </c>
      <c r="H145" s="67" t="n">
        <f aca="false">SUM(H4:H144)</f>
        <v>21961860</v>
      </c>
      <c r="I145" s="18" t="n">
        <f aca="false">SUM(I4:I144)</f>
        <v>21455</v>
      </c>
      <c r="J145" s="21" t="n">
        <f aca="false">SUM(J4:J144)</f>
        <v>22538545</v>
      </c>
      <c r="K145" s="20" t="n">
        <f aca="false">SUM(K4:K144)</f>
        <v>598313</v>
      </c>
      <c r="L145" s="19" t="n">
        <f aca="false">SUM(L4:L144)</f>
        <v>21961687</v>
      </c>
    </row>
    <row r="150" customFormat="false" ht="15" hidden="false" customHeight="false" outlineLevel="0" collapsed="false">
      <c r="A150" s="52"/>
      <c r="B150" s="3" t="s">
        <v>0</v>
      </c>
      <c r="C150" s="25" t="s">
        <v>18</v>
      </c>
      <c r="D150" s="25"/>
      <c r="E150" s="25"/>
      <c r="F150" s="25"/>
      <c r="G150" s="25"/>
      <c r="H150" s="25"/>
      <c r="I150" s="23" t="s">
        <v>19</v>
      </c>
      <c r="J150" s="23"/>
      <c r="K150" s="23"/>
      <c r="L150" s="23"/>
      <c r="M150" s="23"/>
      <c r="N150" s="23"/>
    </row>
    <row r="151" customFormat="false" ht="15" hidden="false" customHeight="false" outlineLevel="0" collapsed="false">
      <c r="A151" s="52"/>
      <c r="B151" s="3"/>
      <c r="C151" s="69" t="s">
        <v>3</v>
      </c>
      <c r="D151" s="69"/>
      <c r="E151" s="69"/>
      <c r="F151" s="70" t="s">
        <v>4</v>
      </c>
      <c r="G151" s="70"/>
      <c r="H151" s="70"/>
      <c r="I151" s="71" t="s">
        <v>3</v>
      </c>
      <c r="J151" s="71"/>
      <c r="K151" s="71"/>
      <c r="L151" s="23" t="s">
        <v>4</v>
      </c>
      <c r="M151" s="23"/>
      <c r="N151" s="23"/>
    </row>
    <row r="152" customFormat="false" ht="15" hidden="false" customHeight="false" outlineLevel="0" collapsed="false">
      <c r="A152" s="8" t="s">
        <v>17</v>
      </c>
      <c r="B152" s="3"/>
      <c r="C152" s="72" t="str">
        <f aca="false">E3</f>
        <v>#e65a4a</v>
      </c>
      <c r="D152" s="28" t="str">
        <f aca="false">F3</f>
        <v>#fefefe</v>
      </c>
      <c r="E152" s="29"/>
      <c r="F152" s="30" t="str">
        <f aca="false">G3</f>
        <v>#e65a4a</v>
      </c>
      <c r="G152" s="28" t="str">
        <f aca="false">H3</f>
        <v>#fefefe</v>
      </c>
      <c r="H152" s="29"/>
      <c r="I152" s="73" t="str">
        <f aca="false">I3</f>
        <v>#e65a49</v>
      </c>
      <c r="J152" s="74" t="str">
        <f aca="false">J3</f>
        <v>#ffffff</v>
      </c>
      <c r="K152" s="75"/>
      <c r="L152" s="76" t="str">
        <f aca="false">K3</f>
        <v>#e65a49</v>
      </c>
      <c r="M152" s="74" t="str">
        <f aca="false">L3</f>
        <v>#ffffff</v>
      </c>
      <c r="N152" s="75"/>
    </row>
    <row r="153" customFormat="false" ht="15" hidden="false" customHeight="false" outlineLevel="0" collapsed="false">
      <c r="A153" s="8"/>
      <c r="B153" s="13" t="n">
        <v>0</v>
      </c>
      <c r="C153" s="77" t="n">
        <f aca="false">(ABS(C4-E4)/C4)*100</f>
        <v>0</v>
      </c>
      <c r="D153" s="77" t="n">
        <f aca="false">(ABS(D4-F4)/D4)*100</f>
        <v>0</v>
      </c>
      <c r="E153" s="78"/>
      <c r="F153" s="77" t="n">
        <f aca="false">(ABS(C4-G4)/C4)*100</f>
        <v>0</v>
      </c>
      <c r="G153" s="77" t="n">
        <f aca="false">(ABS(D4-H4)/D4)*100</f>
        <v>0</v>
      </c>
      <c r="H153" s="78"/>
      <c r="I153" s="33" t="n">
        <f aca="false">(ABS(C4-I4)/C4)*100</f>
        <v>0</v>
      </c>
      <c r="J153" s="33" t="n">
        <f aca="false">(ABS(D4-J4)/D4)*100</f>
        <v>0</v>
      </c>
      <c r="K153" s="75"/>
      <c r="L153" s="65" t="n">
        <f aca="false">(ABS(C4-K4)/C4)*100</f>
        <v>0</v>
      </c>
      <c r="M153" s="65" t="n">
        <f aca="false">(ABS(D4-L4)/D4)*100</f>
        <v>0</v>
      </c>
      <c r="N153" s="75"/>
    </row>
    <row r="154" customFormat="false" ht="15" hidden="false" customHeight="false" outlineLevel="0" collapsed="false">
      <c r="A154" s="8"/>
      <c r="B154" s="13" t="n">
        <v>1</v>
      </c>
      <c r="C154" s="77" t="n">
        <f aca="false">(ABS(C5-E5)/C5)*100</f>
        <v>100</v>
      </c>
      <c r="D154" s="77" t="n">
        <f aca="false">(ABS(D5-F5)/D5)*100</f>
        <v>0.00375014063027364</v>
      </c>
      <c r="E154" s="78"/>
      <c r="F154" s="77" t="n">
        <f aca="false">(ABS(C5-G5)/C5)*100</f>
        <v>16.6666666666667</v>
      </c>
      <c r="G154" s="77" t="n">
        <f aca="false">(ABS(D5-H5)/D5)*100</f>
        <v>0.000625023438378939</v>
      </c>
      <c r="H154" s="78"/>
      <c r="I154" s="33" t="n">
        <f aca="false">(ABS(C5-I5)/C5)*100</f>
        <v>100</v>
      </c>
      <c r="J154" s="33" t="n">
        <f aca="false">(ABS(D5-J5)/D5)*100</f>
        <v>0.00375014063027364</v>
      </c>
      <c r="K154" s="75"/>
      <c r="L154" s="65" t="n">
        <f aca="false">(ABS(C5-K5)/C5)*100</f>
        <v>16.6666666666667</v>
      </c>
      <c r="M154" s="65" t="n">
        <f aca="false">(ABS(D5-L5)/D5)*100</f>
        <v>0.000625023438378939</v>
      </c>
      <c r="N154" s="75"/>
    </row>
    <row r="155" customFormat="false" ht="15" hidden="false" customHeight="false" outlineLevel="0" collapsed="false">
      <c r="A155" s="8"/>
      <c r="B155" s="13" t="n">
        <v>2</v>
      </c>
      <c r="C155" s="77" t="n">
        <f aca="false">(ABS(C6-E6)/C6)*100</f>
        <v>100</v>
      </c>
      <c r="D155" s="77" t="n">
        <f aca="false">(ABS(D6-F6)/D6)*100</f>
        <v>0.0137518908849967</v>
      </c>
      <c r="E155" s="78"/>
      <c r="F155" s="77" t="n">
        <f aca="false">(ABS(C6-G6)/C6)*100</f>
        <v>13.6363636363636</v>
      </c>
      <c r="G155" s="77" t="n">
        <f aca="false">(ABS(D6-H6)/D6)*100</f>
        <v>0.00187525784795409</v>
      </c>
      <c r="H155" s="78"/>
      <c r="I155" s="33" t="n">
        <f aca="false">(ABS(C6-I6)/C6)*100</f>
        <v>100</v>
      </c>
      <c r="J155" s="33" t="n">
        <f aca="false">(ABS(D6-J6)/D6)*100</f>
        <v>0.0137518908849967</v>
      </c>
      <c r="K155" s="75"/>
      <c r="L155" s="65" t="n">
        <f aca="false">(ABS(C6-K6)/C6)*100</f>
        <v>13.6363636363636</v>
      </c>
      <c r="M155" s="65" t="n">
        <f aca="false">(ABS(D6-L6)/D6)*100</f>
        <v>0.00187525784795409</v>
      </c>
      <c r="N155" s="75"/>
    </row>
    <row r="156" customFormat="false" ht="15" hidden="false" customHeight="false" outlineLevel="0" collapsed="false">
      <c r="A156" s="8"/>
      <c r="B156" s="13" t="n">
        <v>3</v>
      </c>
      <c r="C156" s="77" t="n">
        <f aca="false">(ABS(C7-E7)/C7)*100</f>
        <v>100</v>
      </c>
      <c r="D156" s="77" t="n">
        <f aca="false">(ABS(D7-F7)/D7)*100</f>
        <v>0.026256892434264</v>
      </c>
      <c r="E156" s="78"/>
      <c r="F156" s="77" t="n">
        <f aca="false">(ABS(C7-G7)/C7)*100</f>
        <v>11.9047619047619</v>
      </c>
      <c r="G156" s="77" t="n">
        <f aca="false">(ABS(D7-H7)/D7)*100</f>
        <v>0.00312582052788857</v>
      </c>
      <c r="H156" s="78"/>
      <c r="I156" s="33" t="n">
        <f aca="false">(ABS(C7-I7)/C7)*100</f>
        <v>100</v>
      </c>
      <c r="J156" s="33" t="n">
        <f aca="false">(ABS(D7-J7)/D7)*100</f>
        <v>0.026256892434264</v>
      </c>
      <c r="K156" s="75"/>
      <c r="L156" s="65" t="n">
        <f aca="false">(ABS(C7-K7)/C7)*100</f>
        <v>11.9047619047619</v>
      </c>
      <c r="M156" s="65" t="n">
        <f aca="false">(ABS(D7-L7)/D7)*100</f>
        <v>0.00312582052788857</v>
      </c>
      <c r="N156" s="75"/>
    </row>
    <row r="157" customFormat="false" ht="15" hidden="false" customHeight="false" outlineLevel="0" collapsed="false">
      <c r="A157" s="8"/>
      <c r="B157" s="13" t="n">
        <v>4</v>
      </c>
      <c r="C157" s="77" t="n">
        <f aca="false">(ABS(C8-E8)/C8)*100</f>
        <v>97.1830985915493</v>
      </c>
      <c r="D157" s="77" t="n">
        <f aca="false">(ABS(D8-F8)/D8)*100</f>
        <v>0.0431441452144389</v>
      </c>
      <c r="E157" s="78"/>
      <c r="F157" s="77" t="n">
        <f aca="false">(ABS(C8-G8)/C8)*100</f>
        <v>0</v>
      </c>
      <c r="G157" s="77" t="n">
        <f aca="false">(ABS(D8-H8)/D8)*100</f>
        <v>0</v>
      </c>
      <c r="H157" s="78"/>
      <c r="I157" s="33" t="n">
        <f aca="false">(ABS(C8-I8)/C8)*100</f>
        <v>100</v>
      </c>
      <c r="J157" s="33" t="n">
        <f aca="false">(ABS(D8-J8)/D8)*100</f>
        <v>0.0443947001481908</v>
      </c>
      <c r="K157" s="75"/>
      <c r="L157" s="65" t="n">
        <f aca="false">(ABS(C8-K8)/C8)*100</f>
        <v>0</v>
      </c>
      <c r="M157" s="65" t="n">
        <f aca="false">(ABS(D8-L8)/D8)*100</f>
        <v>0</v>
      </c>
      <c r="N157" s="75"/>
    </row>
    <row r="158" customFormat="false" ht="15" hidden="false" customHeight="false" outlineLevel="0" collapsed="false">
      <c r="A158" s="8"/>
      <c r="B158" s="13" t="n">
        <v>5</v>
      </c>
      <c r="C158" s="77" t="n">
        <f aca="false">(ABS(C9-E9)/C9)*100</f>
        <v>100</v>
      </c>
      <c r="D158" s="77" t="n">
        <f aca="false">(ABS(D9-F9)/D9)*100</f>
        <v>0.0575330815218751</v>
      </c>
      <c r="E158" s="78"/>
      <c r="F158" s="77" t="n">
        <f aca="false">(ABS(C9-G9)/C9)*100</f>
        <v>11.9565217391304</v>
      </c>
      <c r="G158" s="77" t="n">
        <f aca="false">(ABS(D9-H9)/D9)*100</f>
        <v>0.00687895539935463</v>
      </c>
      <c r="H158" s="78"/>
      <c r="I158" s="33" t="n">
        <f aca="false">(ABS(C9-I9)/C9)*100</f>
        <v>100</v>
      </c>
      <c r="J158" s="33" t="n">
        <f aca="false">(ABS(D9-J9)/D9)*100</f>
        <v>0.0575330815218751</v>
      </c>
      <c r="K158" s="75"/>
      <c r="L158" s="65" t="n">
        <f aca="false">(ABS(C9-K9)/C9)*100</f>
        <v>11.9565217391304</v>
      </c>
      <c r="M158" s="65" t="n">
        <f aca="false">(ABS(D9-L9)/D9)*100</f>
        <v>0.00687895539935463</v>
      </c>
      <c r="N158" s="75"/>
    </row>
    <row r="159" customFormat="false" ht="15" hidden="false" customHeight="false" outlineLevel="0" collapsed="false">
      <c r="A159" s="8"/>
      <c r="B159" s="13" t="n">
        <v>6</v>
      </c>
      <c r="C159" s="77" t="n">
        <f aca="false">(ABS(C10-E10)/C10)*100</f>
        <v>98.4848484848485</v>
      </c>
      <c r="D159" s="77" t="n">
        <f aca="false">(ABS(D10-F10)/D10)*100</f>
        <v>0.0813170865964421</v>
      </c>
      <c r="E159" s="78"/>
      <c r="F159" s="77" t="n">
        <f aca="false">(ABS(C10-G10)/C10)*100</f>
        <v>9.84848484848485</v>
      </c>
      <c r="G159" s="77" t="n">
        <f aca="false">(ABS(D10-H10)/D10)*100</f>
        <v>0.00813170865964421</v>
      </c>
      <c r="H159" s="78"/>
      <c r="I159" s="33" t="n">
        <f aca="false">(ABS(C10-I10)/C10)*100</f>
        <v>84.0909090909091</v>
      </c>
      <c r="J159" s="33" t="n">
        <f aca="false">(ABS(D10-J10)/D10)*100</f>
        <v>0.0694322816323467</v>
      </c>
      <c r="K159" s="75"/>
      <c r="L159" s="65" t="n">
        <f aca="false">(ABS(C10-K10)/C10)*100</f>
        <v>9.84848484848485</v>
      </c>
      <c r="M159" s="65" t="n">
        <f aca="false">(ABS(D10-L10)/D10)*100</f>
        <v>0.00813170865964421</v>
      </c>
      <c r="N159" s="75"/>
    </row>
    <row r="160" customFormat="false" ht="15" hidden="false" customHeight="false" outlineLevel="0" collapsed="false">
      <c r="A160" s="8"/>
      <c r="B160" s="13" t="n">
        <v>7</v>
      </c>
      <c r="C160" s="77" t="n">
        <f aca="false">(ABS(C11-E11)/C11)*100</f>
        <v>98.8950276243094</v>
      </c>
      <c r="D160" s="77" t="n">
        <f aca="false">(ABS(D11-F11)/D11)*100</f>
        <v>0.112001701925303</v>
      </c>
      <c r="E160" s="78"/>
      <c r="F160" s="77" t="n">
        <f aca="false">(ABS(C11-G11)/C11)*100</f>
        <v>0</v>
      </c>
      <c r="G160" s="77" t="n">
        <f aca="false">(ABS(D11-H11)/D11)*100</f>
        <v>0</v>
      </c>
      <c r="H160" s="78"/>
      <c r="I160" s="33" t="n">
        <f aca="false">(ABS(C11-I11)/C11)*100</f>
        <v>98.3425414364641</v>
      </c>
      <c r="J160" s="33" t="n">
        <f aca="false">(ABS(D11-J11)/D11)*100</f>
        <v>0.111375994093318</v>
      </c>
      <c r="K160" s="75"/>
      <c r="L160" s="65" t="n">
        <f aca="false">(ABS(C11-K11)/C11)*100</f>
        <v>0</v>
      </c>
      <c r="M160" s="65" t="n">
        <f aca="false">(ABS(D11-L11)/D11)*100</f>
        <v>0</v>
      </c>
      <c r="N160" s="75"/>
    </row>
    <row r="161" customFormat="false" ht="15" hidden="false" customHeight="false" outlineLevel="0" collapsed="false">
      <c r="A161" s="8"/>
      <c r="B161" s="13" t="n">
        <v>8</v>
      </c>
      <c r="C161" s="77" t="n">
        <f aca="false">(ABS(C12-E12)/C12)*100</f>
        <v>99.5238095238095</v>
      </c>
      <c r="D161" s="77" t="n">
        <f aca="false">(ABS(D12-F12)/D12)*100</f>
        <v>0.130796670630202</v>
      </c>
      <c r="E161" s="78"/>
      <c r="F161" s="77" t="n">
        <f aca="false">(ABS(C12-G12)/C12)*100</f>
        <v>1.9047619047619</v>
      </c>
      <c r="G161" s="77" t="n">
        <f aca="false">(ABS(D12-H12)/D12)*100</f>
        <v>0.00250328556230052</v>
      </c>
      <c r="H161" s="78"/>
      <c r="I161" s="33" t="n">
        <f aca="false">(ABS(C12-I12)/C12)*100</f>
        <v>98.5714285714286</v>
      </c>
      <c r="J161" s="33" t="n">
        <f aca="false">(ABS(D12-J12)/D12)*100</f>
        <v>0.129545027849052</v>
      </c>
      <c r="K161" s="75"/>
      <c r="L161" s="65" t="n">
        <f aca="false">(ABS(C12-K12)/C12)*100</f>
        <v>2.38095238095238</v>
      </c>
      <c r="M161" s="65" t="n">
        <f aca="false">(ABS(D12-L12)/D12)*100</f>
        <v>0.00312910695287565</v>
      </c>
      <c r="N161" s="75"/>
    </row>
    <row r="162" customFormat="false" ht="15" hidden="false" customHeight="false" outlineLevel="0" collapsed="false">
      <c r="A162" s="8"/>
      <c r="B162" s="13" t="n">
        <v>9</v>
      </c>
      <c r="C162" s="77" t="n">
        <f aca="false">(ABS(C13-E13)/C13)*100</f>
        <v>100</v>
      </c>
      <c r="D162" s="77" t="n">
        <f aca="false">(ABS(D13-F13)/D13)*100</f>
        <v>0.17217091876663</v>
      </c>
      <c r="E162" s="78"/>
      <c r="F162" s="77" t="n">
        <f aca="false">(ABS(C13-G13)/C13)*100</f>
        <v>6.54545454545455</v>
      </c>
      <c r="G162" s="77" t="n">
        <f aca="false">(ABS(D13-H13)/D13)*100</f>
        <v>0.0112693692283612</v>
      </c>
      <c r="H162" s="78"/>
      <c r="I162" s="33" t="n">
        <f aca="false">(ABS(C13-I13)/C13)*100</f>
        <v>100</v>
      </c>
      <c r="J162" s="33" t="n">
        <f aca="false">(ABS(D13-J13)/D13)*100</f>
        <v>0.17217091876663</v>
      </c>
      <c r="K162" s="75"/>
      <c r="L162" s="65" t="n">
        <f aca="false">(ABS(C13-K13)/C13)*100</f>
        <v>6.54545454545455</v>
      </c>
      <c r="M162" s="65" t="n">
        <f aca="false">(ABS(D13-L13)/D13)*100</f>
        <v>0.0112693692283612</v>
      </c>
      <c r="N162" s="75"/>
    </row>
    <row r="163" customFormat="false" ht="15" hidden="false" customHeight="false" outlineLevel="0" collapsed="false">
      <c r="A163" s="8"/>
      <c r="B163" s="13" t="n">
        <v>10</v>
      </c>
      <c r="C163" s="77" t="n">
        <f aca="false">(ABS(C14-E14)/C14)*100</f>
        <v>100</v>
      </c>
      <c r="D163" s="77" t="n">
        <f aca="false">(ABS(D14-F14)/D14)*100</f>
        <v>0.212952524113742</v>
      </c>
      <c r="E163" s="78"/>
      <c r="F163" s="77" t="n">
        <f aca="false">(ABS(C14-G14)/C14)*100</f>
        <v>6.47058823529412</v>
      </c>
      <c r="G163" s="77" t="n">
        <f aca="false">(ABS(D14-H14)/D14)*100</f>
        <v>0.0137792809720656</v>
      </c>
      <c r="H163" s="78"/>
      <c r="I163" s="33" t="n">
        <f aca="false">(ABS(C14-I14)/C14)*100</f>
        <v>100</v>
      </c>
      <c r="J163" s="33" t="n">
        <f aca="false">(ABS(D14-J14)/D14)*100</f>
        <v>0.212952524113742</v>
      </c>
      <c r="K163" s="75"/>
      <c r="L163" s="65" t="n">
        <f aca="false">(ABS(C14-K14)/C14)*100</f>
        <v>6.47058823529412</v>
      </c>
      <c r="M163" s="65" t="n">
        <f aca="false">(ABS(D14-L14)/D14)*100</f>
        <v>0.0137792809720656</v>
      </c>
      <c r="N163" s="75"/>
    </row>
    <row r="164" customFormat="false" ht="15" hidden="false" customHeight="false" outlineLevel="0" collapsed="false">
      <c r="A164" s="8"/>
      <c r="B164" s="13" t="n">
        <v>11</v>
      </c>
      <c r="C164" s="77" t="n">
        <f aca="false">(ABS(C15-E15)/C15)*100</f>
        <v>98.8009592326139</v>
      </c>
      <c r="D164" s="77" t="n">
        <f aca="false">(ABS(D15-F15)/D15)*100</f>
        <v>0.258172863024257</v>
      </c>
      <c r="E164" s="78"/>
      <c r="F164" s="77" t="n">
        <f aca="false">(ABS(C15-G15)/C15)*100</f>
        <v>0.719424460431655</v>
      </c>
      <c r="G164" s="77" t="n">
        <f aca="false">(ABS(D15-H15)/D15)*100</f>
        <v>0.00187989948804071</v>
      </c>
      <c r="H164" s="78"/>
      <c r="I164" s="33" t="n">
        <f aca="false">(ABS(C15-I15)/C15)*100</f>
        <v>99.0407673860911</v>
      </c>
      <c r="J164" s="33" t="n">
        <f aca="false">(ABS(D15-J15)/D15)*100</f>
        <v>0.258799496186937</v>
      </c>
      <c r="K164" s="75"/>
      <c r="L164" s="65" t="n">
        <f aca="false">(ABS(C15-K15)/C15)*100</f>
        <v>0.479616306954436</v>
      </c>
      <c r="M164" s="65" t="n">
        <f aca="false">(ABS(D15-L15)/D15)*100</f>
        <v>0.00125326632536047</v>
      </c>
      <c r="N164" s="75"/>
    </row>
    <row r="165" customFormat="false" ht="15" hidden="false" customHeight="false" outlineLevel="0" collapsed="false">
      <c r="A165" s="8"/>
      <c r="B165" s="13" t="n">
        <v>12</v>
      </c>
      <c r="C165" s="77" t="n">
        <f aca="false">(ABS(C16-E16)/C16)*100</f>
        <v>92.4892703862661</v>
      </c>
      <c r="D165" s="77" t="n">
        <f aca="false">(ABS(D16-F16)/D16)*100</f>
        <v>0.270161846377575</v>
      </c>
      <c r="E165" s="78"/>
      <c r="F165" s="77" t="n">
        <f aca="false">(ABS(C16-G16)/C16)*100</f>
        <v>0.643776824034335</v>
      </c>
      <c r="G165" s="77" t="n">
        <f aca="false">(ABS(D16-H16)/D16)*100</f>
        <v>0.00188047688893904</v>
      </c>
      <c r="H165" s="78"/>
      <c r="I165" s="33" t="n">
        <f aca="false">(ABS(C16-I16)/C16)*100</f>
        <v>96.9957081545064</v>
      </c>
      <c r="J165" s="33" t="n">
        <f aca="false">(ABS(D16-J16)/D16)*100</f>
        <v>0.283325184600148</v>
      </c>
      <c r="K165" s="75"/>
      <c r="L165" s="65" t="n">
        <f aca="false">(ABS(C16-K16)/C16)*100</f>
        <v>0.643776824034335</v>
      </c>
      <c r="M165" s="65" t="n">
        <f aca="false">(ABS(D16-L16)/D16)*100</f>
        <v>0.00188047688893904</v>
      </c>
      <c r="N165" s="75"/>
    </row>
    <row r="166" customFormat="false" ht="15" hidden="false" customHeight="false" outlineLevel="0" collapsed="false">
      <c r="A166" s="8"/>
      <c r="B166" s="13" t="n">
        <v>13</v>
      </c>
      <c r="C166" s="77" t="n">
        <f aca="false">(ABS(C17-E17)/C17)*100</f>
        <v>100</v>
      </c>
      <c r="D166" s="77" t="n">
        <f aca="false">(ABS(D17-F17)/D17)*100</f>
        <v>0.34556503960514</v>
      </c>
      <c r="E166" s="78"/>
      <c r="F166" s="77" t="n">
        <f aca="false">(ABS(C17-G17)/C17)*100</f>
        <v>0.362976406533575</v>
      </c>
      <c r="G166" s="77" t="n">
        <f aca="false">(ABS(D17-H17)/D17)*100</f>
        <v>0.00125431956299506</v>
      </c>
      <c r="H166" s="78"/>
      <c r="I166" s="33" t="n">
        <f aca="false">(ABS(C17-I17)/C17)*100</f>
        <v>100</v>
      </c>
      <c r="J166" s="33" t="n">
        <f aca="false">(ABS(D17-J17)/D17)*100</f>
        <v>0.34556503960514</v>
      </c>
      <c r="K166" s="75"/>
      <c r="L166" s="65" t="n">
        <f aca="false">(ABS(C17-K17)/C17)*100</f>
        <v>0.544464609800363</v>
      </c>
      <c r="M166" s="65" t="n">
        <f aca="false">(ABS(D17-L17)/D17)*100</f>
        <v>0.0018814793444926</v>
      </c>
      <c r="N166" s="75"/>
    </row>
    <row r="167" customFormat="false" ht="15" hidden="false" customHeight="false" outlineLevel="0" collapsed="false">
      <c r="A167" s="8"/>
      <c r="B167" s="13" t="n">
        <v>14</v>
      </c>
      <c r="C167" s="77" t="n">
        <f aca="false">(ABS(C18-E18)/C18)*100</f>
        <v>89.6604938271605</v>
      </c>
      <c r="D167" s="77" t="n">
        <f aca="false">(ABS(D18-F18)/D18)*100</f>
        <v>0.364601636628345</v>
      </c>
      <c r="E167" s="78"/>
      <c r="F167" s="77" t="n">
        <f aca="false">(ABS(C18-G18)/C18)*100</f>
        <v>2.31481481481482</v>
      </c>
      <c r="G167" s="77" t="n">
        <f aca="false">(ABS(D18-H18)/D18)*100</f>
        <v>0.00941312314875245</v>
      </c>
      <c r="H167" s="78"/>
      <c r="I167" s="33" t="n">
        <f aca="false">(ABS(C18-I18)/C18)*100</f>
        <v>96.4506172839506</v>
      </c>
      <c r="J167" s="33" t="n">
        <f aca="false">(ABS(D18-J18)/D18)*100</f>
        <v>0.392213464531352</v>
      </c>
      <c r="K167" s="75"/>
      <c r="L167" s="65" t="n">
        <f aca="false">(ABS(C18-K18)/C18)*100</f>
        <v>2.46913580246914</v>
      </c>
      <c r="M167" s="65" t="n">
        <f aca="false">(ABS(D18-L18)/D18)*100</f>
        <v>0.0100406646920026</v>
      </c>
      <c r="N167" s="75"/>
    </row>
    <row r="168" customFormat="false" ht="15" hidden="false" customHeight="false" outlineLevel="0" collapsed="false">
      <c r="A168" s="8"/>
      <c r="B168" s="13" t="n">
        <v>15</v>
      </c>
      <c r="C168" s="77" t="n">
        <f aca="false">(ABS(C19-E19)/C19)*100</f>
        <v>99.7340425531915</v>
      </c>
      <c r="D168" s="77" t="n">
        <f aca="false">(ABS(D19-F19)/D19)*100</f>
        <v>0.470963528584347</v>
      </c>
      <c r="E168" s="78"/>
      <c r="F168" s="77" t="n">
        <f aca="false">(ABS(C19-G19)/C19)*100</f>
        <v>0.930851063829787</v>
      </c>
      <c r="G168" s="77" t="n">
        <f aca="false">(ABS(D19-H19)/D19)*100</f>
        <v>0.00439565960012057</v>
      </c>
      <c r="H168" s="78"/>
      <c r="I168" s="33" t="n">
        <f aca="false">(ABS(C19-I19)/C19)*100</f>
        <v>98.936170212766</v>
      </c>
      <c r="J168" s="33" t="n">
        <f aca="false">(ABS(D19-J19)/D19)*100</f>
        <v>0.467195820355672</v>
      </c>
      <c r="K168" s="75"/>
      <c r="L168" s="65" t="n">
        <f aca="false">(ABS(C19-K19)/C19)*100</f>
        <v>0.797872340425532</v>
      </c>
      <c r="M168" s="65" t="n">
        <f aca="false">(ABS(D19-L19)/D19)*100</f>
        <v>0.00376770822867477</v>
      </c>
      <c r="N168" s="75"/>
    </row>
    <row r="169" customFormat="false" ht="15" hidden="false" customHeight="false" outlineLevel="0" collapsed="false">
      <c r="A169" s="8"/>
      <c r="B169" s="13" t="n">
        <v>16</v>
      </c>
      <c r="C169" s="77" t="n">
        <f aca="false">(ABS(C20-E20)/C20)*100</f>
        <v>99.2610837438424</v>
      </c>
      <c r="D169" s="77" t="n">
        <f aca="false">(ABS(D20-F20)/D20)*100</f>
        <v>0.506319571827022</v>
      </c>
      <c r="E169" s="78"/>
      <c r="F169" s="77" t="n">
        <f aca="false">(ABS(C20-G20)/C20)*100</f>
        <v>0.738916256157636</v>
      </c>
      <c r="G169" s="77" t="n">
        <f aca="false">(ABS(D20-H20)/D20)*100</f>
        <v>0.00376912832625575</v>
      </c>
      <c r="H169" s="78"/>
      <c r="I169" s="33" t="n">
        <f aca="false">(ABS(C20-I20)/C20)*100</f>
        <v>99.7536945812808</v>
      </c>
      <c r="J169" s="33" t="n">
        <f aca="false">(ABS(D20-J20)/D20)*100</f>
        <v>0.508832324044526</v>
      </c>
      <c r="K169" s="75"/>
      <c r="L169" s="65" t="n">
        <f aca="false">(ABS(C20-K20)/C20)*100</f>
        <v>0.738916256157636</v>
      </c>
      <c r="M169" s="65" t="n">
        <f aca="false">(ABS(D20-L20)/D20)*100</f>
        <v>0.00376912832625575</v>
      </c>
      <c r="N169" s="75"/>
    </row>
    <row r="170" customFormat="false" ht="15" hidden="false" customHeight="false" outlineLevel="0" collapsed="false">
      <c r="A170" s="8"/>
      <c r="B170" s="13" t="n">
        <v>17</v>
      </c>
      <c r="C170" s="77" t="n">
        <f aca="false">(ABS(C21-E21)/C21)*100</f>
        <v>96.8783638320775</v>
      </c>
      <c r="D170" s="77" t="n">
        <f aca="false">(ABS(D21-F21)/D21)*100</f>
        <v>0.565785089676937</v>
      </c>
      <c r="E170" s="78"/>
      <c r="F170" s="77" t="n">
        <f aca="false">(ABS(C21-G21)/C21)*100</f>
        <v>1.18406889128095</v>
      </c>
      <c r="G170" s="77" t="n">
        <f aca="false">(ABS(D21-H21)/D21)*100</f>
        <v>0.00691515109605145</v>
      </c>
      <c r="H170" s="78"/>
      <c r="I170" s="33" t="n">
        <f aca="false">(ABS(C21-I21)/C21)*100</f>
        <v>99.8923573735199</v>
      </c>
      <c r="J170" s="33" t="n">
        <f aca="false">(ABS(D21-J21)/D21)*100</f>
        <v>0.583387292466886</v>
      </c>
      <c r="K170" s="75"/>
      <c r="L170" s="65" t="n">
        <f aca="false">(ABS(C21-K21)/C21)*100</f>
        <v>1.39935414424112</v>
      </c>
      <c r="M170" s="65" t="n">
        <f aca="false">(ABS(D21-L21)/D21)*100</f>
        <v>0.00817245129533353</v>
      </c>
      <c r="N170" s="75"/>
    </row>
    <row r="171" customFormat="false" ht="15" hidden="false" customHeight="false" outlineLevel="0" collapsed="false">
      <c r="A171" s="8"/>
      <c r="B171" s="13" t="n">
        <v>18</v>
      </c>
      <c r="C171" s="77" t="n">
        <f aca="false">(ABS(C22-E22)/C22)*100</f>
        <v>95.1566951566952</v>
      </c>
      <c r="D171" s="77" t="n">
        <f aca="false">(ABS(D22-F22)/D22)*100</f>
        <v>0.630398812182677</v>
      </c>
      <c r="E171" s="78"/>
      <c r="F171" s="77" t="n">
        <f aca="false">(ABS(C22-G22)/C22)*100</f>
        <v>0.56980056980057</v>
      </c>
      <c r="G171" s="77" t="n">
        <f aca="false">(ABS(D22-H22)/D22)*100</f>
        <v>0.00377484318672262</v>
      </c>
      <c r="H171" s="78"/>
      <c r="I171" s="33" t="n">
        <f aca="false">(ABS(C22-I22)/C22)*100</f>
        <v>98.9553656220323</v>
      </c>
      <c r="J171" s="33" t="n">
        <f aca="false">(ABS(D22-J22)/D22)*100</f>
        <v>0.655564433427495</v>
      </c>
      <c r="K171" s="75"/>
      <c r="L171" s="65" t="n">
        <f aca="false">(ABS(C22-K22)/C22)*100</f>
        <v>0.474833808167142</v>
      </c>
      <c r="M171" s="65" t="n">
        <f aca="false">(ABS(D22-L22)/D22)*100</f>
        <v>0.00314570265560218</v>
      </c>
      <c r="N171" s="75"/>
    </row>
    <row r="172" customFormat="false" ht="15" hidden="false" customHeight="false" outlineLevel="0" collapsed="false">
      <c r="A172" s="8"/>
      <c r="B172" s="13" t="n">
        <v>19</v>
      </c>
      <c r="C172" s="77" t="n">
        <f aca="false">(ABS(C23-E23)/C23)*100</f>
        <v>97.7947413061917</v>
      </c>
      <c r="D172" s="77" t="n">
        <f aca="false">(ABS(D23-F23)/D23)*100</f>
        <v>0.725974524779469</v>
      </c>
      <c r="E172" s="78"/>
      <c r="F172" s="77" t="n">
        <f aca="false">(ABS(C23-G23)/C23)*100</f>
        <v>0.0848176420695505</v>
      </c>
      <c r="G172" s="77" t="n">
        <f aca="false">(ABS(D23-H23)/D23)*100</f>
        <v>0.000629639657224171</v>
      </c>
      <c r="H172" s="78"/>
      <c r="I172" s="33" t="n">
        <f aca="false">(ABS(C23-I23)/C23)*100</f>
        <v>95.5894826123834</v>
      </c>
      <c r="J172" s="33" t="n">
        <f aca="false">(ABS(D23-J23)/D23)*100</f>
        <v>0.70960389369164</v>
      </c>
      <c r="K172" s="75"/>
      <c r="L172" s="65" t="n">
        <f aca="false">(ABS(C23-K23)/C23)*100</f>
        <v>0.169635284139101</v>
      </c>
      <c r="M172" s="65" t="n">
        <f aca="false">(ABS(D23-L23)/D23)*100</f>
        <v>0.00125927931444834</v>
      </c>
      <c r="N172" s="75"/>
    </row>
    <row r="173" customFormat="false" ht="15" hidden="false" customHeight="false" outlineLevel="0" collapsed="false">
      <c r="A173" s="8"/>
      <c r="B173" s="13" t="n">
        <v>20</v>
      </c>
      <c r="C173" s="77" t="n">
        <f aca="false">(ABS(C24-E24)/C24)*100</f>
        <v>99.6038034865293</v>
      </c>
      <c r="D173" s="77" t="n">
        <f aca="false">(ABS(D24-F24)/D24)*100</f>
        <v>0.79187088157845</v>
      </c>
      <c r="E173" s="78"/>
      <c r="F173" s="77" t="n">
        <f aca="false">(ABS(C24-G24)/C24)*100</f>
        <v>0.475435816164818</v>
      </c>
      <c r="G173" s="77" t="n">
        <f aca="false">(ABS(D24-H24)/D24)*100</f>
        <v>0.00377981327722411</v>
      </c>
      <c r="H173" s="78"/>
      <c r="I173" s="33" t="n">
        <f aca="false">(ABS(C24-I24)/C24)*100</f>
        <v>99.7622820919176</v>
      </c>
      <c r="J173" s="33" t="n">
        <f aca="false">(ABS(D24-J24)/D24)*100</f>
        <v>0.793130819337525</v>
      </c>
      <c r="K173" s="75"/>
      <c r="L173" s="65" t="n">
        <f aca="false">(ABS(C24-K24)/C24)*100</f>
        <v>0.316957210776545</v>
      </c>
      <c r="M173" s="65" t="n">
        <f aca="false">(ABS(D24-L24)/D24)*100</f>
        <v>0.0025198755181494</v>
      </c>
      <c r="N173" s="75"/>
    </row>
    <row r="174" customFormat="false" ht="15" hidden="false" customHeight="false" outlineLevel="0" collapsed="false">
      <c r="A174" s="8"/>
      <c r="B174" s="13" t="n">
        <v>21</v>
      </c>
      <c r="C174" s="77" t="n">
        <f aca="false">(ABS(C25-E25)/C25)*100</f>
        <v>98.5734664764622</v>
      </c>
      <c r="D174" s="77" t="n">
        <f aca="false">(ABS(D25-F25)/D25)*100</f>
        <v>0.871385515580272</v>
      </c>
      <c r="E174" s="78"/>
      <c r="F174" s="77" t="n">
        <f aca="false">(ABS(C25-G25)/C25)*100</f>
        <v>0.21398002853067</v>
      </c>
      <c r="G174" s="77" t="n">
        <f aca="false">(ABS(D25-H25)/D25)*100</f>
        <v>0.00189157492528279</v>
      </c>
      <c r="H174" s="78"/>
      <c r="I174" s="33" t="n">
        <f aca="false">(ABS(C25-I25)/C25)*100</f>
        <v>99.9286733238231</v>
      </c>
      <c r="J174" s="33" t="n">
        <f aca="false">(ABS(D25-J25)/D25)*100</f>
        <v>0.883365490107063</v>
      </c>
      <c r="K174" s="75"/>
      <c r="L174" s="65" t="n">
        <f aca="false">(ABS(C25-K25)/C25)*100</f>
        <v>0.285306704707561</v>
      </c>
      <c r="M174" s="65" t="n">
        <f aca="false">(ABS(D25-L25)/D25)*100</f>
        <v>0.00252209990037705</v>
      </c>
      <c r="N174" s="75"/>
    </row>
    <row r="175" customFormat="false" ht="15" hidden="false" customHeight="false" outlineLevel="0" collapsed="false">
      <c r="A175" s="8"/>
      <c r="B175" s="13" t="n">
        <v>22</v>
      </c>
      <c r="C175" s="77" t="n">
        <f aca="false">(ABS(C26-E26)/C26)*100</f>
        <v>99.7424339987122</v>
      </c>
      <c r="D175" s="77" t="n">
        <f aca="false">(ABS(D26-F26)/D26)*100</f>
        <v>0.97761396555315</v>
      </c>
      <c r="E175" s="78"/>
      <c r="F175" s="77" t="n">
        <f aca="false">(ABS(C26-G26)/C26)*100</f>
        <v>0.193174500965873</v>
      </c>
      <c r="G175" s="77" t="n">
        <f aca="false">(ABS(D26-H26)/D26)*100</f>
        <v>0.00189337759629403</v>
      </c>
      <c r="H175" s="78"/>
      <c r="I175" s="33" t="n">
        <f aca="false">(ABS(C26-I26)/C26)*100</f>
        <v>99.0985189954926</v>
      </c>
      <c r="J175" s="33" t="n">
        <f aca="false">(ABS(D26-J26)/D26)*100</f>
        <v>0.971302706898837</v>
      </c>
      <c r="K175" s="75"/>
      <c r="L175" s="65" t="n">
        <f aca="false">(ABS(C26-K26)/C26)*100</f>
        <v>0.193174500965873</v>
      </c>
      <c r="M175" s="65" t="n">
        <f aca="false">(ABS(D26-L26)/D26)*100</f>
        <v>0.00189337759629403</v>
      </c>
      <c r="N175" s="75"/>
    </row>
    <row r="176" customFormat="false" ht="15" hidden="false" customHeight="false" outlineLevel="0" collapsed="false">
      <c r="A176" s="8"/>
      <c r="B176" s="13" t="n">
        <v>23</v>
      </c>
      <c r="C176" s="77" t="n">
        <f aca="false">(ABS(C27-E27)/C27)*100</f>
        <v>99.0654205607477</v>
      </c>
      <c r="D176" s="77" t="n">
        <f aca="false">(ABS(D27-F27)/D27)*100</f>
        <v>1.0714646719903</v>
      </c>
      <c r="E176" s="78"/>
      <c r="F176" s="77" t="n">
        <f aca="false">(ABS(C27-G27)/C27)*100</f>
        <v>0.233644859813084</v>
      </c>
      <c r="G176" s="77" t="n">
        <f aca="false">(ABS(D27-H27)/D27)*100</f>
        <v>0.00252703932073183</v>
      </c>
      <c r="H176" s="78"/>
      <c r="I176" s="33" t="n">
        <f aca="false">(ABS(C27-I27)/C27)*100</f>
        <v>99.2406542056075</v>
      </c>
      <c r="J176" s="33" t="n">
        <f aca="false">(ABS(D27-J27)/D27)*100</f>
        <v>1.07335995148085</v>
      </c>
      <c r="K176" s="75"/>
      <c r="L176" s="65" t="n">
        <f aca="false">(ABS(C27-K27)/C27)*100</f>
        <v>0.233644859813084</v>
      </c>
      <c r="M176" s="65" t="n">
        <f aca="false">(ABS(D27-L27)/D27)*100</f>
        <v>0.00252703932073183</v>
      </c>
      <c r="N176" s="75"/>
    </row>
    <row r="177" customFormat="false" ht="15" hidden="false" customHeight="false" outlineLevel="0" collapsed="false">
      <c r="A177" s="8"/>
      <c r="B177" s="13" t="n">
        <v>24</v>
      </c>
      <c r="C177" s="77" t="n">
        <f aca="false">(ABS(C28-E28)/C28)*100</f>
        <v>87.5277161862528</v>
      </c>
      <c r="D177" s="77" t="n">
        <f aca="false">(ABS(D28-F28)/D28)*100</f>
        <v>0.998128903385673</v>
      </c>
      <c r="E177" s="78"/>
      <c r="F177" s="77" t="n">
        <f aca="false">(ABS(C28-G28)/C28)*100</f>
        <v>0.16629711751663</v>
      </c>
      <c r="G177" s="77" t="n">
        <f aca="false">(ABS(D28-H28)/D28)*100</f>
        <v>0.00189638170370932</v>
      </c>
      <c r="H177" s="78"/>
      <c r="I177" s="33" t="n">
        <f aca="false">(ABS(C28-I28)/C28)*100</f>
        <v>97.450110864745</v>
      </c>
      <c r="J177" s="33" t="n">
        <f aca="false">(ABS(D28-J28)/D28)*100</f>
        <v>1.11127967837366</v>
      </c>
      <c r="K177" s="75"/>
      <c r="L177" s="65" t="n">
        <f aca="false">(ABS(C28-K28)/C28)*100</f>
        <v>0.16629711751663</v>
      </c>
      <c r="M177" s="65" t="n">
        <f aca="false">(ABS(D28-L28)/D28)*100</f>
        <v>0.00189638170370932</v>
      </c>
      <c r="N177" s="75"/>
    </row>
    <row r="178" customFormat="false" ht="15" hidden="false" customHeight="false" outlineLevel="0" collapsed="false">
      <c r="A178" s="8"/>
      <c r="B178" s="13" t="n">
        <v>25</v>
      </c>
      <c r="C178" s="77" t="n">
        <f aca="false">(ABS(C29-E29)/C29)*100</f>
        <v>99.5947315096251</v>
      </c>
      <c r="D178" s="77" t="n">
        <f aca="false">(ABS(D29-F29)/D29)*100</f>
        <v>1.24409907230456</v>
      </c>
      <c r="E178" s="78"/>
      <c r="F178" s="77" t="n">
        <f aca="false">(ABS(C29-G29)/C29)*100</f>
        <v>0</v>
      </c>
      <c r="G178" s="77" t="n">
        <f aca="false">(ABS(D29-H29)/D29)*100</f>
        <v>0</v>
      </c>
      <c r="H178" s="78"/>
      <c r="I178" s="33" t="n">
        <f aca="false">(ABS(C29-I29)/C29)*100</f>
        <v>95.339412360689</v>
      </c>
      <c r="J178" s="33" t="n">
        <f aca="false">(ABS(D29-J29)/D29)*100</f>
        <v>1.19094326250111</v>
      </c>
      <c r="K178" s="75"/>
      <c r="L178" s="65" t="n">
        <f aca="false">(ABS(C29-K29)/C29)*100</f>
        <v>0.151975683890578</v>
      </c>
      <c r="M178" s="65" t="n">
        <f aca="false">(ABS(D29-L29)/D29)*100</f>
        <v>0.00189842177869465</v>
      </c>
      <c r="N178" s="75"/>
    </row>
    <row r="179" customFormat="false" ht="15" hidden="false" customHeight="false" outlineLevel="0" collapsed="false">
      <c r="A179" s="8"/>
      <c r="B179" s="13" t="n">
        <v>26</v>
      </c>
      <c r="C179" s="77" t="n">
        <f aca="false">(ABS(C30-E30)/C30)*100</f>
        <v>98.9781699953553</v>
      </c>
      <c r="D179" s="77" t="n">
        <f aca="false">(ABS(D30-F30)/D30)*100</f>
        <v>1.35004149587892</v>
      </c>
      <c r="E179" s="78"/>
      <c r="F179" s="77" t="n">
        <f aca="false">(ABS(C30-G30)/C30)*100</f>
        <v>0.0928936367858802</v>
      </c>
      <c r="G179" s="77" t="n">
        <f aca="false">(ABS(D30-H30)/D30)*100</f>
        <v>0.00126704973803747</v>
      </c>
      <c r="H179" s="78"/>
      <c r="I179" s="33" t="n">
        <f aca="false">(ABS(C30-I30)/C30)*100</f>
        <v>98.3279145378542</v>
      </c>
      <c r="J179" s="33" t="n">
        <f aca="false">(ABS(D30-J30)/D30)*100</f>
        <v>1.34117214771266</v>
      </c>
      <c r="K179" s="75"/>
      <c r="L179" s="65" t="n">
        <f aca="false">(ABS(C30-K30)/C30)*100</f>
        <v>0.0928936367858802</v>
      </c>
      <c r="M179" s="65" t="n">
        <f aca="false">(ABS(D30-L30)/D30)*100</f>
        <v>0.00126704973803747</v>
      </c>
      <c r="N179" s="75"/>
    </row>
    <row r="180" customFormat="false" ht="15" hidden="false" customHeight="false" outlineLevel="0" collapsed="false">
      <c r="A180" s="8"/>
      <c r="B180" s="13" t="n">
        <v>27</v>
      </c>
      <c r="C180" s="77" t="n">
        <f aca="false">(ABS(C31-E31)/C31)*100</f>
        <v>99.1866438356164</v>
      </c>
      <c r="D180" s="77" t="n">
        <f aca="false">(ABS(D31-F31)/D31)*100</f>
        <v>1.46958088086056</v>
      </c>
      <c r="E180" s="78"/>
      <c r="F180" s="77" t="n">
        <f aca="false">(ABS(C31-G31)/C31)*100</f>
        <v>0.128424657534247</v>
      </c>
      <c r="G180" s="77" t="n">
        <f aca="false">(ABS(D31-H31)/D31)*100</f>
        <v>0.001902780596712</v>
      </c>
      <c r="H180" s="78"/>
      <c r="I180" s="33" t="n">
        <f aca="false">(ABS(C31-I31)/C31)*100</f>
        <v>97.4743150684932</v>
      </c>
      <c r="J180" s="33" t="n">
        <f aca="false">(ABS(D31-J31)/D31)*100</f>
        <v>1.4442104729044</v>
      </c>
      <c r="K180" s="75"/>
      <c r="L180" s="65" t="n">
        <f aca="false">(ABS(C31-K31)/C31)*100</f>
        <v>0.0856164383561644</v>
      </c>
      <c r="M180" s="65" t="n">
        <f aca="false">(ABS(D31-L31)/D31)*100</f>
        <v>0.001268520397808</v>
      </c>
      <c r="N180" s="75"/>
    </row>
    <row r="181" customFormat="false" ht="15" hidden="false" customHeight="false" outlineLevel="0" collapsed="false">
      <c r="A181" s="8"/>
      <c r="B181" s="13" t="n">
        <v>28</v>
      </c>
      <c r="C181" s="77" t="n">
        <f aca="false">(ABS(C32-E32)/C32)*100</f>
        <v>98.0784955028618</v>
      </c>
      <c r="D181" s="77" t="n">
        <f aca="false">(ABS(D32-F32)/D32)*100</f>
        <v>1.52265255087145</v>
      </c>
      <c r="E181" s="78"/>
      <c r="F181" s="77" t="n">
        <f aca="false">(ABS(C32-G32)/C32)*100</f>
        <v>2.28945216680294</v>
      </c>
      <c r="G181" s="77" t="n">
        <f aca="false">(ABS(D32-H32)/D32)*100</f>
        <v>0.0355433692575244</v>
      </c>
      <c r="H181" s="78"/>
      <c r="I181" s="33" t="n">
        <f aca="false">(ABS(C32-I32)/C32)*100</f>
        <v>98.8552739165985</v>
      </c>
      <c r="J181" s="33" t="n">
        <f aca="false">(ABS(D32-J32)/D32)*100</f>
        <v>1.53471190829811</v>
      </c>
      <c r="K181" s="75"/>
      <c r="L181" s="65" t="n">
        <f aca="false">(ABS(C32-K32)/C32)*100</f>
        <v>2.24856909239575</v>
      </c>
      <c r="M181" s="65" t="n">
        <f aca="false">(ABS(D32-L32)/D32)*100</f>
        <v>0.0349086662350686</v>
      </c>
      <c r="N181" s="75"/>
    </row>
    <row r="182" customFormat="false" ht="15" hidden="false" customHeight="false" outlineLevel="0" collapsed="false">
      <c r="A182" s="8"/>
      <c r="B182" s="13" t="n">
        <v>29</v>
      </c>
      <c r="C182" s="77" t="n">
        <f aca="false">(ABS(C33-E33)/C33)*100</f>
        <v>99.7352496217852</v>
      </c>
      <c r="D182" s="77" t="n">
        <f aca="false">(ABS(D33-F33)/D33)*100</f>
        <v>1.67581789064287</v>
      </c>
      <c r="E182" s="78"/>
      <c r="F182" s="77" t="n">
        <f aca="false">(ABS(C33-G33)/C33)*100</f>
        <v>0.75642965204236</v>
      </c>
      <c r="G182" s="77" t="n">
        <f aca="false">(ABS(D33-H33)/D33)*100</f>
        <v>0.0127100333002872</v>
      </c>
      <c r="H182" s="78"/>
      <c r="I182" s="33" t="n">
        <f aca="false">(ABS(C33-I33)/C33)*100</f>
        <v>99.7730711043873</v>
      </c>
      <c r="J182" s="33" t="n">
        <f aca="false">(ABS(D33-J33)/D33)*100</f>
        <v>1.67645339230789</v>
      </c>
      <c r="K182" s="75"/>
      <c r="L182" s="65" t="n">
        <f aca="false">(ABS(C33-K33)/C33)*100</f>
        <v>0.794251134644478</v>
      </c>
      <c r="M182" s="65" t="n">
        <f aca="false">(ABS(D33-L33)/D33)*100</f>
        <v>0.0133455349653016</v>
      </c>
      <c r="N182" s="75"/>
    </row>
    <row r="183" customFormat="false" ht="15" hidden="false" customHeight="false" outlineLevel="0" collapsed="false">
      <c r="A183" s="8"/>
      <c r="B183" s="13" t="n">
        <v>30</v>
      </c>
      <c r="C183" s="77" t="n">
        <f aca="false">(ABS(C34-E34)/C34)*100</f>
        <v>98.7710674157303</v>
      </c>
      <c r="D183" s="77" t="n">
        <f aca="false">(ABS(D34-F34)/D34)*100</f>
        <v>1.78998676440643</v>
      </c>
      <c r="E183" s="78"/>
      <c r="F183" s="77" t="n">
        <f aca="false">(ABS(C34-G34)/C34)*100</f>
        <v>0.0702247191011236</v>
      </c>
      <c r="G183" s="77" t="n">
        <f aca="false">(ABS(D34-H34)/D34)*100</f>
        <v>0.00127265322744858</v>
      </c>
      <c r="H183" s="78"/>
      <c r="I183" s="33" t="n">
        <f aca="false">(ABS(C34-I34)/C34)*100</f>
        <v>99.6839887640449</v>
      </c>
      <c r="J183" s="33" t="n">
        <f aca="false">(ABS(D34-J34)/D34)*100</f>
        <v>1.80653125636327</v>
      </c>
      <c r="K183" s="75"/>
      <c r="L183" s="65" t="n">
        <f aca="false">(ABS(C34-K34)/C34)*100</f>
        <v>0.0351123595505618</v>
      </c>
      <c r="M183" s="65" t="n">
        <f aca="false">(ABS(D34-L34)/D34)*100</f>
        <v>0.000636326613724292</v>
      </c>
      <c r="N183" s="75"/>
    </row>
    <row r="184" customFormat="false" ht="15" hidden="false" customHeight="false" outlineLevel="0" collapsed="false">
      <c r="A184" s="8"/>
      <c r="B184" s="13" t="n">
        <v>31</v>
      </c>
      <c r="C184" s="77" t="n">
        <f aca="false">(ABS(C35-E35)/C35)*100</f>
        <v>99.8040496407577</v>
      </c>
      <c r="D184" s="77" t="n">
        <f aca="false">(ABS(D35-F35)/D35)*100</f>
        <v>1.94726579923282</v>
      </c>
      <c r="E184" s="78"/>
      <c r="F184" s="77" t="n">
        <f aca="false">(ABS(C35-G35)/C35)*100</f>
        <v>0.783801436969301</v>
      </c>
      <c r="G184" s="77" t="n">
        <f aca="false">(ABS(D35-H35)/D35)*100</f>
        <v>0.0152926633447604</v>
      </c>
      <c r="H184" s="78"/>
      <c r="I184" s="33" t="n">
        <f aca="false">(ABS(C35-I35)/C35)*100</f>
        <v>99.2815153494448</v>
      </c>
      <c r="J184" s="33" t="n">
        <f aca="false">(ABS(D35-J35)/D35)*100</f>
        <v>1.93707069033631</v>
      </c>
      <c r="K184" s="75"/>
      <c r="L184" s="65" t="n">
        <f aca="false">(ABS(C35-K35)/C35)*100</f>
        <v>0.685826257348138</v>
      </c>
      <c r="M184" s="65" t="n">
        <f aca="false">(ABS(D35-L35)/D35)*100</f>
        <v>0.0133810804266653</v>
      </c>
      <c r="N184" s="75"/>
    </row>
    <row r="185" customFormat="false" ht="15" hidden="false" customHeight="false" outlineLevel="0" collapsed="false">
      <c r="A185" s="8"/>
      <c r="B185" s="13" t="n">
        <v>32</v>
      </c>
      <c r="C185" s="77" t="n">
        <f aca="false">(ABS(C36-E36)/C36)*100</f>
        <v>99.7173366834171</v>
      </c>
      <c r="D185" s="77" t="n">
        <f aca="false">(ABS(D36-F36)/D36)*100</f>
        <v>2.02466585042343</v>
      </c>
      <c r="E185" s="78"/>
      <c r="F185" s="77" t="n">
        <f aca="false">(ABS(C36-G36)/C36)*100</f>
        <v>0.0314070351758794</v>
      </c>
      <c r="G185" s="77" t="n">
        <f aca="false">(ABS(D36-H36)/D36)*100</f>
        <v>0.000637690031629426</v>
      </c>
      <c r="H185" s="78"/>
      <c r="I185" s="33" t="n">
        <f aca="false">(ABS(C36-I36)/C36)*100</f>
        <v>99.1834170854271</v>
      </c>
      <c r="J185" s="33" t="n">
        <f aca="false">(ABS(D36-J36)/D36)*100</f>
        <v>2.01382511988573</v>
      </c>
      <c r="K185" s="75"/>
      <c r="L185" s="65" t="n">
        <f aca="false">(ABS(C36-K36)/C36)*100</f>
        <v>0.0628140703517588</v>
      </c>
      <c r="M185" s="65" t="n">
        <f aca="false">(ABS(D36-L36)/D36)*100</f>
        <v>0.00127538006325885</v>
      </c>
      <c r="N185" s="75"/>
    </row>
    <row r="186" customFormat="false" ht="15" hidden="false" customHeight="false" outlineLevel="0" collapsed="false">
      <c r="A186" s="8"/>
      <c r="B186" s="13" t="n">
        <v>33</v>
      </c>
      <c r="C186" s="77" t="n">
        <f aca="false">(ABS(C37-E37)/C37)*100</f>
        <v>99.9413661682791</v>
      </c>
      <c r="D186" s="77" t="n">
        <f aca="false">(ABS(D37-F37)/D37)*100</f>
        <v>2.17703670117314</v>
      </c>
      <c r="E186" s="78"/>
      <c r="F186" s="77" t="n">
        <f aca="false">(ABS(C37-G37)/C37)*100</f>
        <v>0.058633831720903</v>
      </c>
      <c r="G186" s="77" t="n">
        <f aca="false">(ABS(D37-H37)/D37)*100</f>
        <v>0.00127722892412622</v>
      </c>
      <c r="H186" s="78"/>
      <c r="I186" s="33" t="n">
        <f aca="false">(ABS(C37-I37)/C37)*100</f>
        <v>99.8240985048373</v>
      </c>
      <c r="J186" s="33" t="n">
        <f aca="false">(ABS(D37-J37)/D37)*100</f>
        <v>2.17448224332488</v>
      </c>
      <c r="K186" s="75"/>
      <c r="L186" s="65" t="n">
        <f aca="false">(ABS(C37-K37)/C37)*100</f>
        <v>0.058633831720903</v>
      </c>
      <c r="M186" s="65" t="n">
        <f aca="false">(ABS(D37-L37)/D37)*100</f>
        <v>0.00127722892412622</v>
      </c>
      <c r="N186" s="75"/>
    </row>
    <row r="187" customFormat="false" ht="15" hidden="false" customHeight="false" outlineLevel="0" collapsed="false">
      <c r="A187" s="8"/>
      <c r="B187" s="13" t="n">
        <v>34</v>
      </c>
      <c r="C187" s="77" t="n">
        <f aca="false">(ABS(C38-E38)/C38)*100</f>
        <v>88.7393573194178</v>
      </c>
      <c r="D187" s="77" t="n">
        <f aca="false">(ABS(D38-F38)/D38)*100</f>
        <v>2.06639848042006</v>
      </c>
      <c r="E187" s="78"/>
      <c r="F187" s="77" t="n">
        <f aca="false">(ABS(C38-G38)/C38)*100</f>
        <v>0</v>
      </c>
      <c r="G187" s="77" t="n">
        <f aca="false">(ABS(D38-H38)/D38)*100</f>
        <v>0</v>
      </c>
      <c r="H187" s="78"/>
      <c r="I187" s="33" t="n">
        <f aca="false">(ABS(C38-I38)/C38)*100</f>
        <v>99.5330953034881</v>
      </c>
      <c r="J187" s="33" t="n">
        <f aca="false">(ABS(D38-J38)/D38)*100</f>
        <v>2.31774314238387</v>
      </c>
      <c r="K187" s="75"/>
      <c r="L187" s="65" t="n">
        <f aca="false">(ABS(C38-K38)/C38)*100</f>
        <v>0.0274649821477616</v>
      </c>
      <c r="M187" s="65" t="n">
        <f aca="false">(ABS(D38-L38)/D38)*100</f>
        <v>0.000639553847236168</v>
      </c>
      <c r="N187" s="75"/>
    </row>
    <row r="188" customFormat="false" ht="15" hidden="false" customHeight="false" outlineLevel="0" collapsed="false">
      <c r="A188" s="8"/>
      <c r="B188" s="13" t="n">
        <v>35</v>
      </c>
      <c r="C188" s="77" t="n">
        <f aca="false">(ABS(C39-E39)/C39)*100</f>
        <v>99.3558361247101</v>
      </c>
      <c r="D188" s="77" t="n">
        <f aca="false">(ABS(D39-F39)/D39)*100</f>
        <v>2.46991077319224</v>
      </c>
      <c r="E188" s="78"/>
      <c r="F188" s="77" t="n">
        <f aca="false">(ABS(C39-G39)/C39)*100</f>
        <v>0.438031435197114</v>
      </c>
      <c r="G188" s="77" t="n">
        <f aca="false">(ABS(D39-H39)/D39)*100</f>
        <v>0.0108891294461276</v>
      </c>
      <c r="H188" s="78"/>
      <c r="I188" s="33" t="n">
        <f aca="false">(ABS(C39-I39)/C39)*100</f>
        <v>99.2012367946406</v>
      </c>
      <c r="J188" s="33" t="n">
        <f aca="false">(ABS(D39-J39)/D39)*100</f>
        <v>2.46606755103479</v>
      </c>
      <c r="K188" s="75"/>
      <c r="L188" s="65" t="n">
        <f aca="false">(ABS(C39-K39)/C39)*100</f>
        <v>0.463797990208709</v>
      </c>
      <c r="M188" s="65" t="n">
        <f aca="false">(ABS(D39-L39)/D39)*100</f>
        <v>0.0115296664723704</v>
      </c>
      <c r="N188" s="75"/>
    </row>
    <row r="189" customFormat="false" ht="15" hidden="false" customHeight="false" outlineLevel="0" collapsed="false">
      <c r="A189" s="8"/>
      <c r="B189" s="13" t="n">
        <v>36</v>
      </c>
      <c r="C189" s="77" t="n">
        <f aca="false">(ABS(C40-E40)/C40)*100</f>
        <v>96.4925373134328</v>
      </c>
      <c r="D189" s="77" t="n">
        <f aca="false">(ABS(D40-F40)/D40)*100</f>
        <v>2.48685728939608</v>
      </c>
      <c r="E189" s="78"/>
      <c r="F189" s="77" t="n">
        <f aca="false">(ABS(C40-G40)/C40)*100</f>
        <v>0.572139303482587</v>
      </c>
      <c r="G189" s="77" t="n">
        <f aca="false">(ABS(D40-H40)/D40)*100</f>
        <v>0.0147454801897679</v>
      </c>
      <c r="H189" s="78"/>
      <c r="I189" s="33" t="n">
        <f aca="false">(ABS(C40-I40)/C40)*100</f>
        <v>85.273631840796</v>
      </c>
      <c r="J189" s="33" t="n">
        <f aca="false">(ABS(D40-J40)/D40)*100</f>
        <v>2.19771765610976</v>
      </c>
      <c r="K189" s="75"/>
      <c r="L189" s="65" t="n">
        <f aca="false">(ABS(C40-K40)/C40)*100</f>
        <v>0.54726368159204</v>
      </c>
      <c r="M189" s="65" t="n">
        <f aca="false">(ABS(D40-L40)/D40)*100</f>
        <v>0.0141043723554302</v>
      </c>
      <c r="N189" s="75"/>
    </row>
    <row r="190" customFormat="false" ht="15" hidden="false" customHeight="false" outlineLevel="0" collapsed="false">
      <c r="A190" s="8"/>
      <c r="B190" s="13" t="n">
        <v>37</v>
      </c>
      <c r="C190" s="77" t="n">
        <f aca="false">(ABS(C41-E41)/C41)*100</f>
        <v>99.1081905655949</v>
      </c>
      <c r="D190" s="77" t="n">
        <f aca="false">(ABS(D41-F41)/D41)*100</f>
        <v>2.71158797732103</v>
      </c>
      <c r="E190" s="78"/>
      <c r="F190" s="77" t="n">
        <f aca="false">(ABS(C41-G41)/C41)*100</f>
        <v>0</v>
      </c>
      <c r="G190" s="77" t="n">
        <f aca="false">(ABS(D41-H41)/D41)*100</f>
        <v>0</v>
      </c>
      <c r="H190" s="78"/>
      <c r="I190" s="33" t="n">
        <f aca="false">(ABS(C41-I41)/C41)*100</f>
        <v>99.8122506453884</v>
      </c>
      <c r="J190" s="33" t="n">
        <f aca="false">(ABS(D41-J41)/D41)*100</f>
        <v>2.73085097502873</v>
      </c>
      <c r="K190" s="75"/>
      <c r="L190" s="65" t="n">
        <f aca="false">(ABS(C41-K41)/C41)*100</f>
        <v>0.0234686693264492</v>
      </c>
      <c r="M190" s="65" t="n">
        <f aca="false">(ABS(D41-L41)/D41)*100</f>
        <v>0.000642099923590109</v>
      </c>
      <c r="N190" s="75"/>
    </row>
    <row r="191" customFormat="false" ht="15" hidden="false" customHeight="false" outlineLevel="0" collapsed="false">
      <c r="A191" s="8"/>
      <c r="B191" s="13" t="n">
        <v>38</v>
      </c>
      <c r="C191" s="77" t="n">
        <f aca="false">(ABS(C42-E42)/C42)*100</f>
        <v>99.511653718091</v>
      </c>
      <c r="D191" s="77" t="n">
        <f aca="false">(ABS(D42-F42)/D42)*100</f>
        <v>2.88305090195826</v>
      </c>
      <c r="E191" s="78"/>
      <c r="F191" s="77" t="n">
        <f aca="false">(ABS(C42-G42)/C42)*100</f>
        <v>0.0221975582685905</v>
      </c>
      <c r="G191" s="77" t="n">
        <f aca="false">(ABS(D42-H42)/D42)*100</f>
        <v>0.000643107495417859</v>
      </c>
      <c r="H191" s="78"/>
      <c r="I191" s="33" t="n">
        <f aca="false">(ABS(C42-I42)/C42)*100</f>
        <v>97.4694783573807</v>
      </c>
      <c r="J191" s="33" t="n">
        <f aca="false">(ABS(D42-J42)/D42)*100</f>
        <v>2.82388501237982</v>
      </c>
      <c r="K191" s="75"/>
      <c r="L191" s="65" t="n">
        <f aca="false">(ABS(C42-K42)/C42)*100</f>
        <v>0</v>
      </c>
      <c r="M191" s="65" t="n">
        <f aca="false">(ABS(D42-L42)/D42)*100</f>
        <v>0</v>
      </c>
      <c r="N191" s="75"/>
    </row>
    <row r="192" customFormat="false" ht="15" hidden="false" customHeight="false" outlineLevel="0" collapsed="false">
      <c r="A192" s="8"/>
      <c r="B192" s="13" t="n">
        <v>39</v>
      </c>
      <c r="C192" s="77" t="n">
        <f aca="false">(ABS(C43-E43)/C43)*100</f>
        <v>89.9283607248209</v>
      </c>
      <c r="D192" s="77" t="n">
        <f aca="false">(ABS(D43-F43)/D43)*100</f>
        <v>2.74904350290492</v>
      </c>
      <c r="E192" s="78"/>
      <c r="F192" s="77" t="n">
        <f aca="false">(ABS(C43-G43)/C43)*100</f>
        <v>0</v>
      </c>
      <c r="G192" s="77" t="n">
        <f aca="false">(ABS(D43-H43)/D43)*100</f>
        <v>0</v>
      </c>
      <c r="H192" s="78"/>
      <c r="I192" s="33" t="n">
        <f aca="false">(ABS(C43-I43)/C43)*100</f>
        <v>98.3143699957859</v>
      </c>
      <c r="J192" s="33" t="n">
        <f aca="false">(ABS(D43-J43)/D43)*100</f>
        <v>3.00539760650289</v>
      </c>
      <c r="K192" s="75"/>
      <c r="L192" s="65" t="n">
        <f aca="false">(ABS(C43-K43)/C43)*100</f>
        <v>0.0210703750526759</v>
      </c>
      <c r="M192" s="65" t="n">
        <f aca="false">(ABS(D43-L43)/D43)*100</f>
        <v>0.00064410578793461</v>
      </c>
      <c r="N192" s="75"/>
    </row>
    <row r="193" customFormat="false" ht="15" hidden="false" customHeight="false" outlineLevel="0" collapsed="false">
      <c r="A193" s="8"/>
      <c r="B193" s="13" t="n">
        <v>40</v>
      </c>
      <c r="C193" s="77" t="n">
        <f aca="false">(ABS(C44-E44)/C44)*100</f>
        <v>78.885930780258</v>
      </c>
      <c r="D193" s="77" t="n">
        <f aca="false">(ABS(D44-F44)/D44)*100</f>
        <v>2.48328680931168</v>
      </c>
      <c r="E193" s="78"/>
      <c r="F193" s="77" t="n">
        <f aca="false">(ABS(C44-G44)/C44)*100</f>
        <v>0.0819168543927913</v>
      </c>
      <c r="G193" s="77" t="n">
        <f aca="false">(ABS(D44-H44)/D44)*100</f>
        <v>0.00257869865972137</v>
      </c>
      <c r="H193" s="78"/>
      <c r="I193" s="33" t="n">
        <f aca="false">(ABS(C44-I44)/C44)*100</f>
        <v>78.7630554986689</v>
      </c>
      <c r="J193" s="33" t="n">
        <f aca="false">(ABS(D44-J44)/D44)*100</f>
        <v>2.4794187613221</v>
      </c>
      <c r="K193" s="75"/>
      <c r="L193" s="65" t="n">
        <f aca="false">(ABS(C44-K44)/C44)*100</f>
        <v>0.102396067990989</v>
      </c>
      <c r="M193" s="65" t="n">
        <f aca="false">(ABS(D44-L44)/D44)*100</f>
        <v>0.00322337332465171</v>
      </c>
      <c r="N193" s="75"/>
    </row>
    <row r="194" customFormat="false" ht="15" hidden="false" customHeight="false" outlineLevel="0" collapsed="false">
      <c r="A194" s="8"/>
      <c r="B194" s="13" t="n">
        <v>41</v>
      </c>
      <c r="C194" s="77" t="n">
        <f aca="false">(ABS(C45-E45)/C45)*100</f>
        <v>99.7855750487329</v>
      </c>
      <c r="D194" s="77" t="n">
        <f aca="false">(ABS(D45-F45)/D45)*100</f>
        <v>3.30535287660619</v>
      </c>
      <c r="E194" s="78"/>
      <c r="F194" s="77" t="n">
        <f aca="false">(ABS(C45-G45)/C45)*100</f>
        <v>0.50682261208577</v>
      </c>
      <c r="G194" s="77" t="n">
        <f aca="false">(ABS(D45-H45)/D45)*100</f>
        <v>0.0167882740362885</v>
      </c>
      <c r="H194" s="78"/>
      <c r="I194" s="33" t="n">
        <f aca="false">(ABS(C45-I45)/C45)*100</f>
        <v>99.6491228070176</v>
      </c>
      <c r="J194" s="33" t="n">
        <f aca="false">(ABS(D45-J45)/D45)*100</f>
        <v>3.30083295667334</v>
      </c>
      <c r="K194" s="75"/>
      <c r="L194" s="65" t="n">
        <f aca="false">(ABS(C45-K45)/C45)*100</f>
        <v>0.487329434697856</v>
      </c>
      <c r="M194" s="65" t="n">
        <f aca="false">(ABS(D45-L45)/D45)*100</f>
        <v>0.0161425711887389</v>
      </c>
      <c r="N194" s="75"/>
    </row>
    <row r="195" customFormat="false" ht="15" hidden="false" customHeight="false" outlineLevel="0" collapsed="false">
      <c r="A195" s="8"/>
      <c r="B195" s="13" t="n">
        <v>42</v>
      </c>
      <c r="C195" s="77" t="n">
        <f aca="false">(ABS(C46-E46)/C46)*100</f>
        <v>100</v>
      </c>
      <c r="D195" s="77" t="n">
        <f aca="false">(ABS(D46-F46)/D46)*100</f>
        <v>3.47079860055745</v>
      </c>
      <c r="E195" s="78"/>
      <c r="F195" s="77" t="n">
        <f aca="false">(ABS(C46-G46)/C46)*100</f>
        <v>0.0186323830817962</v>
      </c>
      <c r="G195" s="77" t="n">
        <f aca="false">(ABS(D46-H46)/D46)*100</f>
        <v>0.000646692491253484</v>
      </c>
      <c r="H195" s="78"/>
      <c r="I195" s="33" t="n">
        <f aca="false">(ABS(C46-I46)/C46)*100</f>
        <v>86.1002422209801</v>
      </c>
      <c r="J195" s="33" t="n">
        <f aca="false">(ABS(D46-J46)/D46)*100</f>
        <v>2.98836600208235</v>
      </c>
      <c r="K195" s="75"/>
      <c r="L195" s="65" t="n">
        <f aca="false">(ABS(C46-K46)/C46)*100</f>
        <v>0.0372647661635923</v>
      </c>
      <c r="M195" s="65" t="n">
        <f aca="false">(ABS(D46-L46)/D46)*100</f>
        <v>0.00129338498250697</v>
      </c>
      <c r="N195" s="75"/>
    </row>
    <row r="196" customFormat="false" ht="15" hidden="false" customHeight="false" outlineLevel="0" collapsed="false">
      <c r="A196" s="8"/>
      <c r="B196" s="13" t="n">
        <v>43</v>
      </c>
      <c r="C196" s="77" t="n">
        <f aca="false">(ABS(C47-E47)/C47)*100</f>
        <v>99.6611982881598</v>
      </c>
      <c r="D196" s="77" t="n">
        <f aca="false">(ABS(D47-F47)/D47)*100</f>
        <v>3.62000621793875</v>
      </c>
      <c r="E196" s="78"/>
      <c r="F196" s="77" t="n">
        <f aca="false">(ABS(C47-G47)/C47)*100</f>
        <v>0</v>
      </c>
      <c r="G196" s="77" t="n">
        <f aca="false">(ABS(D47-H47)/D47)*100</f>
        <v>0</v>
      </c>
      <c r="H196" s="78"/>
      <c r="I196" s="33" t="n">
        <f aca="false">(ABS(C47-I47)/C47)*100</f>
        <v>99.5007132667618</v>
      </c>
      <c r="J196" s="33" t="n">
        <f aca="false">(ABS(D47-J47)/D47)*100</f>
        <v>3.61417690035753</v>
      </c>
      <c r="K196" s="75"/>
      <c r="L196" s="65" t="n">
        <f aca="false">(ABS(C47-K47)/C47)*100</f>
        <v>0.0178316690442225</v>
      </c>
      <c r="M196" s="65" t="n">
        <f aca="false">(ABS(D47-L47)/D47)*100</f>
        <v>0.000647701953469092</v>
      </c>
      <c r="N196" s="75"/>
    </row>
    <row r="197" customFormat="false" ht="15" hidden="false" customHeight="false" outlineLevel="0" collapsed="false">
      <c r="A197" s="8"/>
      <c r="B197" s="13" t="n">
        <v>44</v>
      </c>
      <c r="C197" s="77" t="n">
        <f aca="false">(ABS(C48-E48)/C48)*100</f>
        <v>99.547904712224</v>
      </c>
      <c r="D197" s="77" t="n">
        <f aca="false">(ABS(D48-F48)/D48)*100</f>
        <v>3.71153135514655</v>
      </c>
      <c r="E197" s="78"/>
      <c r="F197" s="77" t="n">
        <f aca="false">(ABS(C48-G48)/C48)*100</f>
        <v>0.0521648408972353</v>
      </c>
      <c r="G197" s="77" t="n">
        <f aca="false">(ABS(D48-H48)/D48)*100</f>
        <v>0.0019449072603388</v>
      </c>
      <c r="H197" s="78"/>
      <c r="I197" s="33" t="n">
        <f aca="false">(ABS(C48-I48)/C48)*100</f>
        <v>99.7391757955138</v>
      </c>
      <c r="J197" s="33" t="n">
        <f aca="false">(ABS(D48-J48)/D48)*100</f>
        <v>3.71866268176779</v>
      </c>
      <c r="K197" s="75"/>
      <c r="L197" s="65" t="n">
        <f aca="false">(ABS(C48-K48)/C48)*100</f>
        <v>0.0347765605981568</v>
      </c>
      <c r="M197" s="65" t="n">
        <f aca="false">(ABS(D48-L48)/D48)*100</f>
        <v>0.00129660484022587</v>
      </c>
      <c r="N197" s="75"/>
    </row>
    <row r="198" customFormat="false" ht="15" hidden="false" customHeight="false" outlineLevel="0" collapsed="false">
      <c r="A198" s="8"/>
      <c r="B198" s="13" t="n">
        <v>45</v>
      </c>
      <c r="C198" s="77" t="n">
        <f aca="false">(ABS(C49-E49)/C49)*100</f>
        <v>99.8329993319973</v>
      </c>
      <c r="D198" s="77" t="n">
        <f aca="false">(ABS(D49-F49)/D49)*100</f>
        <v>3.88151572604732</v>
      </c>
      <c r="E198" s="78"/>
      <c r="F198" s="77" t="n">
        <f aca="false">(ABS(C49-G49)/C49)*100</f>
        <v>0.400801603206413</v>
      </c>
      <c r="G198" s="77" t="n">
        <f aca="false">(ABS(D49-H49)/D49)*100</f>
        <v>0.0155832013089889</v>
      </c>
      <c r="H198" s="78"/>
      <c r="I198" s="33" t="n">
        <f aca="false">(ABS(C49-I49)/C49)*100</f>
        <v>98.9812959251837</v>
      </c>
      <c r="J198" s="33" t="n">
        <f aca="false">(ABS(D49-J49)/D49)*100</f>
        <v>3.84840142326572</v>
      </c>
      <c r="K198" s="75"/>
      <c r="L198" s="65" t="n">
        <f aca="false">(ABS(C49-K49)/C49)*100</f>
        <v>0.384101536406146</v>
      </c>
      <c r="M198" s="65" t="n">
        <f aca="false">(ABS(D49-L49)/D49)*100</f>
        <v>0.0149339012544477</v>
      </c>
      <c r="N198" s="75"/>
    </row>
    <row r="199" customFormat="false" ht="15" hidden="false" customHeight="false" outlineLevel="0" collapsed="false">
      <c r="A199" s="8"/>
      <c r="B199" s="13" t="n">
        <v>46</v>
      </c>
      <c r="C199" s="77" t="n">
        <f aca="false">(ABS(C50-E50)/C50)*100</f>
        <v>99.7593454195412</v>
      </c>
      <c r="D199" s="77" t="n">
        <f aca="false">(ABS(D50-F50)/D50)*100</f>
        <v>4.04378052508015</v>
      </c>
      <c r="E199" s="78"/>
      <c r="F199" s="77" t="n">
        <f aca="false">(ABS(C50-G50)/C50)*100</f>
        <v>0</v>
      </c>
      <c r="G199" s="77" t="n">
        <f aca="false">(ABS(D50-H50)/D50)*100</f>
        <v>0</v>
      </c>
      <c r="H199" s="78"/>
      <c r="I199" s="33" t="n">
        <f aca="false">(ABS(C50-I50)/C50)*100</f>
        <v>99.9037381678165</v>
      </c>
      <c r="J199" s="33" t="n">
        <f aca="false">(ABS(D50-J50)/D50)*100</f>
        <v>4.04963353645451</v>
      </c>
      <c r="K199" s="75"/>
      <c r="L199" s="65" t="n">
        <f aca="false">(ABS(C50-K50)/C50)*100</f>
        <v>0.0160436386972565</v>
      </c>
      <c r="M199" s="65" t="n">
        <f aca="false">(ABS(D50-L50)/D50)*100</f>
        <v>0.000650334597150234</v>
      </c>
      <c r="N199" s="75"/>
    </row>
    <row r="200" customFormat="false" ht="15" hidden="false" customHeight="false" outlineLevel="0" collapsed="false">
      <c r="A200" s="8"/>
      <c r="B200" s="13" t="n">
        <v>47</v>
      </c>
      <c r="C200" s="77" t="n">
        <f aca="false">(ABS(C51-E51)/C51)*100</f>
        <v>88.2661726107766</v>
      </c>
      <c r="D200" s="77" t="n">
        <f aca="false">(ABS(D51-F51)/D51)*100</f>
        <v>3.72387199312155</v>
      </c>
      <c r="E200" s="78"/>
      <c r="F200" s="77" t="n">
        <f aca="false">(ABS(C51-G51)/C51)*100</f>
        <v>0.0463177396943029</v>
      </c>
      <c r="G200" s="77" t="n">
        <f aca="false">(ABS(D51-H51)/D51)*100</f>
        <v>0.00195410459670538</v>
      </c>
      <c r="H200" s="78"/>
      <c r="I200" s="33" t="n">
        <f aca="false">(ABS(C51-I51)/C51)*100</f>
        <v>94.6117029488961</v>
      </c>
      <c r="J200" s="33" t="n">
        <f aca="false">(ABS(D51-J51)/D51)*100</f>
        <v>3.99158432287019</v>
      </c>
      <c r="K200" s="75"/>
      <c r="L200" s="65" t="n">
        <f aca="false">(ABS(C51-K51)/C51)*100</f>
        <v>0.0308784931295353</v>
      </c>
      <c r="M200" s="65" t="n">
        <f aca="false">(ABS(D51-L51)/D51)*100</f>
        <v>0.00130273639780359</v>
      </c>
      <c r="N200" s="75"/>
    </row>
    <row r="201" customFormat="false" ht="15" hidden="false" customHeight="false" outlineLevel="0" collapsed="false">
      <c r="A201" s="8"/>
      <c r="B201" s="13" t="n">
        <v>48</v>
      </c>
      <c r="C201" s="77" t="n">
        <f aca="false">(ABS(C52-E52)/C52)*100</f>
        <v>98.8806534563606</v>
      </c>
      <c r="D201" s="77" t="n">
        <f aca="false">(ABS(D52-F52)/D52)*100</f>
        <v>4.26171368220668</v>
      </c>
      <c r="E201" s="78"/>
      <c r="F201" s="77" t="n">
        <f aca="false">(ABS(C52-G52)/C52)*100</f>
        <v>1.10422023899561</v>
      </c>
      <c r="G201" s="77" t="n">
        <f aca="false">(ABS(D52-H52)/D52)*100</f>
        <v>0.0475914178982848</v>
      </c>
      <c r="H201" s="78"/>
      <c r="I201" s="33" t="n">
        <f aca="false">(ABS(C52-I52)/C52)*100</f>
        <v>98.4117380124036</v>
      </c>
      <c r="J201" s="33" t="n">
        <f aca="false">(ABS(D52-J52)/D52)*100</f>
        <v>4.24150362803069</v>
      </c>
      <c r="K201" s="75"/>
      <c r="L201" s="65" t="n">
        <f aca="false">(ABS(C52-K52)/C52)*100</f>
        <v>1.08909393435184</v>
      </c>
      <c r="M201" s="65" t="n">
        <f aca="false">(ABS(D52-L52)/D52)*100</f>
        <v>0.0469394806668014</v>
      </c>
      <c r="N201" s="75"/>
    </row>
    <row r="202" customFormat="false" ht="15" hidden="false" customHeight="false" outlineLevel="0" collapsed="false">
      <c r="A202" s="8"/>
      <c r="B202" s="13" t="n">
        <v>49</v>
      </c>
      <c r="C202" s="77" t="n">
        <f aca="false">(ABS(C53-E53)/C53)*100</f>
        <v>95.4492415402567</v>
      </c>
      <c r="D202" s="77" t="n">
        <f aca="false">(ABS(D53-F53)/D53)*100</f>
        <v>4.27310243953403</v>
      </c>
      <c r="E202" s="78"/>
      <c r="F202" s="77" t="n">
        <f aca="false">(ABS(C53-G53)/C53)*100</f>
        <v>0.116686114352392</v>
      </c>
      <c r="G202" s="77" t="n">
        <f aca="false">(ABS(D53-H53)/D53)*100</f>
        <v>0.00522384161312229</v>
      </c>
      <c r="H202" s="78"/>
      <c r="I202" s="33" t="n">
        <f aca="false">(ABS(C53-I53)/C53)*100</f>
        <v>98.497666277713</v>
      </c>
      <c r="J202" s="33" t="n">
        <f aca="false">(ABS(D53-J53)/D53)*100</f>
        <v>4.40957530167685</v>
      </c>
      <c r="K202" s="75"/>
      <c r="L202" s="65" t="n">
        <f aca="false">(ABS(C53-K53)/C53)*100</f>
        <v>0.131271878646441</v>
      </c>
      <c r="M202" s="65" t="n">
        <f aca="false">(ABS(D53-L53)/D53)*100</f>
        <v>0.00587682181476258</v>
      </c>
      <c r="N202" s="75"/>
    </row>
    <row r="203" customFormat="false" ht="15" hidden="false" customHeight="false" outlineLevel="0" collapsed="false">
      <c r="A203" s="8"/>
      <c r="B203" s="13" t="n">
        <v>50</v>
      </c>
      <c r="C203" s="77" t="n">
        <f aca="false">(ABS(C54-E54)/C54)*100</f>
        <v>99.0263863411881</v>
      </c>
      <c r="D203" s="77" t="n">
        <f aca="false">(ABS(D54-F54)/D54)*100</f>
        <v>4.58953784177931</v>
      </c>
      <c r="E203" s="78"/>
      <c r="F203" s="77" t="n">
        <f aca="false">(ABS(C54-G54)/C54)*100</f>
        <v>0.423310286439961</v>
      </c>
      <c r="G203" s="77" t="n">
        <f aca="false">(ABS(D54-H54)/D54)*100</f>
        <v>0.0196189990386691</v>
      </c>
      <c r="H203" s="78"/>
      <c r="I203" s="33" t="n">
        <f aca="false">(ABS(C54-I54)/C54)*100</f>
        <v>96.4865246225483</v>
      </c>
      <c r="J203" s="33" t="n">
        <f aca="false">(ABS(D54-J54)/D54)*100</f>
        <v>4.4718238475473</v>
      </c>
      <c r="K203" s="75"/>
      <c r="L203" s="65" t="n">
        <f aca="false">(ABS(C54-K54)/C54)*100</f>
        <v>0.395089600677297</v>
      </c>
      <c r="M203" s="65" t="n">
        <f aca="false">(ABS(D54-L54)/D54)*100</f>
        <v>0.0183110657694244</v>
      </c>
      <c r="N203" s="75"/>
    </row>
    <row r="204" customFormat="false" ht="15" hidden="false" customHeight="false" outlineLevel="0" collapsed="false">
      <c r="A204" s="8"/>
      <c r="B204" s="13" t="n">
        <v>51</v>
      </c>
      <c r="C204" s="77" t="n">
        <f aca="false">(ABS(C55-E55)/C55)*100</f>
        <v>98.4404924760602</v>
      </c>
      <c r="D204" s="77" t="n">
        <f aca="false">(ABS(D55-F55)/D55)*100</f>
        <v>4.7128168183902</v>
      </c>
      <c r="E204" s="78"/>
      <c r="F204" s="77" t="n">
        <f aca="false">(ABS(C55-G55)/C55)*100</f>
        <v>0</v>
      </c>
      <c r="G204" s="77" t="n">
        <f aca="false">(ABS(D55-H55)/D55)*100</f>
        <v>0</v>
      </c>
      <c r="H204" s="78"/>
      <c r="I204" s="33" t="n">
        <f aca="false">(ABS(C55-I55)/C55)*100</f>
        <v>99.3707250341997</v>
      </c>
      <c r="J204" s="33" t="n">
        <f aca="false">(ABS(D55-J55)/D55)*100</f>
        <v>4.75735149649617</v>
      </c>
      <c r="K204" s="75"/>
      <c r="L204" s="65" t="n">
        <f aca="false">(ABS(C55-K55)/C55)*100</f>
        <v>0.0136798905608755</v>
      </c>
      <c r="M204" s="65" t="n">
        <f aca="false">(ABS(D55-L55)/D55)*100</f>
        <v>0.000654921736852446</v>
      </c>
      <c r="N204" s="75"/>
    </row>
    <row r="205" customFormat="false" ht="15" hidden="false" customHeight="false" outlineLevel="0" collapsed="false">
      <c r="A205" s="8"/>
      <c r="B205" s="13" t="n">
        <v>52</v>
      </c>
      <c r="C205" s="77" t="n">
        <f aca="false">(ABS(C56-E56)/C56)*100</f>
        <v>99.8387313533127</v>
      </c>
      <c r="D205" s="77" t="n">
        <f aca="false">(ABS(D56-F56)/D56)*100</f>
        <v>4.86959143675562</v>
      </c>
      <c r="E205" s="78"/>
      <c r="F205" s="77" t="n">
        <f aca="false">(ABS(C56-G56)/C56)*100</f>
        <v>0.0134390538906061</v>
      </c>
      <c r="G205" s="77" t="n">
        <f aca="false">(ABS(D56-H56)/D56)*100</f>
        <v>0.000655484107787807</v>
      </c>
      <c r="H205" s="78"/>
      <c r="I205" s="33" t="n">
        <f aca="false">(ABS(C56-I56)/C56)*100</f>
        <v>97.8228732697218</v>
      </c>
      <c r="J205" s="33" t="n">
        <f aca="false">(ABS(D56-J56)/D56)*100</f>
        <v>4.77126882058744</v>
      </c>
      <c r="K205" s="75"/>
      <c r="L205" s="65" t="n">
        <f aca="false">(ABS(C56-K56)/C56)*100</f>
        <v>0.0268781077812122</v>
      </c>
      <c r="M205" s="65" t="n">
        <f aca="false">(ABS(D56-L56)/D56)*100</f>
        <v>0.00131096821557561</v>
      </c>
      <c r="N205" s="75"/>
    </row>
    <row r="206" customFormat="false" ht="15" hidden="false" customHeight="false" outlineLevel="0" collapsed="false">
      <c r="A206" s="8"/>
      <c r="B206" s="13" t="n">
        <v>53</v>
      </c>
      <c r="C206" s="77" t="n">
        <f aca="false">(ABS(C57-E57)/C57)*100</f>
        <v>77.5816993464052</v>
      </c>
      <c r="D206" s="77" t="n">
        <f aca="false">(ABS(D57-F57)/D57)*100</f>
        <v>3.89563505086971</v>
      </c>
      <c r="E206" s="78"/>
      <c r="F206" s="77" t="n">
        <f aca="false">(ABS(C57-G57)/C57)*100</f>
        <v>0.0261437908496732</v>
      </c>
      <c r="G206" s="77" t="n">
        <f aca="false">(ABS(D57-H57)/D57)*100</f>
        <v>0.00131276665572694</v>
      </c>
      <c r="H206" s="78"/>
      <c r="I206" s="33" t="n">
        <f aca="false">(ABS(C57-I57)/C57)*100</f>
        <v>98.8888888888889</v>
      </c>
      <c r="J206" s="33" t="n">
        <f aca="false">(ABS(D57-J57)/D57)*100</f>
        <v>4.96553987528717</v>
      </c>
      <c r="K206" s="75"/>
      <c r="L206" s="65" t="n">
        <f aca="false">(ABS(C57-K57)/C57)*100</f>
        <v>0.0261437908496732</v>
      </c>
      <c r="M206" s="65" t="n">
        <f aca="false">(ABS(D57-L57)/D57)*100</f>
        <v>0.00131276665572694</v>
      </c>
      <c r="N206" s="75"/>
    </row>
    <row r="207" customFormat="false" ht="15" hidden="false" customHeight="false" outlineLevel="0" collapsed="false">
      <c r="A207" s="8"/>
      <c r="B207" s="13" t="n">
        <v>54</v>
      </c>
      <c r="C207" s="77" t="n">
        <f aca="false">(ABS(C58-E58)/C58)*100</f>
        <v>99.0328327818783</v>
      </c>
      <c r="D207" s="77" t="n">
        <f aca="false">(ABS(D58-F58)/D58)*100</f>
        <v>5.1149583941318</v>
      </c>
      <c r="E207" s="78"/>
      <c r="F207" s="77" t="n">
        <f aca="false">(ABS(C58-G58)/C58)*100</f>
        <v>0.0890811911427844</v>
      </c>
      <c r="G207" s="77" t="n">
        <f aca="false">(ABS(D58-H58)/D58)*100</f>
        <v>0.0046009648880651</v>
      </c>
      <c r="H207" s="78"/>
      <c r="I207" s="33" t="n">
        <f aca="false">(ABS(C58-I58)/C58)*100</f>
        <v>64.3675235428862</v>
      </c>
      <c r="J207" s="33" t="n">
        <f aca="false">(ABS(D58-J58)/D58)*100</f>
        <v>3.32452577197618</v>
      </c>
      <c r="K207" s="75"/>
      <c r="L207" s="65" t="n">
        <f aca="false">(ABS(C58-K58)/C58)*100</f>
        <v>0.063629422244846</v>
      </c>
      <c r="M207" s="65" t="n">
        <f aca="false">(ABS(D58-L58)/D58)*100</f>
        <v>0.00328640349147507</v>
      </c>
      <c r="N207" s="75"/>
    </row>
    <row r="208" customFormat="false" ht="15" hidden="false" customHeight="false" outlineLevel="0" collapsed="false">
      <c r="A208" s="8"/>
      <c r="B208" s="13" t="n">
        <v>55</v>
      </c>
      <c r="C208" s="77" t="n">
        <f aca="false">(ABS(C59-E59)/C59)*100</f>
        <v>99.379498634897</v>
      </c>
      <c r="D208" s="77" t="n">
        <f aca="false">(ABS(D59-F59)/D59)*100</f>
        <v>5.2704321385792</v>
      </c>
      <c r="E208" s="78"/>
      <c r="F208" s="77" t="n">
        <f aca="false">(ABS(C59-G59)/C59)*100</f>
        <v>0.0372300819061802</v>
      </c>
      <c r="G208" s="77" t="n">
        <f aca="false">(ABS(D59-H59)/D59)*100</f>
        <v>0.00197443761435285</v>
      </c>
      <c r="H208" s="78"/>
      <c r="I208" s="33" t="n">
        <f aca="false">(ABS(C59-I59)/C59)*100</f>
        <v>99.4663688260114</v>
      </c>
      <c r="J208" s="33" t="n">
        <f aca="false">(ABS(D59-J59)/D59)*100</f>
        <v>5.27503915967935</v>
      </c>
      <c r="K208" s="75"/>
      <c r="L208" s="65" t="n">
        <f aca="false">(ABS(C59-K59)/C59)*100</f>
        <v>0.0124100273020601</v>
      </c>
      <c r="M208" s="65" t="n">
        <f aca="false">(ABS(D59-L59)/D59)*100</f>
        <v>0.000658145871450948</v>
      </c>
      <c r="N208" s="75"/>
    </row>
    <row r="209" customFormat="false" ht="15" hidden="false" customHeight="false" outlineLevel="0" collapsed="false">
      <c r="A209" s="8"/>
      <c r="B209" s="13" t="n">
        <v>56</v>
      </c>
      <c r="C209" s="77" t="n">
        <f aca="false">(ABS(C60-E60)/C60)*100</f>
        <v>94.5260837619397</v>
      </c>
      <c r="D209" s="77" t="n">
        <f aca="false">(ABS(D60-F60)/D60)*100</f>
        <v>5.08384156381311</v>
      </c>
      <c r="E209" s="78"/>
      <c r="F209" s="77" t="n">
        <f aca="false">(ABS(C60-G60)/C60)*100</f>
        <v>0.244917952485917</v>
      </c>
      <c r="G209" s="77" t="n">
        <f aca="false">(ABS(D60-H60)/D60)*100</f>
        <v>0.0131722802534347</v>
      </c>
      <c r="H209" s="78"/>
      <c r="I209" s="33" t="n">
        <f aca="false">(ABS(C60-I60)/C60)*100</f>
        <v>84.8763164339946</v>
      </c>
      <c r="J209" s="33" t="n">
        <f aca="false">(ABS(D60-J60)/D60)*100</f>
        <v>4.56485372182779</v>
      </c>
      <c r="K209" s="75"/>
      <c r="L209" s="65" t="n">
        <f aca="false">(ABS(C60-K60)/C60)*100</f>
        <v>0.220426157237326</v>
      </c>
      <c r="M209" s="65" t="n">
        <f aca="false">(ABS(D60-L60)/D60)*100</f>
        <v>0.0118550522280912</v>
      </c>
      <c r="N209" s="75"/>
    </row>
    <row r="210" customFormat="false" ht="15" hidden="false" customHeight="false" outlineLevel="0" collapsed="false">
      <c r="A210" s="8"/>
      <c r="B210" s="13" t="n">
        <v>57</v>
      </c>
      <c r="C210" s="77" t="n">
        <f aca="false">(ABS(C61-E61)/C61)*100</f>
        <v>99.4489698131289</v>
      </c>
      <c r="D210" s="77" t="n">
        <f aca="false">(ABS(D61-F61)/D61)*100</f>
        <v>5.47437554400865</v>
      </c>
      <c r="E210" s="78"/>
      <c r="F210" s="77" t="n">
        <f aca="false">(ABS(C61-G61)/C61)*100</f>
        <v>0</v>
      </c>
      <c r="G210" s="77" t="n">
        <f aca="false">(ABS(D61-H61)/D61)*100</f>
        <v>0</v>
      </c>
      <c r="H210" s="78"/>
      <c r="I210" s="33" t="n">
        <f aca="false">(ABS(C61-I61)/C61)*100</f>
        <v>99.7843794920939</v>
      </c>
      <c r="J210" s="33" t="n">
        <f aca="false">(ABS(D61-J61)/D61)*100</f>
        <v>5.49283886793448</v>
      </c>
      <c r="K210" s="75"/>
      <c r="L210" s="65" t="n">
        <f aca="false">(ABS(C61-K61)/C61)*100</f>
        <v>0.0718735026353618</v>
      </c>
      <c r="M210" s="65" t="n">
        <f aca="false">(ABS(D61-L61)/D61)*100</f>
        <v>0.00395642655553504</v>
      </c>
      <c r="N210" s="75"/>
    </row>
    <row r="211" customFormat="false" ht="15" hidden="false" customHeight="false" outlineLevel="0" collapsed="false">
      <c r="A211" s="8"/>
      <c r="B211" s="13" t="n">
        <v>58</v>
      </c>
      <c r="C211" s="77" t="n">
        <f aca="false">(ABS(C62-E62)/C62)*100</f>
        <v>99.5541476006101</v>
      </c>
      <c r="D211" s="77" t="n">
        <f aca="false">(ABS(D62-F62)/D62)*100</f>
        <v>5.60151046033391</v>
      </c>
      <c r="E211" s="78"/>
      <c r="F211" s="77" t="n">
        <f aca="false">(ABS(C62-G62)/C62)*100</f>
        <v>0.258125073330987</v>
      </c>
      <c r="G211" s="77" t="n">
        <f aca="false">(ABS(D62-H62)/D62)*100</f>
        <v>0.0145236570568469</v>
      </c>
      <c r="H211" s="78"/>
      <c r="I211" s="33" t="n">
        <f aca="false">(ABS(C62-I62)/C62)*100</f>
        <v>99.9061363369706</v>
      </c>
      <c r="J211" s="33" t="n">
        <f aca="false">(ABS(D62-J62)/D62)*100</f>
        <v>5.62131544722961</v>
      </c>
      <c r="K211" s="75"/>
      <c r="L211" s="65" t="n">
        <f aca="false">(ABS(C62-K62)/C62)*100</f>
        <v>0.211193241816262</v>
      </c>
      <c r="M211" s="65" t="n">
        <f aca="false">(ABS(D62-L62)/D62)*100</f>
        <v>0.0118829921374202</v>
      </c>
      <c r="N211" s="75"/>
    </row>
    <row r="212" customFormat="false" ht="15" hidden="false" customHeight="false" outlineLevel="0" collapsed="false">
      <c r="A212" s="8"/>
      <c r="B212" s="13" t="n">
        <v>59</v>
      </c>
      <c r="C212" s="77" t="n">
        <f aca="false">(ABS(C63-E63)/C63)*100</f>
        <v>96.4042871960355</v>
      </c>
      <c r="D212" s="77" t="n">
        <f aca="false">(ABS(D63-F63)/D63)*100</f>
        <v>5.52791049609114</v>
      </c>
      <c r="E212" s="78"/>
      <c r="F212" s="77" t="n">
        <f aca="false">(ABS(C63-G63)/C63)*100</f>
        <v>0.0115247205255273</v>
      </c>
      <c r="G212" s="77" t="n">
        <f aca="false">(ABS(D63-H63)/D63)*100</f>
        <v>0.00066083807484652</v>
      </c>
      <c r="H212" s="78"/>
      <c r="I212" s="33" t="n">
        <f aca="false">(ABS(C63-I63)/C63)*100</f>
        <v>84.0958856747724</v>
      </c>
      <c r="J212" s="33" t="n">
        <f aca="false">(ABS(D63-J63)/D63)*100</f>
        <v>4.82213543215506</v>
      </c>
      <c r="K212" s="75"/>
      <c r="L212" s="65" t="n">
        <f aca="false">(ABS(C63-K63)/C63)*100</f>
        <v>0.046098882102109</v>
      </c>
      <c r="M212" s="65" t="n">
        <f aca="false">(ABS(D63-L63)/D63)*100</f>
        <v>0.00264335229938608</v>
      </c>
      <c r="N212" s="75"/>
    </row>
    <row r="213" customFormat="false" ht="15" hidden="false" customHeight="false" outlineLevel="0" collapsed="false">
      <c r="A213" s="8"/>
      <c r="B213" s="13" t="n">
        <v>60</v>
      </c>
      <c r="C213" s="77" t="n">
        <f aca="false">(ABS(C64-E64)/C64)*100</f>
        <v>99.6799634243914</v>
      </c>
      <c r="D213" s="77" t="n">
        <f aca="false">(ABS(D64-F64)/D64)*100</f>
        <v>5.76591229148898</v>
      </c>
      <c r="E213" s="78"/>
      <c r="F213" s="77" t="n">
        <f aca="false">(ABS(C64-G64)/C64)*100</f>
        <v>0.0228597554006172</v>
      </c>
      <c r="G213" s="77" t="n">
        <f aca="false">(ABS(D64-H64)/D64)*100</f>
        <v>0.00132230530707235</v>
      </c>
      <c r="H213" s="78"/>
      <c r="I213" s="33" t="n">
        <f aca="false">(ABS(C64-I64)/C64)*100</f>
        <v>98.6741341867642</v>
      </c>
      <c r="J213" s="33" t="n">
        <f aca="false">(ABS(D64-J64)/D64)*100</f>
        <v>5.7077308579778</v>
      </c>
      <c r="K213" s="75"/>
      <c r="L213" s="65" t="n">
        <f aca="false">(ABS(C64-K64)/C64)*100</f>
        <v>0</v>
      </c>
      <c r="M213" s="65" t="n">
        <f aca="false">(ABS(D64-L64)/D64)*100</f>
        <v>0</v>
      </c>
      <c r="N213" s="75"/>
    </row>
    <row r="214" customFormat="false" ht="15" hidden="false" customHeight="false" outlineLevel="0" collapsed="false">
      <c r="A214" s="8"/>
      <c r="B214" s="13" t="n">
        <v>61</v>
      </c>
      <c r="C214" s="77" t="n">
        <f aca="false">(ABS(C65-E65)/C65)*100</f>
        <v>99.6739374859456</v>
      </c>
      <c r="D214" s="77" t="n">
        <f aca="false">(ABS(D65-F65)/D65)*100</f>
        <v>5.8667425515863</v>
      </c>
      <c r="E214" s="78"/>
      <c r="F214" s="77" t="n">
        <f aca="false">(ABS(C65-G65)/C65)*100</f>
        <v>0.0224870699347875</v>
      </c>
      <c r="G214" s="77" t="n">
        <f aca="false">(ABS(D65-H65)/D65)*100</f>
        <v>0.0013235741797149</v>
      </c>
      <c r="H214" s="78"/>
      <c r="I214" s="33" t="n">
        <f aca="false">(ABS(C65-I65)/C65)*100</f>
        <v>91.5448617045199</v>
      </c>
      <c r="J214" s="33" t="n">
        <f aca="false">(ABS(D65-J65)/D65)*100</f>
        <v>5.38827048561937</v>
      </c>
      <c r="K214" s="75"/>
      <c r="L214" s="65" t="n">
        <f aca="false">(ABS(C65-K65)/C65)*100</f>
        <v>0</v>
      </c>
      <c r="M214" s="65" t="n">
        <f aca="false">(ABS(D65-L65)/D65)*100</f>
        <v>0</v>
      </c>
      <c r="N214" s="75"/>
    </row>
    <row r="215" customFormat="false" ht="15" hidden="false" customHeight="false" outlineLevel="0" collapsed="false">
      <c r="A215" s="8"/>
      <c r="B215" s="13" t="n">
        <v>62</v>
      </c>
      <c r="C215" s="77" t="n">
        <f aca="false">(ABS(C66-E66)/C66)*100</f>
        <v>99.8668294306958</v>
      </c>
      <c r="D215" s="77" t="n">
        <f aca="false">(ABS(D66-F66)/D66)*100</f>
        <v>5.96003682387459</v>
      </c>
      <c r="E215" s="78"/>
      <c r="F215" s="77" t="n">
        <f aca="false">(ABS(C66-G66)/C66)*100</f>
        <v>0.366219065586505</v>
      </c>
      <c r="G215" s="77" t="n">
        <f aca="false">(ABS(D66-H66)/D66)*100</f>
        <v>0.0218558967871832</v>
      </c>
      <c r="H215" s="78"/>
      <c r="I215" s="33" t="n">
        <f aca="false">(ABS(C66-I66)/C66)*100</f>
        <v>93.1195205859505</v>
      </c>
      <c r="J215" s="33" t="n">
        <f aca="false">(ABS(D66-J66)/D66)*100</f>
        <v>5.5573584830683</v>
      </c>
      <c r="K215" s="75"/>
      <c r="L215" s="65" t="n">
        <f aca="false">(ABS(C66-K66)/C66)*100</f>
        <v>0.388414160470536</v>
      </c>
      <c r="M215" s="65" t="n">
        <f aca="false">(ABS(D66-L66)/D66)*100</f>
        <v>0.023180496592467</v>
      </c>
      <c r="N215" s="75"/>
    </row>
    <row r="216" customFormat="false" ht="15" hidden="false" customHeight="false" outlineLevel="0" collapsed="false">
      <c r="A216" s="8"/>
      <c r="B216" s="13" t="n">
        <v>63</v>
      </c>
      <c r="C216" s="77" t="n">
        <f aca="false">(ABS(C67-E67)/C67)*100</f>
        <v>99.5278875713658</v>
      </c>
      <c r="D216" s="77" t="n">
        <f aca="false">(ABS(D67-F67)/D67)*100</f>
        <v>6.00760809055483</v>
      </c>
      <c r="E216" s="78"/>
      <c r="F216" s="77" t="n">
        <f aca="false">(ABS(C67-G67)/C67)*100</f>
        <v>0.0109793588054458</v>
      </c>
      <c r="G216" s="77" t="n">
        <f aca="false">(ABS(D67-H67)/D67)*100</f>
        <v>0.000662725658086579</v>
      </c>
      <c r="H216" s="78"/>
      <c r="I216" s="33" t="n">
        <f aca="false">(ABS(C67-I67)/C67)*100</f>
        <v>99.8462889767238</v>
      </c>
      <c r="J216" s="33" t="n">
        <f aca="false">(ABS(D67-J67)/D67)*100</f>
        <v>6.02682713463935</v>
      </c>
      <c r="K216" s="75"/>
      <c r="L216" s="65" t="n">
        <f aca="false">(ABS(C67-K67)/C67)*100</f>
        <v>0.0219587176108915</v>
      </c>
      <c r="M216" s="65" t="n">
        <f aca="false">(ABS(D67-L67)/D67)*100</f>
        <v>0.00132545131617316</v>
      </c>
      <c r="N216" s="75"/>
    </row>
    <row r="217" customFormat="false" ht="15" hidden="false" customHeight="false" outlineLevel="0" collapsed="false">
      <c r="A217" s="8"/>
      <c r="B217" s="13" t="n">
        <v>64</v>
      </c>
      <c r="C217" s="77" t="n">
        <f aca="false">(ABS(C68-E68)/C68)*100</f>
        <v>98.2170203456574</v>
      </c>
      <c r="D217" s="77" t="n">
        <f aca="false">(ABS(D68-F68)/D68)*100</f>
        <v>5.95195481843853</v>
      </c>
      <c r="E217" s="78"/>
      <c r="F217" s="77" t="n">
        <f aca="false">(ABS(C68-G68)/C68)*100</f>
        <v>0.0875082038941151</v>
      </c>
      <c r="G217" s="77" t="n">
        <f aca="false">(ABS(D68-H68)/D68)*100</f>
        <v>0.00530300017234751</v>
      </c>
      <c r="H217" s="78"/>
      <c r="I217" s="33" t="n">
        <f aca="false">(ABS(C68-I68)/C68)*100</f>
        <v>99.8249835922118</v>
      </c>
      <c r="J217" s="33" t="n">
        <f aca="false">(ABS(D68-J68)/D68)*100</f>
        <v>6.04939744660542</v>
      </c>
      <c r="K217" s="75"/>
      <c r="L217" s="65" t="n">
        <f aca="false">(ABS(C68-K68)/C68)*100</f>
        <v>0.0765696784073507</v>
      </c>
      <c r="M217" s="65" t="n">
        <f aca="false">(ABS(D68-L68)/D68)*100</f>
        <v>0.00464012515080407</v>
      </c>
      <c r="N217" s="75"/>
    </row>
    <row r="218" customFormat="false" ht="15" hidden="false" customHeight="false" outlineLevel="0" collapsed="false">
      <c r="A218" s="8"/>
      <c r="B218" s="13" t="n">
        <v>65</v>
      </c>
      <c r="C218" s="77" t="n">
        <f aca="false">(ABS(C69-E69)/C69)*100</f>
        <v>99.8701298701299</v>
      </c>
      <c r="D218" s="77" t="n">
        <f aca="false">(ABS(D69-F69)/D69)*100</f>
        <v>6.12098699920403</v>
      </c>
      <c r="E218" s="78"/>
      <c r="F218" s="77" t="n">
        <f aca="false">(ABS(C69-G69)/C69)*100</f>
        <v>0.238095238095238</v>
      </c>
      <c r="G218" s="77" t="n">
        <f aca="false">(ABS(D69-H69)/D69)*100</f>
        <v>0.0145927301671531</v>
      </c>
      <c r="H218" s="78"/>
      <c r="I218" s="33" t="n">
        <f aca="false">(ABS(C69-I69)/C69)*100</f>
        <v>99.7943722943723</v>
      </c>
      <c r="J218" s="33" t="n">
        <f aca="false">(ABS(D69-J69)/D69)*100</f>
        <v>6.11634385778721</v>
      </c>
      <c r="K218" s="75"/>
      <c r="L218" s="65" t="n">
        <f aca="false">(ABS(C69-K69)/C69)*100</f>
        <v>0.205627705627706</v>
      </c>
      <c r="M218" s="65" t="n">
        <f aca="false">(ABS(D69-L69)/D69)*100</f>
        <v>0.0126028124170868</v>
      </c>
      <c r="N218" s="75"/>
    </row>
    <row r="219" customFormat="false" ht="15" hidden="false" customHeight="false" outlineLevel="0" collapsed="false">
      <c r="A219" s="8"/>
      <c r="B219" s="13" t="n">
        <v>66</v>
      </c>
      <c r="C219" s="77" t="n">
        <f aca="false">(ABS(C70-E70)/C70)*100</f>
        <v>91.7401591740159</v>
      </c>
      <c r="D219" s="77" t="n">
        <f aca="false">(ABS(D70-F70)/D70)*100</f>
        <v>5.66017703812823</v>
      </c>
      <c r="E219" s="78"/>
      <c r="F219" s="77" t="n">
        <f aca="false">(ABS(C70-G70)/C70)*100</f>
        <v>0.0537750053775005</v>
      </c>
      <c r="G219" s="77" t="n">
        <f aca="false">(ABS(D70-H70)/D70)*100</f>
        <v>0.0033178060012475</v>
      </c>
      <c r="H219" s="78"/>
      <c r="I219" s="33" t="n">
        <f aca="false">(ABS(C70-I70)/C70)*100</f>
        <v>99.9247149924715</v>
      </c>
      <c r="J219" s="33" t="n">
        <f aca="false">(ABS(D70-J70)/D70)*100</f>
        <v>6.1651471115181</v>
      </c>
      <c r="K219" s="75"/>
      <c r="L219" s="65" t="n">
        <f aca="false">(ABS(C70-K70)/C70)*100</f>
        <v>0.0430200043020004</v>
      </c>
      <c r="M219" s="65" t="n">
        <f aca="false">(ABS(D70-L70)/D70)*100</f>
        <v>0.002654244800998</v>
      </c>
      <c r="N219" s="75"/>
    </row>
    <row r="220" customFormat="false" ht="15" hidden="false" customHeight="false" outlineLevel="0" collapsed="false">
      <c r="A220" s="8"/>
      <c r="B220" s="13" t="n">
        <v>67</v>
      </c>
      <c r="C220" s="77" t="n">
        <f aca="false">(ABS(C71-E71)/C71)*100</f>
        <v>98.7275449101797</v>
      </c>
      <c r="D220" s="77" t="n">
        <f aca="false">(ABS(D71-F71)/D71)*100</f>
        <v>6.1288566725081</v>
      </c>
      <c r="E220" s="78"/>
      <c r="F220" s="77" t="n">
        <f aca="false">(ABS(C71-G71)/C71)*100</f>
        <v>0.26732249786142</v>
      </c>
      <c r="G220" s="77" t="n">
        <f aca="false">(ABS(D71-H71)/D71)*100</f>
        <v>0.0165949763687537</v>
      </c>
      <c r="H220" s="78"/>
      <c r="I220" s="33" t="n">
        <f aca="false">(ABS(C71-I71)/C71)*100</f>
        <v>99.7326775021386</v>
      </c>
      <c r="J220" s="33" t="n">
        <f aca="false">(ABS(D71-J71)/D71)*100</f>
        <v>6.19125378365461</v>
      </c>
      <c r="K220" s="75"/>
      <c r="L220" s="65" t="n">
        <f aca="false">(ABS(C71-K71)/C71)*100</f>
        <v>0.278015397775877</v>
      </c>
      <c r="M220" s="65" t="n">
        <f aca="false">(ABS(D71-L71)/D71)*100</f>
        <v>0.0172587754235038</v>
      </c>
      <c r="N220" s="75"/>
    </row>
    <row r="221" customFormat="false" ht="15" hidden="false" customHeight="false" outlineLevel="0" collapsed="false">
      <c r="A221" s="8"/>
      <c r="B221" s="13" t="n">
        <v>68</v>
      </c>
      <c r="C221" s="77" t="n">
        <f aca="false">(ABS(C72-E72)/C72)*100</f>
        <v>99.9464266580949</v>
      </c>
      <c r="D221" s="77" t="n">
        <f aca="false">(ABS(D72-F72)/D72)*100</f>
        <v>6.19113674527269</v>
      </c>
      <c r="E221" s="78"/>
      <c r="F221" s="77" t="n">
        <f aca="false">(ABS(C72-G72)/C72)*100</f>
        <v>0.0428586735240544</v>
      </c>
      <c r="G221" s="77" t="n">
        <f aca="false">(ABS(D72-H72)/D72)*100</f>
        <v>0.00265486138305004</v>
      </c>
      <c r="H221" s="78"/>
      <c r="I221" s="33" t="n">
        <f aca="false">(ABS(C72-I72)/C72)*100</f>
        <v>99.8714239794278</v>
      </c>
      <c r="J221" s="33" t="n">
        <f aca="false">(ABS(D72-J72)/D72)*100</f>
        <v>6.18649073785235</v>
      </c>
      <c r="K221" s="75"/>
      <c r="L221" s="65" t="n">
        <f aca="false">(ABS(C72-K72)/C72)*100</f>
        <v>0.0428586735240544</v>
      </c>
      <c r="M221" s="65" t="n">
        <f aca="false">(ABS(D72-L72)/D72)*100</f>
        <v>0.00265486138305004</v>
      </c>
      <c r="N221" s="75"/>
    </row>
    <row r="222" customFormat="false" ht="15" hidden="false" customHeight="false" outlineLevel="0" collapsed="false">
      <c r="A222" s="8"/>
      <c r="B222" s="13" t="n">
        <v>69</v>
      </c>
      <c r="C222" s="77" t="n">
        <f aca="false">(ABS(C73-E73)/C73)*100</f>
        <v>99.7763816419977</v>
      </c>
      <c r="D222" s="77" t="n">
        <f aca="false">(ABS(D73-F73)/D73)*100</f>
        <v>6.22140775119681</v>
      </c>
      <c r="E222" s="78"/>
      <c r="F222" s="77" t="n">
        <f aca="false">(ABS(C73-G73)/C73)*100</f>
        <v>0.0106484932382068</v>
      </c>
      <c r="G222" s="77" t="n">
        <f aca="false">(ABS(D73-H73)/D73)*100</f>
        <v>0.000663970944631463</v>
      </c>
      <c r="H222" s="78"/>
      <c r="I222" s="33" t="n">
        <f aca="false">(ABS(C73-I73)/C73)*100</f>
        <v>94.3562985837504</v>
      </c>
      <c r="J222" s="33" t="n">
        <f aca="false">(ABS(D73-J73)/D73)*100</f>
        <v>5.88344654037939</v>
      </c>
      <c r="K222" s="75"/>
      <c r="L222" s="65" t="n">
        <f aca="false">(ABS(C73-K73)/C73)*100</f>
        <v>0.0319454797146204</v>
      </c>
      <c r="M222" s="65" t="n">
        <f aca="false">(ABS(D73-L73)/D73)*100</f>
        <v>0.00199191283389439</v>
      </c>
      <c r="N222" s="75"/>
    </row>
    <row r="223" customFormat="false" ht="15" hidden="false" customHeight="false" outlineLevel="0" collapsed="false">
      <c r="A223" s="8"/>
      <c r="B223" s="13" t="n">
        <v>70</v>
      </c>
      <c r="C223" s="77" t="n">
        <f aca="false">(ABS(C74-E74)/C74)*100</f>
        <v>99.5851505159026</v>
      </c>
      <c r="D223" s="77" t="n">
        <f aca="false">(ABS(D74-F74)/D74)*100</f>
        <v>6.21650874175791</v>
      </c>
      <c r="E223" s="78"/>
      <c r="F223" s="77" t="n">
        <f aca="false">(ABS(C74-G74)/C74)*100</f>
        <v>0.0319114987767259</v>
      </c>
      <c r="G223" s="77" t="n">
        <f aca="false">(ABS(D74-H74)/D74)*100</f>
        <v>0.00199204509990106</v>
      </c>
      <c r="H223" s="78"/>
      <c r="I223" s="33" t="n">
        <f aca="false">(ABS(C74-I74)/C74)*100</f>
        <v>99.3830443569833</v>
      </c>
      <c r="J223" s="33" t="n">
        <f aca="false">(ABS(D74-J74)/D74)*100</f>
        <v>6.20389245612521</v>
      </c>
      <c r="K223" s="75"/>
      <c r="L223" s="65" t="n">
        <f aca="false">(ABS(C74-K74)/C74)*100</f>
        <v>0.0425486650356345</v>
      </c>
      <c r="M223" s="65" t="n">
        <f aca="false">(ABS(D74-L74)/D74)*100</f>
        <v>0.00265606013320142</v>
      </c>
      <c r="N223" s="75"/>
    </row>
    <row r="224" customFormat="false" ht="15" hidden="false" customHeight="false" outlineLevel="0" collapsed="false">
      <c r="A224" s="8"/>
      <c r="B224" s="13" t="n">
        <v>71</v>
      </c>
      <c r="C224" s="77" t="n">
        <f aca="false">(ABS(C75-E75)/C75)*100</f>
        <v>98.6582898519859</v>
      </c>
      <c r="D224" s="77" t="n">
        <f aca="false">(ABS(D75-F75)/D75)*100</f>
        <v>6.1516908020105</v>
      </c>
      <c r="E224" s="78"/>
      <c r="F224" s="77" t="n">
        <f aca="false">(ABS(C75-G75)/C75)*100</f>
        <v>0.0106484932382068</v>
      </c>
      <c r="G224" s="77" t="n">
        <f aca="false">(ABS(D75-H75)/D75)*100</f>
        <v>0.000663970944631463</v>
      </c>
      <c r="H224" s="78"/>
      <c r="I224" s="33" t="n">
        <f aca="false">(ABS(C75-I75)/C75)*100</f>
        <v>99.1481205409435</v>
      </c>
      <c r="J224" s="33" t="n">
        <f aca="false">(ABS(D75-J75)/D75)*100</f>
        <v>6.18223346546355</v>
      </c>
      <c r="K224" s="75"/>
      <c r="L224" s="65" t="n">
        <f aca="false">(ABS(C75-K75)/C75)*100</f>
        <v>0.0212969864764136</v>
      </c>
      <c r="M224" s="65" t="n">
        <f aca="false">(ABS(D75-L75)/D75)*100</f>
        <v>0.00132794188926293</v>
      </c>
      <c r="N224" s="75"/>
    </row>
    <row r="225" customFormat="false" ht="15" hidden="false" customHeight="false" outlineLevel="0" collapsed="false">
      <c r="A225" s="8"/>
      <c r="B225" s="13" t="n">
        <v>72</v>
      </c>
      <c r="C225" s="77" t="n">
        <f aca="false">(ABS(C76-E76)/C76)*100</f>
        <v>95.4248366013072</v>
      </c>
      <c r="D225" s="77" t="n">
        <f aca="false">(ABS(D76-F76)/D76)*100</f>
        <v>5.91104886936091</v>
      </c>
      <c r="E225" s="78"/>
      <c r="F225" s="77" t="n">
        <f aca="false">(ABS(C76-G76)/C76)*100</f>
        <v>0.0321440051430408</v>
      </c>
      <c r="G225" s="77" t="n">
        <f aca="false">(ABS(D76-H76)/D76)*100</f>
        <v>0.00199114603728753</v>
      </c>
      <c r="H225" s="78"/>
      <c r="I225" s="33" t="n">
        <f aca="false">(ABS(C76-I76)/C76)*100</f>
        <v>86.4888031715418</v>
      </c>
      <c r="J225" s="33" t="n">
        <f aca="false">(ABS(D76-J76)/D76)*100</f>
        <v>5.35751027099498</v>
      </c>
      <c r="K225" s="75"/>
      <c r="L225" s="65" t="n">
        <f aca="false">(ABS(C76-K76)/C76)*100</f>
        <v>0.053573341905068</v>
      </c>
      <c r="M225" s="65" t="n">
        <f aca="false">(ABS(D76-L76)/D76)*100</f>
        <v>0.00331857672881255</v>
      </c>
      <c r="N225" s="75"/>
    </row>
    <row r="226" customFormat="false" ht="15" hidden="false" customHeight="false" outlineLevel="0" collapsed="false">
      <c r="A226" s="8"/>
      <c r="B226" s="13" t="n">
        <v>73</v>
      </c>
      <c r="C226" s="77" t="n">
        <f aca="false">(ABS(C77-E77)/C77)*100</f>
        <v>99.9037639007699</v>
      </c>
      <c r="D226" s="77" t="n">
        <f aca="false">(ABS(D77-F77)/D77)*100</f>
        <v>6.20187456853062</v>
      </c>
      <c r="E226" s="78"/>
      <c r="F226" s="77" t="n">
        <f aca="false">(ABS(C77-G77)/C77)*100</f>
        <v>0.0106928999144568</v>
      </c>
      <c r="G226" s="77" t="n">
        <f aca="false">(ABS(D77-H77)/D77)*100</f>
        <v>0.000663799054750146</v>
      </c>
      <c r="H226" s="78"/>
      <c r="I226" s="33" t="n">
        <f aca="false">(ABS(C77-I77)/C77)*100</f>
        <v>99.8182207014542</v>
      </c>
      <c r="J226" s="33" t="n">
        <f aca="false">(ABS(D77-J77)/D77)*100</f>
        <v>6.19656417609261</v>
      </c>
      <c r="K226" s="75"/>
      <c r="L226" s="65" t="n">
        <f aca="false">(ABS(C77-K77)/C77)*100</f>
        <v>0</v>
      </c>
      <c r="M226" s="65" t="n">
        <f aca="false">(ABS(D77-L77)/D77)*100</f>
        <v>0</v>
      </c>
      <c r="N226" s="75"/>
    </row>
    <row r="227" customFormat="false" ht="15" hidden="false" customHeight="false" outlineLevel="0" collapsed="false">
      <c r="A227" s="8"/>
      <c r="B227" s="13" t="n">
        <v>74</v>
      </c>
      <c r="C227" s="77" t="n">
        <f aca="false">(ABS(C78-E78)/C78)*100</f>
        <v>99.9032049903205</v>
      </c>
      <c r="D227" s="77" t="n">
        <f aca="false">(ABS(D78-F78)/D78)*100</f>
        <v>6.1638199891176</v>
      </c>
      <c r="E227" s="78"/>
      <c r="F227" s="77" t="n">
        <f aca="false">(ABS(C78-G78)/C78)*100</f>
        <v>0.0645300064530007</v>
      </c>
      <c r="G227" s="77" t="n">
        <f aca="false">(ABS(D78-H78)/D78)*100</f>
        <v>0.00398136720149699</v>
      </c>
      <c r="H227" s="78"/>
      <c r="I227" s="33" t="n">
        <f aca="false">(ABS(C78-I78)/C78)*100</f>
        <v>99.7956549795655</v>
      </c>
      <c r="J227" s="33" t="n">
        <f aca="false">(ABS(D78-J78)/D78)*100</f>
        <v>6.1571843771151</v>
      </c>
      <c r="K227" s="75"/>
      <c r="L227" s="65" t="n">
        <f aca="false">(ABS(C78-K78)/C78)*100</f>
        <v>0.0322650032265003</v>
      </c>
      <c r="M227" s="65" t="n">
        <f aca="false">(ABS(D78-L78)/D78)*100</f>
        <v>0.0019906836007485</v>
      </c>
      <c r="N227" s="75"/>
    </row>
    <row r="228" customFormat="false" ht="15" hidden="false" customHeight="false" outlineLevel="0" collapsed="false">
      <c r="A228" s="8"/>
      <c r="B228" s="13" t="n">
        <v>75</v>
      </c>
      <c r="C228" s="77" t="n">
        <f aca="false">(ABS(C79-E79)/C79)*100</f>
        <v>85.443722943723</v>
      </c>
      <c r="D228" s="77" t="n">
        <f aca="false">(ABS(D79-F79)/D79)*100</f>
        <v>5.23680021225789</v>
      </c>
      <c r="E228" s="78"/>
      <c r="F228" s="77" t="n">
        <f aca="false">(ABS(C79-G79)/C79)*100</f>
        <v>0.0108225108225108</v>
      </c>
      <c r="G228" s="77" t="n">
        <f aca="false">(ABS(D79-H79)/D79)*100</f>
        <v>0.000663305916688777</v>
      </c>
      <c r="H228" s="78"/>
      <c r="I228" s="33" t="n">
        <f aca="false">(ABS(C79-I79)/C79)*100</f>
        <v>98.474025974026</v>
      </c>
      <c r="J228" s="33" t="n">
        <f aca="false">(ABS(D79-J79)/D79)*100</f>
        <v>6.03542053595118</v>
      </c>
      <c r="K228" s="75"/>
      <c r="L228" s="65" t="n">
        <f aca="false">(ABS(C79-K79)/C79)*100</f>
        <v>0.0216450216450216</v>
      </c>
      <c r="M228" s="65" t="n">
        <f aca="false">(ABS(D79-L79)/D79)*100</f>
        <v>0.00132661183337755</v>
      </c>
      <c r="N228" s="75"/>
    </row>
    <row r="229" customFormat="false" ht="15" hidden="false" customHeight="false" outlineLevel="0" collapsed="false">
      <c r="A229" s="8"/>
      <c r="B229" s="13" t="n">
        <v>76</v>
      </c>
      <c r="C229" s="77" t="n">
        <f aca="false">(ABS(C80-E80)/C80)*100</f>
        <v>99.6827827608838</v>
      </c>
      <c r="D229" s="77" t="n">
        <f aca="false">(ABS(D80-F80)/D80)*100</f>
        <v>6.04078007132535</v>
      </c>
      <c r="E229" s="78"/>
      <c r="F229" s="77" t="n">
        <f aca="false">(ABS(C80-G80)/C80)*100</f>
        <v>0.0109385254867644</v>
      </c>
      <c r="G229" s="77" t="n">
        <f aca="false">(ABS(D80-H80)/D80)*100</f>
        <v>0.000662875021543438</v>
      </c>
      <c r="H229" s="78"/>
      <c r="I229" s="33" t="n">
        <f aca="false">(ABS(C80-I80)/C80)*100</f>
        <v>92.2445854298841</v>
      </c>
      <c r="J229" s="33" t="n">
        <f aca="false">(ABS(D80-J80)/D80)*100</f>
        <v>5.59002505667582</v>
      </c>
      <c r="K229" s="75"/>
      <c r="L229" s="65" t="n">
        <f aca="false">(ABS(C80-K80)/C80)*100</f>
        <v>0.0437541019470575</v>
      </c>
      <c r="M229" s="65" t="n">
        <f aca="false">(ABS(D80-L80)/D80)*100</f>
        <v>0.00265150008617375</v>
      </c>
      <c r="N229" s="75"/>
    </row>
    <row r="230" customFormat="false" ht="15" hidden="false" customHeight="false" outlineLevel="0" collapsed="false">
      <c r="A230" s="8"/>
      <c r="B230" s="13" t="n">
        <v>77</v>
      </c>
      <c r="C230" s="77" t="n">
        <f aca="false">(ABS(C81-E81)/C81)*100</f>
        <v>99.8792270531401</v>
      </c>
      <c r="D230" s="77" t="n">
        <f aca="false">(ABS(D81-F81)/D81)*100</f>
        <v>6.0288153116136</v>
      </c>
      <c r="E230" s="78"/>
      <c r="F230" s="77" t="n">
        <f aca="false">(ABS(C81-G81)/C81)*100</f>
        <v>0.0219587176108915</v>
      </c>
      <c r="G230" s="77" t="n">
        <f aca="false">(ABS(D81-H81)/D81)*100</f>
        <v>0.00132545131617316</v>
      </c>
      <c r="H230" s="78"/>
      <c r="I230" s="33" t="n">
        <f aca="false">(ABS(C81-I81)/C81)*100</f>
        <v>89.0865173473869</v>
      </c>
      <c r="J230" s="33" t="n">
        <f aca="false">(ABS(D81-J81)/D81)*100</f>
        <v>5.3773559897145</v>
      </c>
      <c r="K230" s="75"/>
      <c r="L230" s="65" t="n">
        <f aca="false">(ABS(C81-K81)/C81)*100</f>
        <v>0.0219587176108915</v>
      </c>
      <c r="M230" s="65" t="n">
        <f aca="false">(ABS(D81-L81)/D81)*100</f>
        <v>0.00132545131617316</v>
      </c>
      <c r="N230" s="75"/>
    </row>
    <row r="231" customFormat="false" ht="15" hidden="false" customHeight="false" outlineLevel="0" collapsed="false">
      <c r="A231" s="8"/>
      <c r="B231" s="13" t="n">
        <v>78</v>
      </c>
      <c r="C231" s="77" t="n">
        <f aca="false">(ABS(C82-E82)/C82)*100</f>
        <v>99.4784152702253</v>
      </c>
      <c r="D231" s="77" t="n">
        <f aca="false">(ABS(D82-F82)/D82)*100</f>
        <v>5.93685632728212</v>
      </c>
      <c r="E231" s="78"/>
      <c r="F231" s="77" t="n">
        <f aca="false">(ABS(C82-G82)/C82)*100</f>
        <v>0.122073021862168</v>
      </c>
      <c r="G231" s="77" t="n">
        <f aca="false">(ABS(D82-H82)/D82)*100</f>
        <v>0.00728529892906106</v>
      </c>
      <c r="H231" s="78"/>
      <c r="I231" s="33" t="n">
        <f aca="false">(ABS(C82-I82)/C82)*100</f>
        <v>87.4153812007546</v>
      </c>
      <c r="J231" s="33" t="n">
        <f aca="false">(ABS(D82-J82)/D82)*100</f>
        <v>5.21693633311036</v>
      </c>
      <c r="K231" s="75"/>
      <c r="L231" s="65" t="n">
        <f aca="false">(ABS(C82-K82)/C82)*100</f>
        <v>0.0776828320941072</v>
      </c>
      <c r="M231" s="65" t="n">
        <f aca="false">(ABS(D82-L82)/D82)*100</f>
        <v>0.0046360993184934</v>
      </c>
      <c r="N231" s="75"/>
    </row>
    <row r="232" customFormat="false" ht="15" hidden="false" customHeight="false" outlineLevel="0" collapsed="false">
      <c r="A232" s="8"/>
      <c r="B232" s="13" t="n">
        <v>79</v>
      </c>
      <c r="C232" s="77" t="n">
        <f aca="false">(ABS(C83-E83)/C83)*100</f>
        <v>97.2340903980211</v>
      </c>
      <c r="D232" s="77" t="n">
        <f aca="false">(ABS(D83-F83)/D83)*100</f>
        <v>5.72313475308724</v>
      </c>
      <c r="E232" s="78"/>
      <c r="F232" s="77" t="n">
        <f aca="false">(ABS(C83-G83)/C83)*100</f>
        <v>0.0112435349673937</v>
      </c>
      <c r="G232" s="77" t="n">
        <f aca="false">(ABS(D83-H83)/D83)*100</f>
        <v>0.000661787089857451</v>
      </c>
      <c r="H232" s="78"/>
      <c r="I232" s="33" t="n">
        <f aca="false">(ABS(C83-I83)/C83)*100</f>
        <v>98.0436249156735</v>
      </c>
      <c r="J232" s="33" t="n">
        <f aca="false">(ABS(D83-J83)/D83)*100</f>
        <v>5.77078342355697</v>
      </c>
      <c r="K232" s="75"/>
      <c r="L232" s="65" t="n">
        <f aca="false">(ABS(C83-K83)/C83)*100</f>
        <v>0.0112435349673937</v>
      </c>
      <c r="M232" s="65" t="n">
        <f aca="false">(ABS(D83-L83)/D83)*100</f>
        <v>0.000661787089857451</v>
      </c>
      <c r="N232" s="75"/>
    </row>
    <row r="233" customFormat="false" ht="15" hidden="false" customHeight="false" outlineLevel="0" collapsed="false">
      <c r="A233" s="8"/>
      <c r="B233" s="13" t="n">
        <v>80</v>
      </c>
      <c r="C233" s="77" t="n">
        <f aca="false">(ABS(C84-E84)/C84)*100</f>
        <v>83.1637901474454</v>
      </c>
      <c r="D233" s="77" t="n">
        <f aca="false">(ABS(D84-F84)/D84)*100</f>
        <v>4.81054670712921</v>
      </c>
      <c r="E233" s="78"/>
      <c r="F233" s="77" t="n">
        <f aca="false">(ABS(C84-G84)/C84)*100</f>
        <v>0.0228597554006172</v>
      </c>
      <c r="G233" s="77" t="n">
        <f aca="false">(ABS(D84-H84)/D84)*100</f>
        <v>0.00132230530707235</v>
      </c>
      <c r="H233" s="78"/>
      <c r="I233" s="33" t="n">
        <f aca="false">(ABS(C84-I84)/C84)*100</f>
        <v>99.4399359926849</v>
      </c>
      <c r="J233" s="33" t="n">
        <f aca="false">(ABS(D84-J84)/D84)*100</f>
        <v>5.75202808576472</v>
      </c>
      <c r="K233" s="75"/>
      <c r="L233" s="65" t="n">
        <f aca="false">(ABS(C84-K84)/C84)*100</f>
        <v>0.0114298777003086</v>
      </c>
      <c r="M233" s="65" t="n">
        <f aca="false">(ABS(D84-L84)/D84)*100</f>
        <v>0.000661152653536175</v>
      </c>
      <c r="N233" s="75"/>
    </row>
    <row r="234" customFormat="false" ht="15" hidden="false" customHeight="false" outlineLevel="0" collapsed="false">
      <c r="A234" s="8"/>
      <c r="B234" s="13" t="n">
        <v>81</v>
      </c>
      <c r="C234" s="77" t="n">
        <f aca="false">(ABS(C85-E85)/C85)*100</f>
        <v>99.781030310015</v>
      </c>
      <c r="D234" s="77" t="n">
        <f aca="false">(ABS(D85-F85)/D85)*100</f>
        <v>5.72153605202117</v>
      </c>
      <c r="E234" s="78"/>
      <c r="F234" s="77" t="n">
        <f aca="false">(ABS(C85-G85)/C85)*100</f>
        <v>0.0230494410510545</v>
      </c>
      <c r="G234" s="77" t="n">
        <f aca="false">(ABS(D85-H85)/D85)*100</f>
        <v>0.00132167614969304</v>
      </c>
      <c r="H234" s="78"/>
      <c r="I234" s="33" t="n">
        <f aca="false">(ABS(C85-I85)/C85)*100</f>
        <v>96.2659905497292</v>
      </c>
      <c r="J234" s="33" t="n">
        <f aca="false">(ABS(D85-J85)/D85)*100</f>
        <v>5.51998043919298</v>
      </c>
      <c r="K234" s="75"/>
      <c r="L234" s="65" t="n">
        <f aca="false">(ABS(C85-K85)/C85)*100</f>
        <v>0</v>
      </c>
      <c r="M234" s="65" t="n">
        <f aca="false">(ABS(D85-L85)/D85)*100</f>
        <v>0</v>
      </c>
      <c r="N234" s="75"/>
    </row>
    <row r="235" customFormat="false" ht="15" hidden="false" customHeight="false" outlineLevel="0" collapsed="false">
      <c r="A235" s="8"/>
      <c r="B235" s="13" t="n">
        <v>82</v>
      </c>
      <c r="C235" s="77" t="n">
        <f aca="false">(ABS(C86-E86)/C86)*100</f>
        <v>94.5207086706559</v>
      </c>
      <c r="D235" s="77" t="n">
        <f aca="false">(ABS(D86-F86)/D86)*100</f>
        <v>5.3182991477254</v>
      </c>
      <c r="E235" s="78"/>
      <c r="F235" s="77" t="n">
        <f aca="false">(ABS(C86-G86)/C86)*100</f>
        <v>0.0117329578786812</v>
      </c>
      <c r="G235" s="77" t="n">
        <f aca="false">(ABS(D86-H86)/D86)*100</f>
        <v>0.000660166229856678</v>
      </c>
      <c r="H235" s="78"/>
      <c r="I235" s="33" t="n">
        <f aca="false">(ABS(C86-I86)/C86)*100</f>
        <v>92.1154523055262</v>
      </c>
      <c r="J235" s="33" t="n">
        <f aca="false">(ABS(D86-J86)/D86)*100</f>
        <v>5.18296507060478</v>
      </c>
      <c r="K235" s="75"/>
      <c r="L235" s="65" t="n">
        <f aca="false">(ABS(C86-K86)/C86)*100</f>
        <v>0</v>
      </c>
      <c r="M235" s="65" t="n">
        <f aca="false">(ABS(D86-L86)/D86)*100</f>
        <v>0</v>
      </c>
      <c r="N235" s="75"/>
    </row>
    <row r="236" customFormat="false" ht="15" hidden="false" customHeight="false" outlineLevel="0" collapsed="false">
      <c r="A236" s="8"/>
      <c r="B236" s="13" t="n">
        <v>83</v>
      </c>
      <c r="C236" s="77" t="n">
        <f aca="false">(ABS(C87-E87)/C87)*100</f>
        <v>99.8322951605175</v>
      </c>
      <c r="D236" s="77" t="n">
        <f aca="false">(ABS(D87-F87)/D87)*100</f>
        <v>5.49547648563817</v>
      </c>
      <c r="E236" s="78"/>
      <c r="F236" s="77" t="n">
        <f aca="false">(ABS(C87-G87)/C87)*100</f>
        <v>0.251557259223766</v>
      </c>
      <c r="G236" s="77" t="n">
        <f aca="false">(ABS(D87-H87)/D87)*100</f>
        <v>0.0138474929443726</v>
      </c>
      <c r="H236" s="78"/>
      <c r="I236" s="33" t="n">
        <f aca="false">(ABS(C87-I87)/C87)*100</f>
        <v>99.8802108289411</v>
      </c>
      <c r="J236" s="33" t="n">
        <f aca="false">(ABS(D87-J87)/D87)*100</f>
        <v>5.49811410334186</v>
      </c>
      <c r="K236" s="75"/>
      <c r="L236" s="65" t="n">
        <f aca="false">(ABS(C87-K87)/C87)*100</f>
        <v>0.191662673694298</v>
      </c>
      <c r="M236" s="65" t="n">
        <f aca="false">(ABS(D87-L87)/D87)*100</f>
        <v>0.0105504708147601</v>
      </c>
      <c r="N236" s="75"/>
    </row>
    <row r="237" customFormat="false" ht="15" hidden="false" customHeight="false" outlineLevel="0" collapsed="false">
      <c r="A237" s="8"/>
      <c r="B237" s="13" t="n">
        <v>84</v>
      </c>
      <c r="C237" s="77" t="n">
        <f aca="false">(ABS(C88-E88)/C88)*100</f>
        <v>99.9142787166299</v>
      </c>
      <c r="D237" s="77" t="n">
        <f aca="false">(ABS(D88-F88)/D88)*100</f>
        <v>5.37363172938867</v>
      </c>
      <c r="E237" s="78"/>
      <c r="F237" s="77" t="n">
        <f aca="false">(ABS(C88-G88)/C88)*100</f>
        <v>0.612294881214793</v>
      </c>
      <c r="G237" s="77" t="n">
        <f aca="false">(ABS(D88-H88)/D88)*100</f>
        <v>0.0329307006335867</v>
      </c>
      <c r="H237" s="78"/>
      <c r="I237" s="33" t="n">
        <f aca="false">(ABS(C88-I88)/C88)*100</f>
        <v>99.008082292432</v>
      </c>
      <c r="J237" s="33" t="n">
        <f aca="false">(ABS(D88-J88)/D88)*100</f>
        <v>5.32489429245097</v>
      </c>
      <c r="K237" s="75"/>
      <c r="L237" s="65" t="n">
        <f aca="false">(ABS(C88-K88)/C88)*100</f>
        <v>0.685770266960568</v>
      </c>
      <c r="M237" s="65" t="n">
        <f aca="false">(ABS(D88-L88)/D88)*100</f>
        <v>0.0368823847096171</v>
      </c>
      <c r="N237" s="75"/>
    </row>
    <row r="238" customFormat="false" ht="15" hidden="false" customHeight="false" outlineLevel="0" collapsed="false">
      <c r="A238" s="8"/>
      <c r="B238" s="13" t="n">
        <v>85</v>
      </c>
      <c r="C238" s="77" t="n">
        <f aca="false">(ABS(C89-E89)/C89)*100</f>
        <v>99.4167287168032</v>
      </c>
      <c r="D238" s="77" t="n">
        <f aca="false">(ABS(D89-F89)/D89)*100</f>
        <v>5.27240657619355</v>
      </c>
      <c r="E238" s="78"/>
      <c r="F238" s="77" t="n">
        <f aca="false">(ABS(C89-G89)/C89)*100</f>
        <v>0</v>
      </c>
      <c r="G238" s="77" t="n">
        <f aca="false">(ABS(D89-H89)/D89)*100</f>
        <v>0</v>
      </c>
      <c r="H238" s="78"/>
      <c r="I238" s="33" t="n">
        <f aca="false">(ABS(C89-I89)/C89)*100</f>
        <v>99.8883097542815</v>
      </c>
      <c r="J238" s="33" t="n">
        <f aca="false">(ABS(D89-J89)/D89)*100</f>
        <v>5.29741611930868</v>
      </c>
      <c r="K238" s="75"/>
      <c r="L238" s="65" t="n">
        <f aca="false">(ABS(C89-K89)/C89)*100</f>
        <v>0.0496401092082403</v>
      </c>
      <c r="M238" s="65" t="n">
        <f aca="false">(ABS(D89-L89)/D89)*100</f>
        <v>0.00263258348580379</v>
      </c>
      <c r="N238" s="75"/>
    </row>
    <row r="239" customFormat="false" ht="15" hidden="false" customHeight="false" outlineLevel="0" collapsed="false">
      <c r="A239" s="8"/>
      <c r="B239" s="13" t="n">
        <v>86</v>
      </c>
      <c r="C239" s="77" t="n">
        <f aca="false">(ABS(C90-E90)/C90)*100</f>
        <v>99.6436752354289</v>
      </c>
      <c r="D239" s="77" t="n">
        <f aca="false">(ABS(D90-F90)/D90)*100</f>
        <v>5.14650786764996</v>
      </c>
      <c r="E239" s="78"/>
      <c r="F239" s="77" t="n">
        <f aca="false">(ABS(C90-G90)/C90)*100</f>
        <v>0</v>
      </c>
      <c r="G239" s="77" t="n">
        <f aca="false">(ABS(D90-H90)/D90)*100</f>
        <v>0</v>
      </c>
      <c r="H239" s="78"/>
      <c r="I239" s="33" t="n">
        <f aca="false">(ABS(C90-I90)/C90)*100</f>
        <v>77.2206668363451</v>
      </c>
      <c r="J239" s="33" t="n">
        <f aca="false">(ABS(D90-J90)/D90)*100</f>
        <v>3.98837927725414</v>
      </c>
      <c r="K239" s="75"/>
      <c r="L239" s="65" t="n">
        <f aca="false">(ABS(C90-K90)/C90)*100</f>
        <v>0</v>
      </c>
      <c r="M239" s="65" t="n">
        <f aca="false">(ABS(D90-L90)/D90)*100</f>
        <v>0</v>
      </c>
      <c r="N239" s="75"/>
    </row>
    <row r="240" customFormat="false" ht="15" hidden="false" customHeight="false" outlineLevel="0" collapsed="false">
      <c r="A240" s="8"/>
      <c r="B240" s="13" t="n">
        <v>87</v>
      </c>
      <c r="C240" s="77" t="n">
        <f aca="false">(ABS(C91-E91)/C91)*100</f>
        <v>99.7777777777778</v>
      </c>
      <c r="D240" s="77" t="n">
        <f aca="false">(ABS(D91-F91)/D91)*100</f>
        <v>5.01017394158188</v>
      </c>
      <c r="E240" s="78"/>
      <c r="F240" s="77" t="n">
        <f aca="false">(ABS(C91-G91)/C91)*100</f>
        <v>0.0392156862745098</v>
      </c>
      <c r="G240" s="77" t="n">
        <f aca="false">(ABS(D91-H91)/D91)*100</f>
        <v>0.00196914998359042</v>
      </c>
      <c r="H240" s="78"/>
      <c r="I240" s="33" t="n">
        <f aca="false">(ABS(C91-I91)/C91)*100</f>
        <v>99.1895424836601</v>
      </c>
      <c r="J240" s="33" t="n">
        <f aca="false">(ABS(D91-J91)/D91)*100</f>
        <v>4.98063669182803</v>
      </c>
      <c r="K240" s="75"/>
      <c r="L240" s="65" t="n">
        <f aca="false">(ABS(C91-K91)/C91)*100</f>
        <v>0.065359477124183</v>
      </c>
      <c r="M240" s="65" t="n">
        <f aca="false">(ABS(D91-L91)/D91)*100</f>
        <v>0.00328191663931736</v>
      </c>
      <c r="N240" s="75"/>
    </row>
    <row r="241" customFormat="false" ht="15" hidden="false" customHeight="false" outlineLevel="0" collapsed="false">
      <c r="A241" s="8"/>
      <c r="B241" s="13" t="n">
        <v>88</v>
      </c>
      <c r="C241" s="77" t="n">
        <f aca="false">(ABS(C92-E92)/C92)*100</f>
        <v>99.0189490659858</v>
      </c>
      <c r="D241" s="77" t="n">
        <f aca="false">(ABS(D92-F92)/D92)*100</f>
        <v>4.82960690618056</v>
      </c>
      <c r="E241" s="78"/>
      <c r="F241" s="77" t="n">
        <f aca="false">(ABS(C92-G92)/C92)*100</f>
        <v>0.0403171616718183</v>
      </c>
      <c r="G241" s="77" t="n">
        <f aca="false">(ABS(D92-H92)/D92)*100</f>
        <v>0.00196645232336342</v>
      </c>
      <c r="H241" s="78"/>
      <c r="I241" s="33" t="n">
        <f aca="false">(ABS(C92-I92)/C92)*100</f>
        <v>99.5833893293912</v>
      </c>
      <c r="J241" s="33" t="n">
        <f aca="false">(ABS(D92-J92)/D92)*100</f>
        <v>4.85713723870765</v>
      </c>
      <c r="K241" s="75"/>
      <c r="L241" s="65" t="n">
        <f aca="false">(ABS(C92-K92)/C92)*100</f>
        <v>0.0403171616718183</v>
      </c>
      <c r="M241" s="65" t="n">
        <f aca="false">(ABS(D92-L92)/D92)*100</f>
        <v>0.00196645232336342</v>
      </c>
      <c r="N241" s="75"/>
    </row>
    <row r="242" customFormat="false" ht="15" hidden="false" customHeight="false" outlineLevel="0" collapsed="false">
      <c r="A242" s="8"/>
      <c r="B242" s="13" t="n">
        <v>89</v>
      </c>
      <c r="C242" s="77" t="n">
        <f aca="false">(ABS(C93-E93)/C93)*100</f>
        <v>95.3761969904241</v>
      </c>
      <c r="D242" s="77" t="n">
        <f aca="false">(ABS(D93-F93)/D93)*100</f>
        <v>4.56611434933526</v>
      </c>
      <c r="E242" s="78"/>
      <c r="F242" s="77" t="n">
        <f aca="false">(ABS(C93-G93)/C93)*100</f>
        <v>0.957592339261286</v>
      </c>
      <c r="G242" s="77" t="n">
        <f aca="false">(ABS(D93-H93)/D93)*100</f>
        <v>0.0458445215796712</v>
      </c>
      <c r="H242" s="78"/>
      <c r="I242" s="33" t="n">
        <f aca="false">(ABS(C93-I93)/C93)*100</f>
        <v>99.7948016415869</v>
      </c>
      <c r="J242" s="33" t="n">
        <f aca="false">(ABS(D93-J93)/D93)*100</f>
        <v>4.7776540703386</v>
      </c>
      <c r="K242" s="75"/>
      <c r="L242" s="65" t="n">
        <f aca="false">(ABS(C93-K93)/C93)*100</f>
        <v>0.94391244870041</v>
      </c>
      <c r="M242" s="65" t="n">
        <f aca="false">(ABS(D93-L93)/D93)*100</f>
        <v>0.0451895998428188</v>
      </c>
      <c r="N242" s="75"/>
    </row>
    <row r="243" customFormat="false" ht="15" hidden="false" customHeight="false" outlineLevel="0" collapsed="false">
      <c r="A243" s="8"/>
      <c r="B243" s="13" t="n">
        <v>90</v>
      </c>
      <c r="C243" s="77" t="n">
        <f aca="false">(ABS(C94-E94)/C94)*100</f>
        <v>99.5625793706787</v>
      </c>
      <c r="D243" s="77" t="n">
        <f aca="false">(ABS(D94-F94)/D94)*100</f>
        <v>4.61438857389496</v>
      </c>
      <c r="E243" s="78"/>
      <c r="F243" s="77" t="n">
        <f aca="false">(ABS(C94-G94)/C94)*100</f>
        <v>0.014110342881332</v>
      </c>
      <c r="G243" s="77" t="n">
        <f aca="false">(ABS(D94-H94)/D94)*100</f>
        <v>0.000653966634622302</v>
      </c>
      <c r="H243" s="78"/>
      <c r="I243" s="33" t="n">
        <f aca="false">(ABS(C94-I94)/C94)*100</f>
        <v>97.1073797093269</v>
      </c>
      <c r="J243" s="33" t="n">
        <f aca="false">(ABS(D94-J94)/D94)*100</f>
        <v>4.50059837947068</v>
      </c>
      <c r="K243" s="75"/>
      <c r="L243" s="65" t="n">
        <f aca="false">(ABS(C94-K94)/C94)*100</f>
        <v>0</v>
      </c>
      <c r="M243" s="65" t="n">
        <f aca="false">(ABS(D94-L94)/D94)*100</f>
        <v>0</v>
      </c>
      <c r="N243" s="75"/>
    </row>
    <row r="244" customFormat="false" ht="15" hidden="false" customHeight="false" outlineLevel="0" collapsed="false">
      <c r="A244" s="8"/>
      <c r="B244" s="13" t="n">
        <v>91</v>
      </c>
      <c r="C244" s="77" t="n">
        <f aca="false">(ABS(C95-E95)/C95)*100</f>
        <v>93.6989498249708</v>
      </c>
      <c r="D244" s="77" t="n">
        <f aca="false">(ABS(D95-F95)/D95)*100</f>
        <v>4.1947448153372</v>
      </c>
      <c r="E244" s="78"/>
      <c r="F244" s="77" t="n">
        <f aca="false">(ABS(C95-G95)/C95)*100</f>
        <v>0.364644107351225</v>
      </c>
      <c r="G244" s="77" t="n">
        <f aca="false">(ABS(D95-H95)/D95)*100</f>
        <v>0.0163245050410072</v>
      </c>
      <c r="H244" s="78"/>
      <c r="I244" s="33" t="n">
        <f aca="false">(ABS(C95-I95)/C95)*100</f>
        <v>98.8768961493582</v>
      </c>
      <c r="J244" s="33" t="n">
        <f aca="false">(ABS(D95-J95)/D95)*100</f>
        <v>4.4265527869195</v>
      </c>
      <c r="K244" s="75"/>
      <c r="L244" s="65" t="n">
        <f aca="false">(ABS(C95-K95)/C95)*100</f>
        <v>0.364644107351225</v>
      </c>
      <c r="M244" s="65" t="n">
        <f aca="false">(ABS(D95-L95)/D95)*100</f>
        <v>0.0163245050410072</v>
      </c>
      <c r="N244" s="75"/>
    </row>
    <row r="245" customFormat="false" ht="15" hidden="false" customHeight="false" outlineLevel="0" collapsed="false">
      <c r="A245" s="8"/>
      <c r="B245" s="13" t="n">
        <v>92</v>
      </c>
      <c r="C245" s="77" t="n">
        <f aca="false">(ABS(C96-E96)/C96)*100</f>
        <v>95.280592951142</v>
      </c>
      <c r="D245" s="77" t="n">
        <f aca="false">(ABS(D96-F96)/D96)*100</f>
        <v>4.10655262111364</v>
      </c>
      <c r="E245" s="78"/>
      <c r="F245" s="77" t="n">
        <f aca="false">(ABS(C96-G96)/C96)*100</f>
        <v>1.16472545757072</v>
      </c>
      <c r="G245" s="77" t="n">
        <f aca="false">(ABS(D96-H96)/D96)*100</f>
        <v>0.0501991668242182</v>
      </c>
      <c r="H245" s="78"/>
      <c r="I245" s="33" t="n">
        <f aca="false">(ABS(C96-I96)/C96)*100</f>
        <v>98.5781273634851</v>
      </c>
      <c r="J245" s="33" t="n">
        <f aca="false">(ABS(D96-J96)/D96)*100</f>
        <v>4.24867493757701</v>
      </c>
      <c r="K245" s="75"/>
      <c r="L245" s="65" t="n">
        <f aca="false">(ABS(C96-K96)/C96)*100</f>
        <v>1.17985176221449</v>
      </c>
      <c r="M245" s="65" t="n">
        <f aca="false">(ABS(D96-L96)/D96)*100</f>
        <v>0.0508511040557015</v>
      </c>
      <c r="N245" s="75"/>
    </row>
    <row r="246" customFormat="false" ht="15" hidden="false" customHeight="false" outlineLevel="0" collapsed="false">
      <c r="A246" s="8"/>
      <c r="B246" s="13" t="n">
        <v>93</v>
      </c>
      <c r="C246" s="77" t="n">
        <f aca="false">(ABS(C97-E97)/C97)*100</f>
        <v>99.7684113015285</v>
      </c>
      <c r="D246" s="77" t="n">
        <f aca="false">(ABS(D97-F97)/D97)*100</f>
        <v>4.20914130130339</v>
      </c>
      <c r="E246" s="78"/>
      <c r="F246" s="77" t="n">
        <f aca="false">(ABS(C97-G97)/C97)*100</f>
        <v>0.0308784931295353</v>
      </c>
      <c r="G246" s="77" t="n">
        <f aca="false">(ABS(D97-H97)/D97)*100</f>
        <v>0.00130273639780359</v>
      </c>
      <c r="H246" s="78"/>
      <c r="I246" s="33" t="n">
        <f aca="false">(ABS(C97-I97)/C97)*100</f>
        <v>99.737532808399</v>
      </c>
      <c r="J246" s="33" t="n">
        <f aca="false">(ABS(D97-J97)/D97)*100</f>
        <v>4.20783856490558</v>
      </c>
      <c r="K246" s="75"/>
      <c r="L246" s="65" t="n">
        <f aca="false">(ABS(C97-K97)/C97)*100</f>
        <v>0.0308784931295353</v>
      </c>
      <c r="M246" s="65" t="n">
        <f aca="false">(ABS(D97-L97)/D97)*100</f>
        <v>0.00130273639780359</v>
      </c>
      <c r="N246" s="75"/>
    </row>
    <row r="247" customFormat="false" ht="15" hidden="false" customHeight="false" outlineLevel="0" collapsed="false">
      <c r="A247" s="8"/>
      <c r="B247" s="13" t="n">
        <v>94</v>
      </c>
      <c r="C247" s="77" t="n">
        <f aca="false">(ABS(C98-E98)/C98)*100</f>
        <v>94.5130755655383</v>
      </c>
      <c r="D247" s="77" t="n">
        <f aca="false">(ABS(D98-F98)/D98)*100</f>
        <v>3.83112111181203</v>
      </c>
      <c r="E247" s="78"/>
      <c r="F247" s="77" t="n">
        <f aca="false">(ABS(C98-G98)/C98)*100</f>
        <v>0.0802181934862827</v>
      </c>
      <c r="G247" s="77" t="n">
        <f aca="false">(ABS(D98-H98)/D98)*100</f>
        <v>0.00325167298575117</v>
      </c>
      <c r="H247" s="78"/>
      <c r="I247" s="33" t="n">
        <f aca="false">(ABS(C98-I98)/C98)*100</f>
        <v>99.7112145034494</v>
      </c>
      <c r="J247" s="33" t="n">
        <f aca="false">(ABS(D98-J98)/D98)*100</f>
        <v>4.0418295212887</v>
      </c>
      <c r="K247" s="75"/>
      <c r="L247" s="65" t="n">
        <f aca="false">(ABS(C98-K98)/C98)*100</f>
        <v>0.0641745547890261</v>
      </c>
      <c r="M247" s="65" t="n">
        <f aca="false">(ABS(D98-L98)/D98)*100</f>
        <v>0.00260133838860094</v>
      </c>
      <c r="N247" s="75"/>
    </row>
    <row r="248" customFormat="false" ht="15" hidden="false" customHeight="false" outlineLevel="0" collapsed="false">
      <c r="A248" s="8"/>
      <c r="B248" s="13" t="n">
        <v>95</v>
      </c>
      <c r="C248" s="77" t="n">
        <f aca="false">(ABS(C99-E99)/C99)*100</f>
        <v>96.125584502338</v>
      </c>
      <c r="D248" s="77" t="n">
        <f aca="false">(ABS(D99-F99)/D99)*100</f>
        <v>3.73737111393917</v>
      </c>
      <c r="E248" s="78"/>
      <c r="F248" s="77" t="n">
        <f aca="false">(ABS(C99-G99)/C99)*100</f>
        <v>0.083500334001336</v>
      </c>
      <c r="G248" s="77" t="n">
        <f aca="false">(ABS(D99-H99)/D99)*100</f>
        <v>0.00324650027270602</v>
      </c>
      <c r="H248" s="78"/>
      <c r="I248" s="33" t="n">
        <f aca="false">(ABS(C99-I99)/C99)*100</f>
        <v>97.8790915163661</v>
      </c>
      <c r="J248" s="33" t="n">
        <f aca="false">(ABS(D99-J99)/D99)*100</f>
        <v>3.805547619666</v>
      </c>
      <c r="K248" s="75"/>
      <c r="L248" s="65" t="n">
        <f aca="false">(ABS(C99-K99)/C99)*100</f>
        <v>0.083500334001336</v>
      </c>
      <c r="M248" s="65" t="n">
        <f aca="false">(ABS(D99-L99)/D99)*100</f>
        <v>0.00324650027270602</v>
      </c>
      <c r="N248" s="75"/>
    </row>
    <row r="249" customFormat="false" ht="15" hidden="false" customHeight="false" outlineLevel="0" collapsed="false">
      <c r="A249" s="8"/>
      <c r="B249" s="13" t="n">
        <v>96</v>
      </c>
      <c r="C249" s="77" t="n">
        <f aca="false">(ABS(C100-E100)/C100)*100</f>
        <v>99.7565640758129</v>
      </c>
      <c r="D249" s="77" t="n">
        <f aca="false">(ABS(D100-F100)/D100)*100</f>
        <v>3.7193109841879</v>
      </c>
      <c r="E249" s="78"/>
      <c r="F249" s="77" t="n">
        <f aca="false">(ABS(C100-G100)/C100)*100</f>
        <v>0.0173882802990784</v>
      </c>
      <c r="G249" s="77" t="n">
        <f aca="false">(ABS(D100-H100)/D100)*100</f>
        <v>0.000648302420112934</v>
      </c>
      <c r="H249" s="78"/>
      <c r="I249" s="33" t="n">
        <f aca="false">(ABS(C100-I100)/C100)*100</f>
        <v>99.8608937576074</v>
      </c>
      <c r="J249" s="33" t="n">
        <f aca="false">(ABS(D100-J100)/D100)*100</f>
        <v>3.72320079870858</v>
      </c>
      <c r="K249" s="75"/>
      <c r="L249" s="65" t="n">
        <f aca="false">(ABS(C100-K100)/C100)*100</f>
        <v>0.0347765605981568</v>
      </c>
      <c r="M249" s="65" t="n">
        <f aca="false">(ABS(D100-L100)/D100)*100</f>
        <v>0.00129660484022587</v>
      </c>
      <c r="N249" s="75"/>
    </row>
    <row r="250" customFormat="false" ht="15" hidden="false" customHeight="false" outlineLevel="0" collapsed="false">
      <c r="A250" s="8"/>
      <c r="B250" s="13" t="n">
        <v>97</v>
      </c>
      <c r="C250" s="77" t="n">
        <f aca="false">(ABS(C101-E101)/C101)*100</f>
        <v>96.2196861626248</v>
      </c>
      <c r="D250" s="77" t="n">
        <f aca="false">(ABS(D101-F101)/D101)*100</f>
        <v>3.49499974091922</v>
      </c>
      <c r="E250" s="78"/>
      <c r="F250" s="77" t="n">
        <f aca="false">(ABS(C101-G101)/C101)*100</f>
        <v>0.0713266761768902</v>
      </c>
      <c r="G250" s="77" t="n">
        <f aca="false">(ABS(D101-H101)/D101)*100</f>
        <v>0.00259080781387637</v>
      </c>
      <c r="H250" s="78"/>
      <c r="I250" s="33" t="n">
        <f aca="false">(ABS(C101-I101)/C101)*100</f>
        <v>99.7325249643367</v>
      </c>
      <c r="J250" s="33" t="n">
        <f aca="false">(ABS(D101-J101)/D101)*100</f>
        <v>3.62259702575263</v>
      </c>
      <c r="K250" s="75"/>
      <c r="L250" s="65" t="n">
        <f aca="false">(ABS(C101-K101)/C101)*100</f>
        <v>0.124821683309558</v>
      </c>
      <c r="M250" s="65" t="n">
        <f aca="false">(ABS(D101-L101)/D101)*100</f>
        <v>0.00453391367428364</v>
      </c>
      <c r="N250" s="75"/>
    </row>
    <row r="251" customFormat="false" ht="15" hidden="false" customHeight="false" outlineLevel="0" collapsed="false">
      <c r="A251" s="8"/>
      <c r="B251" s="13" t="n">
        <v>98</v>
      </c>
      <c r="C251" s="77" t="n">
        <f aca="false">(ABS(C102-E102)/C102)*100</f>
        <v>92.2489286379728</v>
      </c>
      <c r="D251" s="77" t="n">
        <f aca="false">(ABS(D102-F102)/D102)*100</f>
        <v>3.201774524196</v>
      </c>
      <c r="E251" s="78"/>
      <c r="F251" s="77" t="n">
        <f aca="false">(ABS(C102-G102)/C102)*100</f>
        <v>0.0558971492453885</v>
      </c>
      <c r="G251" s="77" t="n">
        <f aca="false">(ABS(D102-H102)/D102)*100</f>
        <v>0.00194007747376045</v>
      </c>
      <c r="H251" s="78"/>
      <c r="I251" s="33" t="n">
        <f aca="false">(ABS(C102-I102)/C102)*100</f>
        <v>99.5714551891187</v>
      </c>
      <c r="J251" s="33" t="n">
        <f aca="false">(ABS(D102-J102)/D102)*100</f>
        <v>3.45592467325862</v>
      </c>
      <c r="K251" s="75"/>
      <c r="L251" s="65" t="n">
        <f aca="false">(ABS(C102-K102)/C102)*100</f>
        <v>0</v>
      </c>
      <c r="M251" s="65" t="n">
        <f aca="false">(ABS(D102-L102)/D102)*100</f>
        <v>0</v>
      </c>
      <c r="N251" s="75"/>
    </row>
    <row r="252" customFormat="false" ht="15" hidden="false" customHeight="false" outlineLevel="0" collapsed="false">
      <c r="A252" s="8"/>
      <c r="B252" s="13" t="n">
        <v>99</v>
      </c>
      <c r="C252" s="77" t="n">
        <f aca="false">(ABS(C103-E103)/C103)*100</f>
        <v>99.5711500974659</v>
      </c>
      <c r="D252" s="77" t="n">
        <f aca="false">(ABS(D103-F103)/D103)*100</f>
        <v>3.29825014528314</v>
      </c>
      <c r="E252" s="78"/>
      <c r="F252" s="77" t="n">
        <f aca="false">(ABS(C103-G103)/C103)*100</f>
        <v>0.0584795321637427</v>
      </c>
      <c r="G252" s="77" t="n">
        <f aca="false">(ABS(D103-H103)/D103)*100</f>
        <v>0.00193710854264867</v>
      </c>
      <c r="H252" s="78"/>
      <c r="I252" s="33" t="n">
        <f aca="false">(ABS(C103-I103)/C103)*100</f>
        <v>99.6491228070176</v>
      </c>
      <c r="J252" s="33" t="n">
        <f aca="false">(ABS(D103-J103)/D103)*100</f>
        <v>3.30083295667334</v>
      </c>
      <c r="K252" s="75"/>
      <c r="L252" s="65" t="n">
        <f aca="false">(ABS(C103-K103)/C103)*100</f>
        <v>0.0584795321637427</v>
      </c>
      <c r="M252" s="65" t="n">
        <f aca="false">(ABS(D103-L103)/D103)*100</f>
        <v>0.00193710854264867</v>
      </c>
      <c r="N252" s="75"/>
    </row>
    <row r="253" customFormat="false" ht="15" hidden="false" customHeight="false" outlineLevel="0" collapsed="false">
      <c r="A253" s="8"/>
      <c r="B253" s="13" t="n">
        <v>100</v>
      </c>
      <c r="C253" s="77" t="n">
        <f aca="false">(ABS(C104-E104)/C104)*100</f>
        <v>99.8156870776162</v>
      </c>
      <c r="D253" s="77" t="n">
        <f aca="false">(ABS(D104-F104)/D104)*100</f>
        <v>3.14214431687049</v>
      </c>
      <c r="E253" s="78"/>
      <c r="F253" s="77" t="n">
        <f aca="false">(ABS(C104-G104)/C104)*100</f>
        <v>1.57689944706123</v>
      </c>
      <c r="G253" s="77" t="n">
        <f aca="false">(ABS(D104-H104)/D104)*100</f>
        <v>0.0496399491996364</v>
      </c>
      <c r="H253" s="78"/>
      <c r="I253" s="33" t="n">
        <f aca="false">(ABS(C104-I104)/C104)*100</f>
        <v>97.4196190866271</v>
      </c>
      <c r="J253" s="33" t="n">
        <f aca="false">(ABS(D104-J104)/D104)*100</f>
        <v>3.06671738107364</v>
      </c>
      <c r="K253" s="75"/>
      <c r="L253" s="65" t="n">
        <f aca="false">(ABS(C104-K104)/C104)*100</f>
        <v>1.59737866065943</v>
      </c>
      <c r="M253" s="65" t="n">
        <f aca="false">(ABS(D104-L104)/D104)*100</f>
        <v>0.0502846238645668</v>
      </c>
      <c r="N253" s="75"/>
    </row>
    <row r="254" customFormat="false" ht="15" hidden="false" customHeight="false" outlineLevel="0" collapsed="false">
      <c r="A254" s="8"/>
      <c r="B254" s="13" t="n">
        <v>101</v>
      </c>
      <c r="C254" s="77" t="n">
        <f aca="false">(ABS(C105-E105)/C105)*100</f>
        <v>99.873577749684</v>
      </c>
      <c r="D254" s="77" t="n">
        <f aca="false">(ABS(D105-F105)/D105)*100</f>
        <v>3.05306143481005</v>
      </c>
      <c r="E254" s="78"/>
      <c r="F254" s="77" t="n">
        <f aca="false">(ABS(C105-G105)/C105)*100</f>
        <v>1.49599662873999</v>
      </c>
      <c r="G254" s="77" t="n">
        <f aca="false">(ABS(D105-H105)/D105)*100</f>
        <v>0.0457315109433573</v>
      </c>
      <c r="H254" s="78"/>
      <c r="I254" s="33" t="n">
        <f aca="false">(ABS(C105-I105)/C105)*100</f>
        <v>99.7682258744206</v>
      </c>
      <c r="J254" s="33" t="n">
        <f aca="false">(ABS(D105-J105)/D105)*100</f>
        <v>3.04984090587038</v>
      </c>
      <c r="K254" s="75"/>
      <c r="L254" s="65" t="n">
        <f aca="false">(ABS(C105-K105)/C105)*100</f>
        <v>1.45385587863464</v>
      </c>
      <c r="M254" s="65" t="n">
        <f aca="false">(ABS(D105-L105)/D105)*100</f>
        <v>0.0444432993674881</v>
      </c>
      <c r="N254" s="75"/>
    </row>
    <row r="255" customFormat="false" ht="15" hidden="false" customHeight="false" outlineLevel="0" collapsed="false">
      <c r="A255" s="8"/>
      <c r="B255" s="13" t="n">
        <v>102</v>
      </c>
      <c r="C255" s="77" t="n">
        <f aca="false">(ABS(C106-E106)/C106)*100</f>
        <v>99.023307436182</v>
      </c>
      <c r="D255" s="77" t="n">
        <f aca="false">(ABS(D106-F106)/D106)*100</f>
        <v>2.86890253705907</v>
      </c>
      <c r="E255" s="78"/>
      <c r="F255" s="77" t="n">
        <f aca="false">(ABS(C106-G106)/C106)*100</f>
        <v>0.0665926748057714</v>
      </c>
      <c r="G255" s="77" t="n">
        <f aca="false">(ABS(D106-H106)/D106)*100</f>
        <v>0.00192932248625358</v>
      </c>
      <c r="H255" s="78"/>
      <c r="I255" s="33" t="n">
        <f aca="false">(ABS(C106-I106)/C106)*100</f>
        <v>86.61487236404</v>
      </c>
      <c r="J255" s="33" t="n">
        <f aca="false">(ABS(D106-J106)/D106)*100</f>
        <v>2.50940544712049</v>
      </c>
      <c r="K255" s="75"/>
      <c r="L255" s="65" t="n">
        <f aca="false">(ABS(C106-K106)/C106)*100</f>
        <v>0.110987791342952</v>
      </c>
      <c r="M255" s="65" t="n">
        <f aca="false">(ABS(D106-L106)/D106)*100</f>
        <v>0.0032155374770893</v>
      </c>
      <c r="N255" s="75"/>
    </row>
    <row r="256" customFormat="false" ht="15" hidden="false" customHeight="false" outlineLevel="0" collapsed="false">
      <c r="A256" s="8"/>
      <c r="B256" s="13" t="n">
        <v>103</v>
      </c>
      <c r="C256" s="77" t="n">
        <f aca="false">(ABS(C107-E107)/C107)*100</f>
        <v>99.2724712508801</v>
      </c>
      <c r="D256" s="77" t="n">
        <f aca="false">(ABS(D107-F107)/D107)*100</f>
        <v>2.71608267678616</v>
      </c>
      <c r="E256" s="78"/>
      <c r="F256" s="77" t="n">
        <f aca="false">(ABS(C107-G107)/C107)*100</f>
        <v>0.0234686693264492</v>
      </c>
      <c r="G256" s="77" t="n">
        <f aca="false">(ABS(D107-H107)/D107)*100</f>
        <v>0.000642099923590109</v>
      </c>
      <c r="H256" s="78"/>
      <c r="I256" s="33" t="n">
        <f aca="false">(ABS(C107-I107)/C107)*100</f>
        <v>98.7796291950246</v>
      </c>
      <c r="J256" s="33" t="n">
        <f aca="false">(ABS(D107-J107)/D107)*100</f>
        <v>2.70259857839077</v>
      </c>
      <c r="K256" s="75"/>
      <c r="L256" s="65" t="n">
        <f aca="false">(ABS(C107-K107)/C107)*100</f>
        <v>0</v>
      </c>
      <c r="M256" s="65" t="n">
        <f aca="false">(ABS(D107-L107)/D107)*100</f>
        <v>0</v>
      </c>
      <c r="N256" s="75"/>
    </row>
    <row r="257" customFormat="false" ht="15" hidden="false" customHeight="false" outlineLevel="0" collapsed="false">
      <c r="A257" s="8"/>
      <c r="B257" s="13" t="n">
        <v>104</v>
      </c>
      <c r="C257" s="77" t="n">
        <f aca="false">(ABS(C108-E108)/C108)*100</f>
        <v>98.2089552238806</v>
      </c>
      <c r="D257" s="77" t="n">
        <f aca="false">(ABS(D108-F108)/D108)*100</f>
        <v>2.53109372996538</v>
      </c>
      <c r="E257" s="78"/>
      <c r="F257" s="77" t="n">
        <f aca="false">(ABS(C108-G108)/C108)*100</f>
        <v>0.0746268656716418</v>
      </c>
      <c r="G257" s="77" t="n">
        <f aca="false">(ABS(D108-H108)/D108)*100</f>
        <v>0.00192332350301321</v>
      </c>
      <c r="H257" s="78"/>
      <c r="I257" s="33" t="n">
        <f aca="false">(ABS(C108-I108)/C108)*100</f>
        <v>99.1542288557214</v>
      </c>
      <c r="J257" s="33" t="n">
        <f aca="false">(ABS(D108-J108)/D108)*100</f>
        <v>2.55545582767021</v>
      </c>
      <c r="K257" s="75"/>
      <c r="L257" s="65" t="n">
        <f aca="false">(ABS(C108-K108)/C108)*100</f>
        <v>0.0248756218905473</v>
      </c>
      <c r="M257" s="65" t="n">
        <f aca="false">(ABS(D108-L108)/D108)*100</f>
        <v>0.000641107834337736</v>
      </c>
      <c r="N257" s="75"/>
    </row>
    <row r="258" customFormat="false" ht="15" hidden="false" customHeight="false" outlineLevel="0" collapsed="false">
      <c r="A258" s="8"/>
      <c r="B258" s="13" t="n">
        <v>105</v>
      </c>
      <c r="C258" s="77" t="n">
        <f aca="false">(ABS(C109-E109)/C109)*100</f>
        <v>99.5619685648029</v>
      </c>
      <c r="D258" s="77" t="n">
        <f aca="false">(ABS(D109-F109)/D109)*100</f>
        <v>2.47503506940219</v>
      </c>
      <c r="E258" s="78"/>
      <c r="F258" s="77" t="n">
        <f aca="false">(ABS(C109-G109)/C109)*100</f>
        <v>0.953362535429013</v>
      </c>
      <c r="G258" s="77" t="n">
        <f aca="false">(ABS(D109-H109)/D109)*100</f>
        <v>0.0236998699709837</v>
      </c>
      <c r="H258" s="78"/>
      <c r="I258" s="33" t="n">
        <f aca="false">(ABS(C109-I109)/C109)*100</f>
        <v>99.3043030146869</v>
      </c>
      <c r="J258" s="33" t="n">
        <f aca="false">(ABS(D109-J109)/D109)*100</f>
        <v>2.46862969913976</v>
      </c>
      <c r="K258" s="75"/>
      <c r="L258" s="65" t="n">
        <f aca="false">(ABS(C109-K109)/C109)*100</f>
        <v>0.901829425405823</v>
      </c>
      <c r="M258" s="65" t="n">
        <f aca="false">(ABS(D109-L109)/D109)*100</f>
        <v>0.0224187959184981</v>
      </c>
      <c r="N258" s="75"/>
    </row>
    <row r="259" customFormat="false" ht="15" hidden="false" customHeight="false" outlineLevel="0" collapsed="false">
      <c r="A259" s="8"/>
      <c r="B259" s="13" t="n">
        <v>106</v>
      </c>
      <c r="C259" s="77" t="n">
        <f aca="false">(ABS(C110-E110)/C110)*100</f>
        <v>100</v>
      </c>
      <c r="D259" s="77" t="n">
        <f aca="false">(ABS(D110-F110)/D110)*100</f>
        <v>2.32861555778689</v>
      </c>
      <c r="E259" s="78"/>
      <c r="F259" s="77" t="n">
        <f aca="false">(ABS(C110-G110)/C110)*100</f>
        <v>0.0823949464432848</v>
      </c>
      <c r="G259" s="77" t="n">
        <f aca="false">(ABS(D110-H110)/D110)*100</f>
        <v>0.0019186615417085</v>
      </c>
      <c r="H259" s="78"/>
      <c r="I259" s="33" t="n">
        <f aca="false">(ABS(C110-I110)/C110)*100</f>
        <v>100</v>
      </c>
      <c r="J259" s="33" t="n">
        <f aca="false">(ABS(D110-J110)/D110)*100</f>
        <v>2.32861555778689</v>
      </c>
      <c r="K259" s="75"/>
      <c r="L259" s="65" t="n">
        <f aca="false">(ABS(C110-K110)/C110)*100</f>
        <v>0.0823949464432848</v>
      </c>
      <c r="M259" s="65" t="n">
        <f aca="false">(ABS(D110-L110)/D110)*100</f>
        <v>0.0019186615417085</v>
      </c>
      <c r="N259" s="75"/>
    </row>
    <row r="260" customFormat="false" ht="15" hidden="false" customHeight="false" outlineLevel="0" collapsed="false">
      <c r="A260" s="8"/>
      <c r="B260" s="13" t="n">
        <v>107</v>
      </c>
      <c r="C260" s="77" t="n">
        <f aca="false">(ABS(C111-E111)/C111)*100</f>
        <v>99.1204925241865</v>
      </c>
      <c r="D260" s="77" t="n">
        <f aca="false">(ABS(D111-F111)/D111)*100</f>
        <v>2.15915549623537</v>
      </c>
      <c r="E260" s="78"/>
      <c r="F260" s="77" t="n">
        <f aca="false">(ABS(C111-G111)/C111)*100</f>
        <v>1.11404280269716</v>
      </c>
      <c r="G260" s="77" t="n">
        <f aca="false">(ABS(D111-H111)/D111)*100</f>
        <v>0.0242673495583981</v>
      </c>
      <c r="H260" s="78"/>
      <c r="I260" s="33" t="n">
        <f aca="false">(ABS(C111-I111)/C111)*100</f>
        <v>99.2963940193492</v>
      </c>
      <c r="J260" s="33" t="n">
        <f aca="false">(ABS(D111-J111)/D111)*100</f>
        <v>2.16298718300775</v>
      </c>
      <c r="K260" s="75"/>
      <c r="L260" s="65" t="n">
        <f aca="false">(ABS(C111-K111)/C111)*100</f>
        <v>1.0260920551158</v>
      </c>
      <c r="M260" s="65" t="n">
        <f aca="false">(ABS(D111-L111)/D111)*100</f>
        <v>0.0223515061722088</v>
      </c>
      <c r="N260" s="75"/>
    </row>
    <row r="261" customFormat="false" ht="15" hidden="false" customHeight="false" outlineLevel="0" collapsed="false">
      <c r="A261" s="8"/>
      <c r="B261" s="13" t="n">
        <v>108</v>
      </c>
      <c r="C261" s="77" t="n">
        <f aca="false">(ABS(C112-E112)/C112)*100</f>
        <v>99.6231155778894</v>
      </c>
      <c r="D261" s="77" t="n">
        <f aca="false">(ABS(D112-F112)/D112)*100</f>
        <v>2.02275278032854</v>
      </c>
      <c r="E261" s="78"/>
      <c r="F261" s="77" t="n">
        <f aca="false">(ABS(C112-G112)/C112)*100</f>
        <v>0.125628140703518</v>
      </c>
      <c r="G261" s="77" t="n">
        <f aca="false">(ABS(D112-H112)/D112)*100</f>
        <v>0.0025507601265177</v>
      </c>
      <c r="H261" s="78"/>
      <c r="I261" s="33" t="n">
        <f aca="false">(ABS(C112-I112)/C112)*100</f>
        <v>99.8743718592965</v>
      </c>
      <c r="J261" s="33" t="n">
        <f aca="false">(ABS(D112-J112)/D112)*100</f>
        <v>2.02785430058157</v>
      </c>
      <c r="K261" s="75"/>
      <c r="L261" s="65" t="n">
        <f aca="false">(ABS(C112-K112)/C112)*100</f>
        <v>0.0314070351758794</v>
      </c>
      <c r="M261" s="65" t="n">
        <f aca="false">(ABS(D112-L112)/D112)*100</f>
        <v>0.000637690031629426</v>
      </c>
      <c r="N261" s="75"/>
    </row>
    <row r="262" customFormat="false" ht="15" hidden="false" customHeight="false" outlineLevel="0" collapsed="false">
      <c r="A262" s="8"/>
      <c r="B262" s="13" t="n">
        <v>109</v>
      </c>
      <c r="C262" s="77" t="n">
        <f aca="false">(ABS(C113-E113)/C113)*100</f>
        <v>100</v>
      </c>
      <c r="D262" s="77" t="n">
        <f aca="false">(ABS(D113-F113)/D113)*100</f>
        <v>1.95108896506901</v>
      </c>
      <c r="E262" s="78"/>
      <c r="F262" s="77" t="n">
        <f aca="false">(ABS(C113-G113)/C113)*100</f>
        <v>0.326583932070542</v>
      </c>
      <c r="G262" s="77" t="n">
        <f aca="false">(ABS(D113-H113)/D113)*100</f>
        <v>0.00637194306031681</v>
      </c>
      <c r="H262" s="78"/>
      <c r="I262" s="33" t="n">
        <f aca="false">(ABS(C113-I113)/C113)*100</f>
        <v>100</v>
      </c>
      <c r="J262" s="33" t="n">
        <f aca="false">(ABS(D113-J113)/D113)*100</f>
        <v>1.95108896506901</v>
      </c>
      <c r="K262" s="75"/>
      <c r="L262" s="65" t="n">
        <f aca="false">(ABS(C113-K113)/C113)*100</f>
        <v>0.326583932070542</v>
      </c>
      <c r="M262" s="65" t="n">
        <f aca="false">(ABS(D113-L113)/D113)*100</f>
        <v>0.00637194306031681</v>
      </c>
      <c r="N262" s="75"/>
    </row>
    <row r="263" customFormat="false" ht="15" hidden="false" customHeight="false" outlineLevel="0" collapsed="false">
      <c r="A263" s="8"/>
      <c r="B263" s="13" t="n">
        <v>110</v>
      </c>
      <c r="C263" s="77" t="n">
        <f aca="false">(ABS(C114-E114)/C114)*100</f>
        <v>100</v>
      </c>
      <c r="D263" s="77" t="n">
        <f aca="false">(ABS(D114-F114)/D114)*100</f>
        <v>1.81225819588679</v>
      </c>
      <c r="E263" s="78"/>
      <c r="F263" s="77" t="n">
        <f aca="false">(ABS(C114-G114)/C114)*100</f>
        <v>0.38623595505618</v>
      </c>
      <c r="G263" s="77" t="n">
        <f aca="false">(ABS(D114-H114)/D114)*100</f>
        <v>0.00699959275096722</v>
      </c>
      <c r="H263" s="78"/>
      <c r="I263" s="33" t="n">
        <f aca="false">(ABS(C114-I114)/C114)*100</f>
        <v>100</v>
      </c>
      <c r="J263" s="33" t="n">
        <f aca="false">(ABS(D114-J114)/D114)*100</f>
        <v>1.81225819588679</v>
      </c>
      <c r="K263" s="75"/>
      <c r="L263" s="65" t="n">
        <f aca="false">(ABS(C114-K114)/C114)*100</f>
        <v>0.38623595505618</v>
      </c>
      <c r="M263" s="65" t="n">
        <f aca="false">(ABS(D114-L114)/D114)*100</f>
        <v>0.00699959275096722</v>
      </c>
      <c r="N263" s="75"/>
    </row>
    <row r="264" customFormat="false" ht="15" hidden="false" customHeight="false" outlineLevel="0" collapsed="false">
      <c r="A264" s="8"/>
      <c r="B264" s="13" t="n">
        <v>111</v>
      </c>
      <c r="C264" s="77" t="n">
        <f aca="false">(ABS(C115-E115)/C115)*100</f>
        <v>100</v>
      </c>
      <c r="D264" s="77" t="n">
        <f aca="false">(ABS(D115-F115)/D115)*100</f>
        <v>1.68026640229797</v>
      </c>
      <c r="E264" s="78"/>
      <c r="F264" s="77" t="n">
        <f aca="false">(ABS(C115-G115)/C115)*100</f>
        <v>3.93343419062027</v>
      </c>
      <c r="G264" s="77" t="n">
        <f aca="false">(ABS(D115-H115)/D115)*100</f>
        <v>0.0660921731614937</v>
      </c>
      <c r="H264" s="78"/>
      <c r="I264" s="33" t="n">
        <f aca="false">(ABS(C115-I115)/C115)*100</f>
        <v>100</v>
      </c>
      <c r="J264" s="33" t="n">
        <f aca="false">(ABS(D115-J115)/D115)*100</f>
        <v>1.68026640229797</v>
      </c>
      <c r="K264" s="75"/>
      <c r="L264" s="65" t="n">
        <f aca="false">(ABS(C115-K115)/C115)*100</f>
        <v>1.55068078668684</v>
      </c>
      <c r="M264" s="65" t="n">
        <f aca="false">(ABS(D115-L115)/D115)*100</f>
        <v>0.0260555682655889</v>
      </c>
      <c r="N264" s="75"/>
    </row>
    <row r="265" customFormat="false" ht="15" hidden="false" customHeight="false" outlineLevel="0" collapsed="false">
      <c r="A265" s="8"/>
      <c r="B265" s="13" t="n">
        <v>112</v>
      </c>
      <c r="C265" s="77" t="n">
        <f aca="false">(ABS(C116-E116)/C116)*100</f>
        <v>83.1561733442355</v>
      </c>
      <c r="D265" s="77" t="n">
        <f aca="false">(ABS(D116-F116)/D116)*100</f>
        <v>1.29098594767508</v>
      </c>
      <c r="E265" s="78"/>
      <c r="F265" s="77" t="n">
        <f aca="false">(ABS(C116-G116)/C116)*100</f>
        <v>0</v>
      </c>
      <c r="G265" s="77" t="n">
        <f aca="false">(ABS(D116-H116)/D116)*100</f>
        <v>0</v>
      </c>
      <c r="H265" s="78"/>
      <c r="I265" s="33" t="n">
        <f aca="false">(ABS(C116-I116)/C116)*100</f>
        <v>95.7890433360589</v>
      </c>
      <c r="J265" s="33" t="n">
        <f aca="false">(ABS(D116-J116)/D116)*100</f>
        <v>1.48710918161392</v>
      </c>
      <c r="K265" s="75"/>
      <c r="L265" s="65" t="n">
        <f aca="false">(ABS(C116-K116)/C116)*100</f>
        <v>0</v>
      </c>
      <c r="M265" s="65" t="n">
        <f aca="false">(ABS(D116-L116)/D116)*100</f>
        <v>0</v>
      </c>
      <c r="N265" s="75"/>
    </row>
    <row r="266" customFormat="false" ht="15" hidden="false" customHeight="false" outlineLevel="0" collapsed="false">
      <c r="A266" s="8"/>
      <c r="B266" s="13" t="n">
        <v>113</v>
      </c>
      <c r="C266" s="77" t="n">
        <f aca="false">(ABS(C117-E117)/C117)*100</f>
        <v>100</v>
      </c>
      <c r="D266" s="77" t="n">
        <f aca="false">(ABS(D117-F117)/D117)*100</f>
        <v>1.48163182463974</v>
      </c>
      <c r="E266" s="78"/>
      <c r="F266" s="77" t="n">
        <f aca="false">(ABS(C117-G117)/C117)*100</f>
        <v>0.299657534246575</v>
      </c>
      <c r="G266" s="77" t="n">
        <f aca="false">(ABS(D117-H117)/D117)*100</f>
        <v>0.00443982139232799</v>
      </c>
      <c r="H266" s="78"/>
      <c r="I266" s="33" t="n">
        <f aca="false">(ABS(C117-I117)/C117)*100</f>
        <v>100</v>
      </c>
      <c r="J266" s="33" t="n">
        <f aca="false">(ABS(D117-J117)/D117)*100</f>
        <v>1.48163182463974</v>
      </c>
      <c r="K266" s="75"/>
      <c r="L266" s="65" t="n">
        <f aca="false">(ABS(C117-K117)/C117)*100</f>
        <v>0.0428082191780822</v>
      </c>
      <c r="M266" s="65" t="n">
        <f aca="false">(ABS(D117-L117)/D117)*100</f>
        <v>0.000634260198903998</v>
      </c>
      <c r="N266" s="75"/>
    </row>
    <row r="267" customFormat="false" ht="15" hidden="false" customHeight="false" outlineLevel="0" collapsed="false">
      <c r="A267" s="8"/>
      <c r="B267" s="13" t="n">
        <v>114</v>
      </c>
      <c r="C267" s="77" t="n">
        <f aca="false">(ABS(C118-E118)/C118)*100</f>
        <v>99.1639572689271</v>
      </c>
      <c r="D267" s="77" t="n">
        <f aca="false">(ABS(D118-F118)/D118)*100</f>
        <v>1.352575595355</v>
      </c>
      <c r="E267" s="78"/>
      <c r="F267" s="77" t="n">
        <f aca="false">(ABS(C118-G118)/C118)*100</f>
        <v>0.18578727357176</v>
      </c>
      <c r="G267" s="77" t="n">
        <f aca="false">(ABS(D118-H118)/D118)*100</f>
        <v>0.00253409947607493</v>
      </c>
      <c r="H267" s="78"/>
      <c r="I267" s="33" t="n">
        <f aca="false">(ABS(C118-I118)/C118)*100</f>
        <v>98.1421272642824</v>
      </c>
      <c r="J267" s="33" t="n">
        <f aca="false">(ABS(D118-J118)/D118)*100</f>
        <v>1.33863804823658</v>
      </c>
      <c r="K267" s="75"/>
      <c r="L267" s="65" t="n">
        <f aca="false">(ABS(C118-K118)/C118)*100</f>
        <v>0.2322340919647</v>
      </c>
      <c r="M267" s="65" t="n">
        <f aca="false">(ABS(D118-L118)/D118)*100</f>
        <v>0.00316762434509367</v>
      </c>
      <c r="N267" s="75"/>
    </row>
    <row r="268" customFormat="false" ht="15" hidden="false" customHeight="false" outlineLevel="0" collapsed="false">
      <c r="A268" s="8"/>
      <c r="B268" s="13" t="n">
        <v>115</v>
      </c>
      <c r="C268" s="77" t="n">
        <f aca="false">(ABS(C119-E119)/C119)*100</f>
        <v>98.5815602836879</v>
      </c>
      <c r="D268" s="77" t="n">
        <f aca="false">(ABS(D119-F119)/D119)*100</f>
        <v>1.23144292711326</v>
      </c>
      <c r="E268" s="78"/>
      <c r="F268" s="77" t="n">
        <f aca="false">(ABS(C119-G119)/C119)*100</f>
        <v>0.709219858156028</v>
      </c>
      <c r="G268" s="77" t="n">
        <f aca="false">(ABS(D119-H119)/D119)*100</f>
        <v>0.00885930163390834</v>
      </c>
      <c r="H268" s="78"/>
      <c r="I268" s="33" t="n">
        <f aca="false">(ABS(C119-I119)/C119)*100</f>
        <v>100</v>
      </c>
      <c r="J268" s="33" t="n">
        <f aca="false">(ABS(D119-J119)/D119)*100</f>
        <v>1.24916153038108</v>
      </c>
      <c r="K268" s="75"/>
      <c r="L268" s="65" t="n">
        <f aca="false">(ABS(C119-K119)/C119)*100</f>
        <v>1.01317122593718</v>
      </c>
      <c r="M268" s="65" t="n">
        <f aca="false">(ABS(D119-L119)/D119)*100</f>
        <v>0.0126561451912976</v>
      </c>
      <c r="N268" s="75"/>
    </row>
    <row r="269" customFormat="false" ht="15" hidden="false" customHeight="false" outlineLevel="0" collapsed="false">
      <c r="A269" s="8"/>
      <c r="B269" s="13" t="n">
        <v>116</v>
      </c>
      <c r="C269" s="77" t="n">
        <f aca="false">(ABS(C120-E120)/C120)*100</f>
        <v>99.2239467849224</v>
      </c>
      <c r="D269" s="77" t="n">
        <f aca="false">(ABS(D120-F120)/D120)*100</f>
        <v>1.1315077498799</v>
      </c>
      <c r="E269" s="78"/>
      <c r="F269" s="77" t="n">
        <f aca="false">(ABS(C120-G120)/C120)*100</f>
        <v>0.221729490022173</v>
      </c>
      <c r="G269" s="77" t="n">
        <f aca="false">(ABS(D120-H120)/D120)*100</f>
        <v>0.0025285089382791</v>
      </c>
      <c r="H269" s="78"/>
      <c r="I269" s="33" t="n">
        <f aca="false">(ABS(C120-I120)/C120)*100</f>
        <v>98.8913525498891</v>
      </c>
      <c r="J269" s="33" t="n">
        <f aca="false">(ABS(D120-J120)/D120)*100</f>
        <v>1.12771498647248</v>
      </c>
      <c r="K269" s="75"/>
      <c r="L269" s="65" t="n">
        <f aca="false">(ABS(C120-K120)/C120)*100</f>
        <v>0</v>
      </c>
      <c r="M269" s="65" t="n">
        <f aca="false">(ABS(D120-L120)/D120)*100</f>
        <v>0</v>
      </c>
      <c r="N269" s="75"/>
    </row>
    <row r="270" customFormat="false" ht="15" hidden="false" customHeight="false" outlineLevel="0" collapsed="false">
      <c r="A270" s="8"/>
      <c r="B270" s="13" t="n">
        <v>117</v>
      </c>
      <c r="C270" s="77" t="n">
        <f aca="false">(ABS(C121-E121)/C121)*100</f>
        <v>94.8014018691589</v>
      </c>
      <c r="D270" s="77" t="n">
        <f aca="false">(ABS(D121-F121)/D121)*100</f>
        <v>1.02534620438694</v>
      </c>
      <c r="E270" s="78"/>
      <c r="F270" s="77" t="n">
        <f aca="false">(ABS(C121-G121)/C121)*100</f>
        <v>0.175233644859813</v>
      </c>
      <c r="G270" s="77" t="n">
        <f aca="false">(ABS(D121-H121)/D121)*100</f>
        <v>0.00189527949054887</v>
      </c>
      <c r="H270" s="78"/>
      <c r="I270" s="33" t="n">
        <f aca="false">(ABS(C121-I121)/C121)*100</f>
        <v>99.0654205607477</v>
      </c>
      <c r="J270" s="33" t="n">
        <f aca="false">(ABS(D121-J121)/D121)*100</f>
        <v>1.0714646719903</v>
      </c>
      <c r="K270" s="75"/>
      <c r="L270" s="65" t="n">
        <f aca="false">(ABS(C121-K121)/C121)*100</f>
        <v>0.58411214953271</v>
      </c>
      <c r="M270" s="65" t="n">
        <f aca="false">(ABS(D121-L121)/D121)*100</f>
        <v>0.00631759830182958</v>
      </c>
      <c r="N270" s="75"/>
    </row>
    <row r="271" customFormat="false" ht="15" hidden="false" customHeight="false" outlineLevel="0" collapsed="false">
      <c r="A271" s="8"/>
      <c r="B271" s="13" t="n">
        <v>118</v>
      </c>
      <c r="C271" s="77" t="n">
        <f aca="false">(ABS(C122-E122)/C122)*100</f>
        <v>100</v>
      </c>
      <c r="D271" s="77" t="n">
        <f aca="false">(ABS(D122-F122)/D122)*100</f>
        <v>0.980138469014876</v>
      </c>
      <c r="E271" s="78"/>
      <c r="F271" s="77" t="n">
        <f aca="false">(ABS(C122-G122)/C122)*100</f>
        <v>2.76883451384417</v>
      </c>
      <c r="G271" s="77" t="n">
        <f aca="false">(ABS(D122-H122)/D122)*100</f>
        <v>0.0271384122135477</v>
      </c>
      <c r="H271" s="78"/>
      <c r="I271" s="33" t="n">
        <f aca="false">(ABS(C122-I122)/C122)*100</f>
        <v>100</v>
      </c>
      <c r="J271" s="33" t="n">
        <f aca="false">(ABS(D122-J122)/D122)*100</f>
        <v>0.980138469014876</v>
      </c>
      <c r="K271" s="75"/>
      <c r="L271" s="65" t="n">
        <f aca="false">(ABS(C122-K122)/C122)*100</f>
        <v>2.1249195106246</v>
      </c>
      <c r="M271" s="65" t="n">
        <f aca="false">(ABS(D122-L122)/D122)*100</f>
        <v>0.0208271535592343</v>
      </c>
      <c r="N271" s="75"/>
    </row>
    <row r="272" customFormat="false" ht="15" hidden="false" customHeight="false" outlineLevel="0" collapsed="false">
      <c r="A272" s="8"/>
      <c r="B272" s="13" t="n">
        <v>119</v>
      </c>
      <c r="C272" s="77" t="n">
        <f aca="false">(ABS(C123-E123)/C123)*100</f>
        <v>100</v>
      </c>
      <c r="D272" s="77" t="n">
        <f aca="false">(ABS(D123-F123)/D123)*100</f>
        <v>0.883996015082158</v>
      </c>
      <c r="E272" s="78"/>
      <c r="F272" s="77" t="n">
        <f aca="false">(ABS(C123-G123)/C123)*100</f>
        <v>0</v>
      </c>
      <c r="G272" s="77" t="n">
        <f aca="false">(ABS(D123-H123)/D123)*100</f>
        <v>0</v>
      </c>
      <c r="H272" s="78"/>
      <c r="I272" s="33" t="n">
        <f aca="false">(ABS(C123-I123)/C123)*100</f>
        <v>100</v>
      </c>
      <c r="J272" s="33" t="n">
        <f aca="false">(ABS(D123-J123)/D123)*100</f>
        <v>0.883996015082158</v>
      </c>
      <c r="K272" s="75"/>
      <c r="L272" s="65" t="n">
        <f aca="false">(ABS(C123-K123)/C123)*100</f>
        <v>0</v>
      </c>
      <c r="M272" s="65" t="n">
        <f aca="false">(ABS(D123-L123)/D123)*100</f>
        <v>0</v>
      </c>
      <c r="N272" s="75"/>
    </row>
    <row r="273" customFormat="false" ht="15" hidden="false" customHeight="false" outlineLevel="0" collapsed="false">
      <c r="A273" s="8"/>
      <c r="B273" s="13" t="n">
        <v>120</v>
      </c>
      <c r="C273" s="77" t="n">
        <f aca="false">(ABS(C124-E124)/C124)*100</f>
        <v>98.1774960380349</v>
      </c>
      <c r="D273" s="77" t="n">
        <f aca="false">(ABS(D124-F124)/D124)*100</f>
        <v>0.780531441746778</v>
      </c>
      <c r="E273" s="78"/>
      <c r="F273" s="77" t="n">
        <f aca="false">(ABS(C124-G124)/C124)*100</f>
        <v>0</v>
      </c>
      <c r="G273" s="77" t="n">
        <f aca="false">(ABS(D124-H124)/D124)*100</f>
        <v>0</v>
      </c>
      <c r="H273" s="78"/>
      <c r="I273" s="33" t="n">
        <f aca="false">(ABS(C124-I124)/C124)*100</f>
        <v>98.5736925515055</v>
      </c>
      <c r="J273" s="33" t="n">
        <f aca="false">(ABS(D124-J124)/D124)*100</f>
        <v>0.783681286144465</v>
      </c>
      <c r="K273" s="75"/>
      <c r="L273" s="65" t="n">
        <f aca="false">(ABS(C124-K124)/C124)*100</f>
        <v>0</v>
      </c>
      <c r="M273" s="65" t="n">
        <f aca="false">(ABS(D124-L124)/D124)*100</f>
        <v>0</v>
      </c>
      <c r="N273" s="75"/>
    </row>
    <row r="274" customFormat="false" ht="15" hidden="false" customHeight="false" outlineLevel="0" collapsed="false">
      <c r="A274" s="8"/>
      <c r="B274" s="13" t="n">
        <v>121</v>
      </c>
      <c r="C274" s="77" t="n">
        <f aca="false">(ABS(C125-E125)/C125)*100</f>
        <v>100</v>
      </c>
      <c r="D274" s="77" t="n">
        <f aca="false">(ABS(D125-F125)/D125)*100</f>
        <v>0.742345155867297</v>
      </c>
      <c r="E274" s="78"/>
      <c r="F274" s="77" t="n">
        <f aca="false">(ABS(C125-G125)/C125)*100</f>
        <v>2.79898218829517</v>
      </c>
      <c r="G274" s="77" t="n">
        <f aca="false">(ABS(D125-H125)/D125)*100</f>
        <v>0.0207781086883976</v>
      </c>
      <c r="H274" s="78"/>
      <c r="I274" s="33" t="n">
        <f aca="false">(ABS(C125-I125)/C125)*100</f>
        <v>100</v>
      </c>
      <c r="J274" s="33" t="n">
        <f aca="false">(ABS(D125-J125)/D125)*100</f>
        <v>0.742345155867297</v>
      </c>
      <c r="K274" s="75"/>
      <c r="L274" s="65" t="n">
        <f aca="false">(ABS(C125-K125)/C125)*100</f>
        <v>3.05343511450382</v>
      </c>
      <c r="M274" s="65" t="n">
        <f aca="false">(ABS(D125-L125)/D125)*100</f>
        <v>0.0226670276600701</v>
      </c>
      <c r="N274" s="75"/>
    </row>
    <row r="275" customFormat="false" ht="15" hidden="false" customHeight="false" outlineLevel="0" collapsed="false">
      <c r="A275" s="8"/>
      <c r="B275" s="13" t="n">
        <v>122</v>
      </c>
      <c r="C275" s="77" t="n">
        <f aca="false">(ABS(C126-E126)/C126)*100</f>
        <v>79.9620132953466</v>
      </c>
      <c r="D275" s="77" t="n">
        <f aca="false">(ABS(D126-F126)/D126)*100</f>
        <v>0.529736327203408</v>
      </c>
      <c r="E275" s="78"/>
      <c r="F275" s="77" t="n">
        <f aca="false">(ABS(C126-G126)/C126)*100</f>
        <v>0.664767331433998</v>
      </c>
      <c r="G275" s="77" t="n">
        <f aca="false">(ABS(D126-H126)/D126)*100</f>
        <v>0.00440398371784305</v>
      </c>
      <c r="H275" s="78"/>
      <c r="I275" s="33" t="n">
        <f aca="false">(ABS(C126-I126)/C126)*100</f>
        <v>94.4919278252612</v>
      </c>
      <c r="J275" s="33" t="n">
        <f aca="false">(ABS(D126-J126)/D126)*100</f>
        <v>0.625994828464834</v>
      </c>
      <c r="K275" s="75"/>
      <c r="L275" s="65" t="n">
        <f aca="false">(ABS(C126-K126)/C126)*100</f>
        <v>0.949667616334283</v>
      </c>
      <c r="M275" s="65" t="n">
        <f aca="false">(ABS(D126-L126)/D126)*100</f>
        <v>0.00629140531120436</v>
      </c>
      <c r="N275" s="75"/>
    </row>
    <row r="276" customFormat="false" ht="15" hidden="false" customHeight="false" outlineLevel="0" collapsed="false">
      <c r="A276" s="8"/>
      <c r="B276" s="13" t="n">
        <v>123</v>
      </c>
      <c r="C276" s="77" t="n">
        <f aca="false">(ABS(C127-E127)/C127)*100</f>
        <v>85.2529601722282</v>
      </c>
      <c r="D276" s="77" t="n">
        <f aca="false">(ABS(D127-F127)/D127)*100</f>
        <v>0.497890878915704</v>
      </c>
      <c r="E276" s="78"/>
      <c r="F276" s="77" t="n">
        <f aca="false">(ABS(C127-G127)/C127)*100</f>
        <v>0.215285252960172</v>
      </c>
      <c r="G276" s="77" t="n">
        <f aca="false">(ABS(D127-H127)/D127)*100</f>
        <v>0.00125730019928208</v>
      </c>
      <c r="H276" s="78"/>
      <c r="I276" s="33" t="n">
        <f aca="false">(ABS(C127-I127)/C127)*100</f>
        <v>99.6770721205597</v>
      </c>
      <c r="J276" s="33" t="n">
        <f aca="false">(ABS(D127-J127)/D127)*100</f>
        <v>0.582129992267604</v>
      </c>
      <c r="K276" s="75"/>
      <c r="L276" s="65" t="n">
        <f aca="false">(ABS(C127-K127)/C127)*100</f>
        <v>0.430570505920344</v>
      </c>
      <c r="M276" s="65" t="n">
        <f aca="false">(ABS(D127-L127)/D127)*100</f>
        <v>0.00251460039856416</v>
      </c>
      <c r="N276" s="75"/>
    </row>
    <row r="277" customFormat="false" ht="15" hidden="false" customHeight="false" outlineLevel="0" collapsed="false">
      <c r="A277" s="8"/>
      <c r="B277" s="13" t="n">
        <v>124</v>
      </c>
      <c r="C277" s="77" t="n">
        <f aca="false">(ABS(C128-E128)/C128)*100</f>
        <v>99.384236453202</v>
      </c>
      <c r="D277" s="77" t="n">
        <f aca="false">(ABS(D128-F128)/D128)*100</f>
        <v>0.506947759881398</v>
      </c>
      <c r="E277" s="78"/>
      <c r="F277" s="77" t="n">
        <f aca="false">(ABS(C128-G128)/C128)*100</f>
        <v>0.123152709359606</v>
      </c>
      <c r="G277" s="77" t="n">
        <f aca="false">(ABS(D128-H128)/D128)*100</f>
        <v>0.000628188054375958</v>
      </c>
      <c r="H277" s="78"/>
      <c r="I277" s="33" t="n">
        <f aca="false">(ABS(C128-I128)/C128)*100</f>
        <v>99.8768472906404</v>
      </c>
      <c r="J277" s="33" t="n">
        <f aca="false">(ABS(D128-J128)/D128)*100</f>
        <v>0.509460512098902</v>
      </c>
      <c r="K277" s="75"/>
      <c r="L277" s="65" t="n">
        <f aca="false">(ABS(C128-K128)/C128)*100</f>
        <v>0.369458128078818</v>
      </c>
      <c r="M277" s="65" t="n">
        <f aca="false">(ABS(D128-L128)/D128)*100</f>
        <v>0.00188456416312787</v>
      </c>
      <c r="N277" s="75"/>
    </row>
    <row r="278" customFormat="false" ht="15" hidden="false" customHeight="false" outlineLevel="0" collapsed="false">
      <c r="A278" s="8"/>
      <c r="B278" s="13" t="n">
        <v>125</v>
      </c>
      <c r="C278" s="77" t="n">
        <f aca="false">(ABS(C129-E129)/C129)*100</f>
        <v>99.8670212765958</v>
      </c>
      <c r="D278" s="77" t="n">
        <f aca="false">(ABS(D129-F129)/D129)*100</f>
        <v>0.471591479955792</v>
      </c>
      <c r="E278" s="78"/>
      <c r="F278" s="77" t="n">
        <f aca="false">(ABS(C129-G129)/C129)*100</f>
        <v>1.46276595744681</v>
      </c>
      <c r="G278" s="77" t="n">
        <f aca="false">(ABS(D129-H129)/D129)*100</f>
        <v>0.00690746508590375</v>
      </c>
      <c r="H278" s="78"/>
      <c r="I278" s="33" t="n">
        <f aca="false">(ABS(C129-I129)/C129)*100</f>
        <v>99.468085106383</v>
      </c>
      <c r="J278" s="33" t="n">
        <f aca="false">(ABS(D129-J129)/D129)*100</f>
        <v>0.469707625841455</v>
      </c>
      <c r="K278" s="75"/>
      <c r="L278" s="65" t="n">
        <f aca="false">(ABS(C129-K129)/C129)*100</f>
        <v>1.46276595744681</v>
      </c>
      <c r="M278" s="65" t="n">
        <f aca="false">(ABS(D129-L129)/D129)*100</f>
        <v>0.00690746508590375</v>
      </c>
      <c r="N278" s="75"/>
    </row>
    <row r="279" customFormat="false" ht="15" hidden="false" customHeight="false" outlineLevel="0" collapsed="false">
      <c r="A279" s="8"/>
      <c r="B279" s="13" t="n">
        <v>126</v>
      </c>
      <c r="C279" s="77" t="n">
        <f aca="false">(ABS(C130-E130)/C130)*100</f>
        <v>100</v>
      </c>
      <c r="D279" s="77" t="n">
        <f aca="false">(ABS(D130-F130)/D130)*100</f>
        <v>0.406646920026106</v>
      </c>
      <c r="E279" s="78"/>
      <c r="F279" s="77" t="n">
        <f aca="false">(ABS(C130-G130)/C130)*100</f>
        <v>4.01234567901235</v>
      </c>
      <c r="G279" s="77" t="n">
        <f aca="false">(ABS(D130-H130)/D130)*100</f>
        <v>0.0163160801245042</v>
      </c>
      <c r="H279" s="78"/>
      <c r="I279" s="33" t="n">
        <f aca="false">(ABS(C130-I130)/C130)*100</f>
        <v>100</v>
      </c>
      <c r="J279" s="33" t="n">
        <f aca="false">(ABS(D130-J130)/D130)*100</f>
        <v>0.406646920026106</v>
      </c>
      <c r="K279" s="75"/>
      <c r="L279" s="65" t="n">
        <f aca="false">(ABS(C130-K130)/C130)*100</f>
        <v>3.54938271604938</v>
      </c>
      <c r="M279" s="65" t="n">
        <f aca="false">(ABS(D130-L130)/D130)*100</f>
        <v>0.0144334554947538</v>
      </c>
      <c r="N279" s="75"/>
    </row>
    <row r="280" customFormat="false" ht="15" hidden="false" customHeight="false" outlineLevel="0" collapsed="false">
      <c r="A280" s="8"/>
      <c r="B280" s="13" t="n">
        <v>127</v>
      </c>
      <c r="C280" s="77" t="n">
        <f aca="false">(ABS(C131-E131)/C131)*100</f>
        <v>97.6406533575318</v>
      </c>
      <c r="D280" s="77" t="n">
        <f aca="false">(ABS(D131-F131)/D131)*100</f>
        <v>0.337411962445672</v>
      </c>
      <c r="E280" s="78"/>
      <c r="F280" s="77" t="n">
        <f aca="false">(ABS(C131-G131)/C131)*100</f>
        <v>0</v>
      </c>
      <c r="G280" s="77" t="n">
        <f aca="false">(ABS(D131-H131)/D131)*100</f>
        <v>0</v>
      </c>
      <c r="H280" s="78"/>
      <c r="I280" s="33" t="n">
        <f aca="false">(ABS(C131-I131)/C131)*100</f>
        <v>99.0925589836661</v>
      </c>
      <c r="J280" s="33" t="n">
        <f aca="false">(ABS(D131-J131)/D131)*100</f>
        <v>0.342429240697653</v>
      </c>
      <c r="K280" s="75"/>
      <c r="L280" s="65" t="n">
        <f aca="false">(ABS(C131-K131)/C131)*100</f>
        <v>0.362976406533575</v>
      </c>
      <c r="M280" s="65" t="n">
        <f aca="false">(ABS(D131-L131)/D131)*100</f>
        <v>0.00125431956299506</v>
      </c>
      <c r="N280" s="75"/>
    </row>
    <row r="281" customFormat="false" ht="15" hidden="false" customHeight="false" outlineLevel="0" collapsed="false">
      <c r="A281" s="8"/>
      <c r="B281" s="13" t="n">
        <v>128</v>
      </c>
      <c r="C281" s="77" t="n">
        <f aca="false">(ABS(C132-E132)/C132)*100</f>
        <v>92.0600858369099</v>
      </c>
      <c r="D281" s="77" t="n">
        <f aca="false">(ABS(D132-F132)/D132)*100</f>
        <v>0.268908195118282</v>
      </c>
      <c r="E281" s="78"/>
      <c r="F281" s="77" t="n">
        <f aca="false">(ABS(C132-G132)/C132)*100</f>
        <v>0.643776824034335</v>
      </c>
      <c r="G281" s="77" t="n">
        <f aca="false">(ABS(D132-H132)/D132)*100</f>
        <v>0.00188047688893904</v>
      </c>
      <c r="H281" s="78"/>
      <c r="I281" s="33" t="n">
        <f aca="false">(ABS(C132-I132)/C132)*100</f>
        <v>92.4892703862661</v>
      </c>
      <c r="J281" s="33" t="n">
        <f aca="false">(ABS(D132-J132)/D132)*100</f>
        <v>0.270161846377575</v>
      </c>
      <c r="K281" s="75"/>
      <c r="L281" s="65" t="n">
        <f aca="false">(ABS(C132-K132)/C132)*100</f>
        <v>0.643776824034335</v>
      </c>
      <c r="M281" s="65" t="n">
        <f aca="false">(ABS(D132-L132)/D132)*100</f>
        <v>0.00188047688893904</v>
      </c>
      <c r="N281" s="75"/>
    </row>
    <row r="282" customFormat="false" ht="15" hidden="false" customHeight="false" outlineLevel="0" collapsed="false">
      <c r="A282" s="8"/>
      <c r="B282" s="13" t="n">
        <v>129</v>
      </c>
      <c r="C282" s="77" t="n">
        <f aca="false">(ABS(C133-E133)/C133)*100</f>
        <v>100</v>
      </c>
      <c r="D282" s="77" t="n">
        <f aca="false">(ABS(D133-F133)/D133)*100</f>
        <v>0.261306028837658</v>
      </c>
      <c r="E282" s="78"/>
      <c r="F282" s="77" t="n">
        <f aca="false">(ABS(C133-G133)/C133)*100</f>
        <v>0</v>
      </c>
      <c r="G282" s="77" t="n">
        <f aca="false">(ABS(D133-H133)/D133)*100</f>
        <v>0</v>
      </c>
      <c r="H282" s="78"/>
      <c r="I282" s="33" t="n">
        <f aca="false">(ABS(C133-I133)/C133)*100</f>
        <v>100</v>
      </c>
      <c r="J282" s="33" t="n">
        <f aca="false">(ABS(D133-J133)/D133)*100</f>
        <v>0.261306028837658</v>
      </c>
      <c r="K282" s="75"/>
      <c r="L282" s="65" t="n">
        <f aca="false">(ABS(C133-K133)/C133)*100</f>
        <v>0</v>
      </c>
      <c r="M282" s="65" t="n">
        <f aca="false">(ABS(D133-L133)/D133)*100</f>
        <v>0</v>
      </c>
      <c r="N282" s="75"/>
    </row>
    <row r="283" customFormat="false" ht="15" hidden="false" customHeight="false" outlineLevel="0" collapsed="false">
      <c r="A283" s="8"/>
      <c r="B283" s="13" t="n">
        <v>130</v>
      </c>
      <c r="C283" s="77" t="n">
        <f aca="false">(ABS(C134-E134)/C134)*100</f>
        <v>98.2352941176471</v>
      </c>
      <c r="D283" s="77" t="n">
        <f aca="false">(ABS(D134-F134)/D134)*100</f>
        <v>0.209194538394087</v>
      </c>
      <c r="E283" s="78"/>
      <c r="F283" s="77" t="n">
        <f aca="false">(ABS(C134-G134)/C134)*100</f>
        <v>1.17647058823529</v>
      </c>
      <c r="G283" s="77" t="n">
        <f aca="false">(ABS(D134-H134)/D134)*100</f>
        <v>0.00250532381310284</v>
      </c>
      <c r="H283" s="78"/>
      <c r="I283" s="33" t="n">
        <f aca="false">(ABS(C134-I134)/C134)*100</f>
        <v>96.1764705882353</v>
      </c>
      <c r="J283" s="33" t="n">
        <f aca="false">(ABS(D134-J134)/D134)*100</f>
        <v>0.204810221721157</v>
      </c>
      <c r="K283" s="75"/>
      <c r="L283" s="65" t="n">
        <f aca="false">(ABS(C134-K134)/C134)*100</f>
        <v>0.882352941176471</v>
      </c>
      <c r="M283" s="65" t="n">
        <f aca="false">(ABS(D134-L134)/D134)*100</f>
        <v>0.00187899285982713</v>
      </c>
      <c r="N283" s="75"/>
    </row>
    <row r="284" customFormat="false" ht="15" hidden="false" customHeight="false" outlineLevel="0" collapsed="false">
      <c r="A284" s="8"/>
      <c r="B284" s="13" t="n">
        <v>131</v>
      </c>
      <c r="C284" s="77" t="n">
        <f aca="false">(ABS(C135-E135)/C135)*100</f>
        <v>100</v>
      </c>
      <c r="D284" s="77" t="n">
        <f aca="false">(ABS(D135-F135)/D135)*100</f>
        <v>0.17217091876663</v>
      </c>
      <c r="E284" s="78"/>
      <c r="F284" s="77" t="n">
        <f aca="false">(ABS(C135-G135)/C135)*100</f>
        <v>0.363636363636364</v>
      </c>
      <c r="G284" s="77" t="n">
        <f aca="false">(ABS(D135-H135)/D135)*100</f>
        <v>0.000626076068242291</v>
      </c>
      <c r="H284" s="78"/>
      <c r="I284" s="33" t="n">
        <f aca="false">(ABS(C135-I135)/C135)*100</f>
        <v>100</v>
      </c>
      <c r="J284" s="33" t="n">
        <f aca="false">(ABS(D135-J135)/D135)*100</f>
        <v>0.17217091876663</v>
      </c>
      <c r="K284" s="75"/>
      <c r="L284" s="65" t="n">
        <f aca="false">(ABS(C135-K135)/C135)*100</f>
        <v>0</v>
      </c>
      <c r="M284" s="65" t="n">
        <f aca="false">(ABS(D135-L135)/D135)*100</f>
        <v>0</v>
      </c>
      <c r="N284" s="75"/>
    </row>
    <row r="285" customFormat="false" ht="15" hidden="false" customHeight="false" outlineLevel="0" collapsed="false">
      <c r="A285" s="8"/>
      <c r="B285" s="13" t="n">
        <v>132</v>
      </c>
      <c r="C285" s="77" t="n">
        <f aca="false">(ABS(C136-E136)/C136)*100</f>
        <v>100</v>
      </c>
      <c r="D285" s="77" t="n">
        <f aca="false">(ABS(D136-F136)/D136)*100</f>
        <v>0.131422492020777</v>
      </c>
      <c r="E285" s="78"/>
      <c r="F285" s="77" t="n">
        <f aca="false">(ABS(C136-G136)/C136)*100</f>
        <v>0.476190476190476</v>
      </c>
      <c r="G285" s="77" t="n">
        <f aca="false">(ABS(D136-H136)/D136)*100</f>
        <v>0.00062582139057513</v>
      </c>
      <c r="H285" s="78"/>
      <c r="I285" s="33" t="n">
        <f aca="false">(ABS(C136-I136)/C136)*100</f>
        <v>100</v>
      </c>
      <c r="J285" s="33" t="n">
        <f aca="false">(ABS(D136-J136)/D136)*100</f>
        <v>0.131422492020777</v>
      </c>
      <c r="K285" s="75"/>
      <c r="L285" s="65" t="n">
        <f aca="false">(ABS(C136-K136)/C136)*100</f>
        <v>1.42857142857143</v>
      </c>
      <c r="M285" s="65" t="n">
        <f aca="false">(ABS(D136-L136)/D136)*100</f>
        <v>0.00187746417172539</v>
      </c>
      <c r="N285" s="75"/>
    </row>
    <row r="286" customFormat="false" ht="15" hidden="false" customHeight="false" outlineLevel="0" collapsed="false">
      <c r="A286" s="8"/>
      <c r="B286" s="13" t="n">
        <v>133</v>
      </c>
      <c r="C286" s="77" t="n">
        <f aca="false">(ABS(C137-E137)/C137)*100</f>
        <v>92.2651933701658</v>
      </c>
      <c r="D286" s="77" t="n">
        <f aca="false">(ABS(D137-F137)/D137)*100</f>
        <v>0.104493207941484</v>
      </c>
      <c r="E286" s="78"/>
      <c r="F286" s="77" t="n">
        <f aca="false">(ABS(C137-G137)/C137)*100</f>
        <v>0</v>
      </c>
      <c r="G286" s="77" t="n">
        <f aca="false">(ABS(D137-H137)/D137)*100</f>
        <v>0</v>
      </c>
      <c r="H286" s="78"/>
      <c r="I286" s="33" t="n">
        <f aca="false">(ABS(C137-I137)/C137)*100</f>
        <v>70.7182320441989</v>
      </c>
      <c r="J286" s="33" t="n">
        <f aca="false">(ABS(D137-J137)/D137)*100</f>
        <v>0.0800906024940714</v>
      </c>
      <c r="K286" s="75"/>
      <c r="L286" s="65" t="n">
        <f aca="false">(ABS(C137-K137)/C137)*100</f>
        <v>0</v>
      </c>
      <c r="M286" s="65" t="n">
        <f aca="false">(ABS(D137-L137)/D137)*100</f>
        <v>0</v>
      </c>
      <c r="N286" s="75"/>
    </row>
    <row r="287" customFormat="false" ht="15" hidden="false" customHeight="false" outlineLevel="0" collapsed="false">
      <c r="A287" s="8"/>
      <c r="B287" s="13" t="n">
        <v>134</v>
      </c>
      <c r="C287" s="77" t="n">
        <f aca="false">(ABS(C138-E138)/C138)*100</f>
        <v>100</v>
      </c>
      <c r="D287" s="77" t="n">
        <f aca="false">(ABS(D138-F138)/D138)*100</f>
        <v>0.0825681186979258</v>
      </c>
      <c r="E287" s="78"/>
      <c r="F287" s="77" t="n">
        <f aca="false">(ABS(C138-G138)/C138)*100</f>
        <v>2.27272727272727</v>
      </c>
      <c r="G287" s="77" t="n">
        <f aca="false">(ABS(D138-H138)/D138)*100</f>
        <v>0.00187654815222559</v>
      </c>
      <c r="H287" s="78"/>
      <c r="I287" s="33" t="n">
        <f aca="false">(ABS(C138-I138)/C138)*100</f>
        <v>100</v>
      </c>
      <c r="J287" s="33" t="n">
        <f aca="false">(ABS(D138-J138)/D138)*100</f>
        <v>0.0825681186979258</v>
      </c>
      <c r="K287" s="75"/>
      <c r="L287" s="65" t="n">
        <f aca="false">(ABS(C138-K138)/C138)*100</f>
        <v>2.27272727272727</v>
      </c>
      <c r="M287" s="65" t="n">
        <f aca="false">(ABS(D138-L138)/D138)*100</f>
        <v>0.00187654815222559</v>
      </c>
      <c r="N287" s="75"/>
    </row>
    <row r="288" customFormat="false" ht="15" hidden="false" customHeight="false" outlineLevel="0" collapsed="false">
      <c r="A288" s="8"/>
      <c r="B288" s="13" t="n">
        <v>135</v>
      </c>
      <c r="C288" s="77" t="n">
        <f aca="false">(ABS(C139-E139)/C139)*100</f>
        <v>97.8260869565217</v>
      </c>
      <c r="D288" s="77" t="n">
        <f aca="false">(ABS(D139-F139)/D139)*100</f>
        <v>0.0562823623583561</v>
      </c>
      <c r="E288" s="78"/>
      <c r="F288" s="77" t="n">
        <f aca="false">(ABS(C139-G139)/C139)*100</f>
        <v>2.17391304347826</v>
      </c>
      <c r="G288" s="77" t="n">
        <f aca="false">(ABS(D139-H139)/D139)*100</f>
        <v>0.00125071916351902</v>
      </c>
      <c r="H288" s="78"/>
      <c r="I288" s="33" t="n">
        <f aca="false">(ABS(C139-I139)/C139)*100</f>
        <v>94.5652173913043</v>
      </c>
      <c r="J288" s="33" t="n">
        <f aca="false">(ABS(D139-J139)/D139)*100</f>
        <v>0.0544062836130775</v>
      </c>
      <c r="K288" s="75"/>
      <c r="L288" s="65" t="n">
        <f aca="false">(ABS(C139-K139)/C139)*100</f>
        <v>2.17391304347826</v>
      </c>
      <c r="M288" s="65" t="n">
        <f aca="false">(ABS(D139-L139)/D139)*100</f>
        <v>0.00125071916351902</v>
      </c>
      <c r="N288" s="75"/>
    </row>
    <row r="289" customFormat="false" ht="15" hidden="false" customHeight="false" outlineLevel="0" collapsed="false">
      <c r="A289" s="8"/>
      <c r="B289" s="13" t="n">
        <v>136</v>
      </c>
      <c r="C289" s="77" t="n">
        <f aca="false">(ABS(C140-E140)/C140)*100</f>
        <v>91.5492957746479</v>
      </c>
      <c r="D289" s="77" t="n">
        <f aca="false">(ABS(D140-F140)/D140)*100</f>
        <v>0.0406430353469352</v>
      </c>
      <c r="E289" s="78"/>
      <c r="F289" s="77" t="n">
        <f aca="false">(ABS(C140-G140)/C140)*100</f>
        <v>0</v>
      </c>
      <c r="G289" s="77" t="n">
        <f aca="false">(ABS(D140-H140)/D140)*100</f>
        <v>0</v>
      </c>
      <c r="H289" s="78"/>
      <c r="I289" s="33" t="n">
        <f aca="false">(ABS(C140-I140)/C140)*100</f>
        <v>98.5915492957747</v>
      </c>
      <c r="J289" s="33" t="n">
        <f aca="false">(ABS(D140-J140)/D140)*100</f>
        <v>0.0437694226813148</v>
      </c>
      <c r="K289" s="75"/>
      <c r="L289" s="65" t="n">
        <f aca="false">(ABS(C140-K140)/C140)*100</f>
        <v>0</v>
      </c>
      <c r="M289" s="65" t="n">
        <f aca="false">(ABS(D140-L140)/D140)*100</f>
        <v>0</v>
      </c>
      <c r="N289" s="75"/>
    </row>
    <row r="290" customFormat="false" ht="15" hidden="false" customHeight="false" outlineLevel="0" collapsed="false">
      <c r="A290" s="8"/>
      <c r="B290" s="13" t="n">
        <v>137</v>
      </c>
      <c r="C290" s="77" t="n">
        <f aca="false">(ABS(C141-E141)/C141)*100</f>
        <v>100</v>
      </c>
      <c r="D290" s="77" t="n">
        <f aca="false">(ABS(D141-F141)/D141)*100</f>
        <v>0.026256892434264</v>
      </c>
      <c r="E290" s="78"/>
      <c r="F290" s="77" t="n">
        <f aca="false">(ABS(C141-G141)/C141)*100</f>
        <v>9.52380952380952</v>
      </c>
      <c r="G290" s="77" t="n">
        <f aca="false">(ABS(D141-H141)/D141)*100</f>
        <v>0.00250065642231086</v>
      </c>
      <c r="H290" s="78"/>
      <c r="I290" s="33" t="n">
        <f aca="false">(ABS(C141-I141)/C141)*100</f>
        <v>64.2857142857143</v>
      </c>
      <c r="J290" s="33" t="n">
        <f aca="false">(ABS(D141-J141)/D141)*100</f>
        <v>0.0168794308505983</v>
      </c>
      <c r="K290" s="75"/>
      <c r="L290" s="65" t="n">
        <f aca="false">(ABS(C141-K141)/C141)*100</f>
        <v>9.52380952380952</v>
      </c>
      <c r="M290" s="65" t="n">
        <f aca="false">(ABS(D141-L141)/D141)*100</f>
        <v>0.00250065642231086</v>
      </c>
      <c r="N290" s="75"/>
    </row>
    <row r="291" customFormat="false" ht="15" hidden="false" customHeight="false" outlineLevel="0" collapsed="false">
      <c r="A291" s="8"/>
      <c r="B291" s="13" t="n">
        <v>138</v>
      </c>
      <c r="C291" s="77" t="n">
        <f aca="false">(ABS(C142-E142)/C142)*100</f>
        <v>100</v>
      </c>
      <c r="D291" s="77" t="n">
        <f aca="false">(ABS(D142-F142)/D142)*100</f>
        <v>0.0137518908849967</v>
      </c>
      <c r="E291" s="78"/>
      <c r="F291" s="77" t="n">
        <f aca="false">(ABS(C142-G142)/C142)*100</f>
        <v>0</v>
      </c>
      <c r="G291" s="77" t="n">
        <f aca="false">(ABS(D142-H142)/D142)*100</f>
        <v>0</v>
      </c>
      <c r="H291" s="78"/>
      <c r="I291" s="33" t="n">
        <f aca="false">(ABS(C142-I142)/C142)*100</f>
        <v>100</v>
      </c>
      <c r="J291" s="33" t="n">
        <f aca="false">(ABS(D142-J142)/D142)*100</f>
        <v>0.0137518908849967</v>
      </c>
      <c r="K291" s="75"/>
      <c r="L291" s="65" t="n">
        <f aca="false">(ABS(C142-K142)/C142)*100</f>
        <v>13.6363636363636</v>
      </c>
      <c r="M291" s="65" t="n">
        <f aca="false">(ABS(D142-L142)/D142)*100</f>
        <v>0.00187525784795409</v>
      </c>
      <c r="N291" s="75"/>
    </row>
    <row r="292" customFormat="false" ht="15" hidden="false" customHeight="false" outlineLevel="0" collapsed="false">
      <c r="A292" s="8"/>
      <c r="B292" s="13" t="n">
        <v>139</v>
      </c>
      <c r="C292" s="77" t="n">
        <f aca="false">(ABS(C143-E143)/C143)*100</f>
        <v>100</v>
      </c>
      <c r="D292" s="77" t="n">
        <f aca="false">(ABS(D143-F143)/D143)*100</f>
        <v>0.00375014063027364</v>
      </c>
      <c r="E292" s="78"/>
      <c r="F292" s="77" t="n">
        <f aca="false">(ABS(C143-G143)/C143)*100</f>
        <v>16.6666666666667</v>
      </c>
      <c r="G292" s="77" t="n">
        <f aca="false">(ABS(D143-H143)/D143)*100</f>
        <v>0.000625023438378939</v>
      </c>
      <c r="H292" s="78"/>
      <c r="I292" s="33" t="n">
        <f aca="false">(ABS(C143-I143)/C143)*100</f>
        <v>100</v>
      </c>
      <c r="J292" s="33" t="n">
        <f aca="false">(ABS(D143-J143)/D143)*100</f>
        <v>0.00375014063027364</v>
      </c>
      <c r="K292" s="75"/>
      <c r="L292" s="65" t="n">
        <f aca="false">(ABS(C143-K143)/C143)*100</f>
        <v>0</v>
      </c>
      <c r="M292" s="65" t="n">
        <f aca="false">(ABS(D143-L143)/D143)*100</f>
        <v>0</v>
      </c>
      <c r="N292" s="75"/>
    </row>
    <row r="293" customFormat="false" ht="15" hidden="false" customHeight="false" outlineLevel="0" collapsed="false">
      <c r="A293" s="8"/>
      <c r="B293" s="13" t="n">
        <v>140</v>
      </c>
      <c r="C293" s="77" t="n">
        <f aca="false">(ABS(C144-E144)/C144)*100</f>
        <v>100</v>
      </c>
      <c r="D293" s="77" t="n">
        <f aca="false">(ABS(D144-F144)/D144)*100</f>
        <v>0.00125001562519532</v>
      </c>
      <c r="E293" s="79" t="s">
        <v>10</v>
      </c>
      <c r="F293" s="77" t="n">
        <f aca="false">(ABS(C144-G144)/C144)*100</f>
        <v>50</v>
      </c>
      <c r="G293" s="77" t="n">
        <f aca="false">(ABS(D144-H144)/D144)*100</f>
        <v>0.000625007812597658</v>
      </c>
      <c r="H293" s="79" t="s">
        <v>10</v>
      </c>
      <c r="I293" s="33" t="n">
        <f aca="false">(ABS(C144-I144)/C144)*100</f>
        <v>100</v>
      </c>
      <c r="J293" s="33" t="n">
        <f aca="false">(ABS(D144-J144)/D144)*100</f>
        <v>0.00125001562519532</v>
      </c>
      <c r="K293" s="79" t="s">
        <v>10</v>
      </c>
      <c r="L293" s="65" t="n">
        <f aca="false">(ABS(C144-K144)/C144)*100</f>
        <v>50</v>
      </c>
      <c r="M293" s="65" t="n">
        <f aca="false">(ABS(D144-L144)/D144)*100</f>
        <v>0.000625007812597658</v>
      </c>
      <c r="N293" s="79" t="s">
        <v>10</v>
      </c>
    </row>
    <row r="294" customFormat="false" ht="15" hidden="false" customHeight="false" outlineLevel="0" collapsed="false">
      <c r="A294" s="8"/>
      <c r="B294" s="66" t="s">
        <v>8</v>
      </c>
      <c r="C294" s="80" t="n">
        <f aca="false">(ABS(SUM(C4:C144)-SUM(E4:E144))/SUM(C4:C144))*100</f>
        <v>97.303063667546</v>
      </c>
      <c r="D294" s="81" t="n">
        <f aca="false">(ABS(SUM(D4:D144)-SUM(F4:F144))/SUM(D4:D144))*100</f>
        <v>2.65186723165012</v>
      </c>
      <c r="E294" s="82" t="n">
        <f aca="false">SUM(C153:D293)/(141*2)</f>
        <v>49.7165428187123</v>
      </c>
      <c r="F294" s="81" t="n">
        <f aca="false">(ABS(SUM(C4:C144)-SUM(G4:G144))/SUM(C4:C144))*100</f>
        <v>0.0653266079785341</v>
      </c>
      <c r="G294" s="81" t="n">
        <f aca="false">(ABS(SUM(D4:D144)-SUM(H4:H144))/SUM(D4:D144))*100</f>
        <v>0.00178039092011559</v>
      </c>
      <c r="H294" s="82" t="n">
        <f aca="false">SUM(F153:G293)/(141*2)</f>
        <v>0.744097468617581</v>
      </c>
      <c r="I294" s="37" t="n">
        <f aca="false">(ABS(SUM(C4:C144)-SUM(I4:I144))/SUM(C4:C144))*100</f>
        <v>96.4153903473671</v>
      </c>
      <c r="J294" s="37" t="n">
        <f aca="false">(ABS(SUM(D4:D144)-SUM(J4:J144))/SUM(D4:D144))*100</f>
        <v>2.62767486091208</v>
      </c>
      <c r="K294" s="38" t="n">
        <f aca="false">SUM(I153:J293)/(141*2)</f>
        <v>49.4514532159248</v>
      </c>
      <c r="L294" s="37" t="n">
        <f aca="false">(ABS(SUM(C4:C144)-SUM(K4:K144))/SUM(C4:C144))*100</f>
        <v>0.0364225077731981</v>
      </c>
      <c r="M294" s="37" t="n">
        <f aca="false">(ABS(SUM(D4:D144)-SUM(L4:L144))/SUM(D4:D144))*100</f>
        <v>0.000992647622980048</v>
      </c>
      <c r="N294" s="38" t="n">
        <f aca="false">SUM(L153:M293)/(141*2)</f>
        <v>0.72879909680641</v>
      </c>
    </row>
    <row r="297" customFormat="false" ht="15" hidden="false" customHeight="false" outlineLevel="0" collapsed="false">
      <c r="K297" s="65"/>
      <c r="L297" s="65"/>
    </row>
    <row r="298" customFormat="false" ht="15" hidden="false" customHeight="false" outlineLevel="0" collapsed="false">
      <c r="K298" s="65"/>
      <c r="L298" s="65"/>
    </row>
  </sheetData>
  <mergeCells count="17">
    <mergeCell ref="B1:B3"/>
    <mergeCell ref="C1:D2"/>
    <mergeCell ref="E1:H1"/>
    <mergeCell ref="I1:L1"/>
    <mergeCell ref="E2:F2"/>
    <mergeCell ref="G2:H2"/>
    <mergeCell ref="I2:J2"/>
    <mergeCell ref="K2:L2"/>
    <mergeCell ref="A3:A145"/>
    <mergeCell ref="B150:B152"/>
    <mergeCell ref="C150:H150"/>
    <mergeCell ref="I150:N150"/>
    <mergeCell ref="C151:E151"/>
    <mergeCell ref="F151:H151"/>
    <mergeCell ref="I151:K151"/>
    <mergeCell ref="L151:N151"/>
    <mergeCell ref="A152:A2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2026-03-13T19:51:21Z</dcterms:created>
  <dc:creator>openpyxl</dc:creator>
  <dc:description/>
  <dc:language>fr-FR</dc:language>
  <cp:lastModifiedBy/>
  <dcterms:modified xsi:type="dcterms:W3CDTF">2026-08-29T00:39:03Z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