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<sst xmlns="http://schemas.openxmlformats.org/spreadsheetml/2006/main" count="67" uniqueCount="18">
  <si>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</si>
  <si>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</si>
  <si>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</si>
  <si>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</si>
  <si>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</si>
  <si>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1_cuboid/cube_z/Col_clust</t>
  </si>
  <si>
    <t xml:space="preserve">#e65a49</t>
  </si>
  <si>
    <t xml:space="preserve">#ffffff</t>
  </si>
  <si>
    <t xml:space="preserve">Total</t>
  </si>
  <si>
    <t xml:space="preserve">Error</t>
  </si>
  <si>
    <t xml:space="preserve">MAPE</t>
  </si>
  <si>
    <t xml:space="preserve">1_cuboid/cube_z/Col_class</t>
  </si>
  <si>
    <t xml:space="preserve">Original</t>
  </si>
  <si>
    <t xml:space="preserve">Clustering</t>
  </si>
  <si>
    <t xml:space="preserve">Classification</t>
  </si>
  <si>
    <t xml:space="preserve">1_cuboid/cube_z</t>
  </si>
  <si>
    <t xml:space="preserve">Error Clustering</t>
  </si>
  <si>
    <t xml:space="preserve">Error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</si>
</sst>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E65A49"/>
        <bgColor rgb="FFFF8080"/>
      </patternFill>
    </fill>
    <fill>
      <patternFill patternType="solid">
        <fgColor rgb="FFFFFFFF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2"/>
  <sheetViews>
    <sheetView showFormulas="false" showGridLines="true" showRowColHeaders="true" showZeros="true" rightToLeft="false" tabSelected="false" showOutlineSymbols="true" defaultGridColor="true" view="normal" topLeftCell="A206" colorId="64" zoomScale="100" zoomScaleNormal="100" zoomScalePageLayoutView="100" workbookViewId="0">
      <selection pane="topLeft" activeCell="H3" activeCellId="0" sqref="H3"/>
    </sheetView>
  </sheetViews>
  <sheetFormatPr defaultColWidth="8.68359375" defaultRowHeight="15" zeroHeight="false" outlineLevelRow="0" outlineLevelCol="0"/>
  <cols>
    <col collapsed="false" customWidth="true" hidden="false" outlineLevel="0" max="6" min="6" style="1" width="14.34"/>
    <col collapsed="false" customWidth="true" hidden="false" outlineLevel="0" max="7" min="7" style="1" width="25.73"/>
    <col collapsed="false" customWidth="true" hidden="false" outlineLevel="0" max="8" min="8" style="1" width="13.07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15933</v>
      </c>
      <c r="D4" s="12" t="n">
        <v>144067</v>
      </c>
      <c r="E4" s="2" t="n">
        <v>15933</v>
      </c>
      <c r="F4" s="13" t="n">
        <v>144067</v>
      </c>
      <c r="G4" s="2" t="n">
        <v>15933</v>
      </c>
      <c r="H4" s="12" t="n">
        <v>144067</v>
      </c>
    </row>
    <row r="5" customFormat="false" ht="15" hidden="false" customHeight="false" outlineLevel="0" collapsed="false">
      <c r="A5" s="7"/>
      <c r="B5" s="2" t="n">
        <v>1</v>
      </c>
      <c r="C5" s="11" t="n">
        <v>15924</v>
      </c>
      <c r="D5" s="12" t="n">
        <v>144076</v>
      </c>
      <c r="E5" s="2" t="n">
        <v>518</v>
      </c>
      <c r="F5" s="13" t="n">
        <v>159482</v>
      </c>
      <c r="G5" s="2" t="n">
        <v>15925</v>
      </c>
      <c r="H5" s="12" t="n">
        <v>144075</v>
      </c>
    </row>
    <row r="6" customFormat="false" ht="15" hidden="false" customHeight="false" outlineLevel="0" collapsed="false">
      <c r="A6" s="7"/>
      <c r="B6" s="2" t="n">
        <v>2</v>
      </c>
      <c r="C6" s="11" t="n">
        <v>15925</v>
      </c>
      <c r="D6" s="12" t="n">
        <v>144075</v>
      </c>
      <c r="E6" s="2" t="n">
        <v>4</v>
      </c>
      <c r="F6" s="13" t="n">
        <v>159996</v>
      </c>
      <c r="G6" s="2" t="n">
        <v>15929</v>
      </c>
      <c r="H6" s="12" t="n">
        <v>144071</v>
      </c>
    </row>
    <row r="7" customFormat="false" ht="15" hidden="false" customHeight="false" outlineLevel="0" collapsed="false">
      <c r="A7" s="7"/>
      <c r="B7" s="2" t="n">
        <v>3</v>
      </c>
      <c r="C7" s="11" t="n">
        <v>15925</v>
      </c>
      <c r="D7" s="12" t="n">
        <v>144075</v>
      </c>
      <c r="E7" s="2" t="n">
        <v>0</v>
      </c>
      <c r="F7" s="13" t="n">
        <v>160000</v>
      </c>
      <c r="G7" s="2" t="n">
        <v>15930</v>
      </c>
      <c r="H7" s="12" t="n">
        <v>144070</v>
      </c>
    </row>
    <row r="8" customFormat="false" ht="15" hidden="false" customHeight="false" outlineLevel="0" collapsed="false">
      <c r="A8" s="7"/>
      <c r="B8" s="2" t="n">
        <v>4</v>
      </c>
      <c r="C8" s="11" t="n">
        <v>16098</v>
      </c>
      <c r="D8" s="12" t="n">
        <v>143902</v>
      </c>
      <c r="E8" s="2" t="n">
        <v>35</v>
      </c>
      <c r="F8" s="13" t="n">
        <v>159965</v>
      </c>
      <c r="G8" s="2" t="n">
        <v>16096</v>
      </c>
      <c r="H8" s="12" t="n">
        <v>143904</v>
      </c>
    </row>
    <row r="9" customFormat="false" ht="15" hidden="false" customHeight="false" outlineLevel="0" collapsed="false">
      <c r="A9" s="7"/>
      <c r="B9" s="2" t="n">
        <v>5</v>
      </c>
      <c r="C9" s="11" t="n">
        <v>15925</v>
      </c>
      <c r="D9" s="12" t="n">
        <v>144075</v>
      </c>
      <c r="E9" s="2" t="n">
        <v>4</v>
      </c>
      <c r="F9" s="13" t="n">
        <v>159996</v>
      </c>
      <c r="G9" s="2" t="n">
        <v>15928</v>
      </c>
      <c r="H9" s="12" t="n">
        <v>144072</v>
      </c>
    </row>
    <row r="10" customFormat="false" ht="15" hidden="false" customHeight="false" outlineLevel="0" collapsed="false">
      <c r="A10" s="7"/>
      <c r="B10" s="2" t="n">
        <v>6</v>
      </c>
      <c r="C10" s="11" t="n">
        <v>15925</v>
      </c>
      <c r="D10" s="12" t="n">
        <v>144075</v>
      </c>
      <c r="E10" s="2" t="n">
        <v>0</v>
      </c>
      <c r="F10" s="13" t="n">
        <v>160000</v>
      </c>
      <c r="G10" s="2" t="n">
        <v>15930</v>
      </c>
      <c r="H10" s="12" t="n">
        <v>144070</v>
      </c>
    </row>
    <row r="11" customFormat="false" ht="15" hidden="false" customHeight="false" outlineLevel="0" collapsed="false">
      <c r="A11" s="7"/>
      <c r="B11" s="2" t="n">
        <v>7</v>
      </c>
      <c r="C11" s="11" t="n">
        <v>15925</v>
      </c>
      <c r="D11" s="12" t="n">
        <v>144075</v>
      </c>
      <c r="E11" s="2" t="n">
        <v>4</v>
      </c>
      <c r="F11" s="13" t="n">
        <v>159996</v>
      </c>
      <c r="G11" s="2" t="n">
        <v>15929</v>
      </c>
      <c r="H11" s="12" t="n">
        <v>144071</v>
      </c>
    </row>
    <row r="12" customFormat="false" ht="15" hidden="false" customHeight="false" outlineLevel="0" collapsed="false">
      <c r="A12" s="7"/>
      <c r="B12" s="2" t="n">
        <v>8</v>
      </c>
      <c r="C12" s="11" t="n">
        <v>15925</v>
      </c>
      <c r="D12" s="12" t="n">
        <v>144075</v>
      </c>
      <c r="E12" s="2" t="n">
        <v>2</v>
      </c>
      <c r="F12" s="13" t="n">
        <v>159998</v>
      </c>
      <c r="G12" s="2" t="n">
        <v>15929</v>
      </c>
      <c r="H12" s="12" t="n">
        <v>144071</v>
      </c>
    </row>
    <row r="13" customFormat="false" ht="15" hidden="false" customHeight="false" outlineLevel="0" collapsed="false">
      <c r="A13" s="7"/>
      <c r="B13" s="2" t="n">
        <v>9</v>
      </c>
      <c r="C13" s="11" t="n">
        <v>15925</v>
      </c>
      <c r="D13" s="12" t="n">
        <v>144075</v>
      </c>
      <c r="E13" s="2" t="n">
        <v>0</v>
      </c>
      <c r="F13" s="13" t="n">
        <v>160000</v>
      </c>
      <c r="G13" s="2" t="n">
        <v>15929</v>
      </c>
      <c r="H13" s="12" t="n">
        <v>144071</v>
      </c>
    </row>
    <row r="14" customFormat="false" ht="15" hidden="false" customHeight="false" outlineLevel="0" collapsed="false">
      <c r="A14" s="7"/>
      <c r="B14" s="2" t="n">
        <v>10</v>
      </c>
      <c r="C14" s="11" t="n">
        <v>15924</v>
      </c>
      <c r="D14" s="12" t="n">
        <v>144076</v>
      </c>
      <c r="E14" s="2" t="n">
        <v>7</v>
      </c>
      <c r="F14" s="13" t="n">
        <v>159993</v>
      </c>
      <c r="G14" s="2" t="n">
        <v>15926</v>
      </c>
      <c r="H14" s="12" t="n">
        <v>144074</v>
      </c>
    </row>
    <row r="15" customFormat="false" ht="15" hidden="false" customHeight="false" outlineLevel="0" collapsed="false">
      <c r="A15" s="7"/>
      <c r="B15" s="2" t="n">
        <v>11</v>
      </c>
      <c r="C15" s="11" t="n">
        <v>15925</v>
      </c>
      <c r="D15" s="12" t="n">
        <v>144075</v>
      </c>
      <c r="E15" s="2" t="n">
        <v>8</v>
      </c>
      <c r="F15" s="13" t="n">
        <v>159992</v>
      </c>
      <c r="G15" s="2" t="n">
        <v>15929</v>
      </c>
      <c r="H15" s="12" t="n">
        <v>144071</v>
      </c>
    </row>
    <row r="16" customFormat="false" ht="15" hidden="false" customHeight="false" outlineLevel="0" collapsed="false">
      <c r="A16" s="7"/>
      <c r="B16" s="2" t="n">
        <v>12</v>
      </c>
      <c r="C16" s="11" t="n">
        <v>15924</v>
      </c>
      <c r="D16" s="12" t="n">
        <v>144076</v>
      </c>
      <c r="E16" s="2" t="n">
        <v>26</v>
      </c>
      <c r="F16" s="13" t="n">
        <v>159974</v>
      </c>
      <c r="G16" s="2" t="n">
        <v>15927</v>
      </c>
      <c r="H16" s="12" t="n">
        <v>144073</v>
      </c>
    </row>
    <row r="17" customFormat="false" ht="15" hidden="false" customHeight="false" outlineLevel="0" collapsed="false">
      <c r="A17" s="7"/>
      <c r="B17" s="2" t="n">
        <v>13</v>
      </c>
      <c r="C17" s="11" t="n">
        <v>15925</v>
      </c>
      <c r="D17" s="12" t="n">
        <v>144075</v>
      </c>
      <c r="E17" s="2" t="n">
        <v>0</v>
      </c>
      <c r="F17" s="13" t="n">
        <v>160000</v>
      </c>
      <c r="G17" s="2" t="n">
        <v>15927</v>
      </c>
      <c r="H17" s="12" t="n">
        <v>144073</v>
      </c>
    </row>
    <row r="18" customFormat="false" ht="15" hidden="false" customHeight="false" outlineLevel="0" collapsed="false">
      <c r="A18" s="7"/>
      <c r="B18" s="2" t="n">
        <v>14</v>
      </c>
      <c r="C18" s="11" t="n">
        <v>15925</v>
      </c>
      <c r="D18" s="12" t="n">
        <v>144075</v>
      </c>
      <c r="E18" s="2" t="n">
        <v>111</v>
      </c>
      <c r="F18" s="13" t="n">
        <v>159889</v>
      </c>
      <c r="G18" s="2" t="n">
        <v>15927</v>
      </c>
      <c r="H18" s="12" t="n">
        <v>144073</v>
      </c>
    </row>
    <row r="19" customFormat="false" ht="15" hidden="false" customHeight="false" outlineLevel="0" collapsed="false">
      <c r="A19" s="7"/>
      <c r="B19" s="2" t="n">
        <v>15</v>
      </c>
      <c r="C19" s="11" t="n">
        <v>15924</v>
      </c>
      <c r="D19" s="12" t="n">
        <v>144076</v>
      </c>
      <c r="E19" s="2" t="n">
        <v>530</v>
      </c>
      <c r="F19" s="13" t="n">
        <v>159470</v>
      </c>
      <c r="G19" s="2" t="n">
        <v>15927</v>
      </c>
      <c r="H19" s="12" t="n">
        <v>144073</v>
      </c>
    </row>
    <row r="20" customFormat="false" ht="15" hidden="false" customHeight="false" outlineLevel="0" collapsed="false">
      <c r="A20" s="7"/>
      <c r="B20" s="2" t="n">
        <v>16</v>
      </c>
      <c r="C20" s="11" t="n">
        <v>15925</v>
      </c>
      <c r="D20" s="12" t="n">
        <v>144075</v>
      </c>
      <c r="E20" s="2" t="n">
        <v>2</v>
      </c>
      <c r="F20" s="13" t="n">
        <v>159998</v>
      </c>
      <c r="G20" s="2" t="n">
        <v>15927</v>
      </c>
      <c r="H20" s="12" t="n">
        <v>144073</v>
      </c>
    </row>
    <row r="21" customFormat="false" ht="15" hidden="false" customHeight="false" outlineLevel="0" collapsed="false">
      <c r="A21" s="7"/>
      <c r="B21" s="2" t="n">
        <v>17</v>
      </c>
      <c r="C21" s="11" t="n">
        <v>15925</v>
      </c>
      <c r="D21" s="12" t="n">
        <v>144075</v>
      </c>
      <c r="E21" s="2" t="n">
        <v>6</v>
      </c>
      <c r="F21" s="13" t="n">
        <v>159994</v>
      </c>
      <c r="G21" s="2" t="n">
        <v>15927</v>
      </c>
      <c r="H21" s="12" t="n">
        <v>144073</v>
      </c>
    </row>
    <row r="22" customFormat="false" ht="15" hidden="false" customHeight="false" outlineLevel="0" collapsed="false">
      <c r="A22" s="7"/>
      <c r="B22" s="2" t="n">
        <v>18</v>
      </c>
      <c r="C22" s="11" t="n">
        <v>16098</v>
      </c>
      <c r="D22" s="12" t="n">
        <v>143902</v>
      </c>
      <c r="E22" s="2" t="n">
        <v>701</v>
      </c>
      <c r="F22" s="13" t="n">
        <v>159299</v>
      </c>
      <c r="G22" s="2" t="n">
        <v>16095</v>
      </c>
      <c r="H22" s="12" t="n">
        <v>143905</v>
      </c>
    </row>
    <row r="23" customFormat="false" ht="15" hidden="false" customHeight="false" outlineLevel="0" collapsed="false">
      <c r="A23" s="7"/>
      <c r="B23" s="2" t="n">
        <v>19</v>
      </c>
      <c r="C23" s="11" t="n">
        <v>15924</v>
      </c>
      <c r="D23" s="12" t="n">
        <v>144076</v>
      </c>
      <c r="E23" s="2" t="n">
        <v>24</v>
      </c>
      <c r="F23" s="13" t="n">
        <v>159976</v>
      </c>
      <c r="G23" s="2" t="n">
        <v>15927</v>
      </c>
      <c r="H23" s="12" t="n">
        <v>144073</v>
      </c>
    </row>
    <row r="24" customFormat="false" ht="15" hidden="false" customHeight="false" outlineLevel="0" collapsed="false">
      <c r="A24" s="7"/>
      <c r="B24" s="2" t="n">
        <v>20</v>
      </c>
      <c r="C24" s="11" t="n">
        <v>15925</v>
      </c>
      <c r="D24" s="12" t="n">
        <v>144075</v>
      </c>
      <c r="E24" s="2" t="n">
        <v>51</v>
      </c>
      <c r="F24" s="13" t="n">
        <v>159949</v>
      </c>
      <c r="G24" s="2" t="n">
        <v>15926</v>
      </c>
      <c r="H24" s="12" t="n">
        <v>144074</v>
      </c>
    </row>
    <row r="25" customFormat="false" ht="15" hidden="false" customHeight="false" outlineLevel="0" collapsed="false">
      <c r="A25" s="7"/>
      <c r="B25" s="2" t="n">
        <v>21</v>
      </c>
      <c r="C25" s="11" t="n">
        <v>15925</v>
      </c>
      <c r="D25" s="12" t="n">
        <v>144075</v>
      </c>
      <c r="E25" s="2" t="n">
        <v>5</v>
      </c>
      <c r="F25" s="13" t="n">
        <v>159995</v>
      </c>
      <c r="G25" s="2" t="n">
        <v>15926</v>
      </c>
      <c r="H25" s="12" t="n">
        <v>144074</v>
      </c>
    </row>
    <row r="26" customFormat="false" ht="15" hidden="false" customHeight="false" outlineLevel="0" collapsed="false">
      <c r="A26" s="7"/>
      <c r="B26" s="2" t="n">
        <v>22</v>
      </c>
      <c r="C26" s="11" t="n">
        <v>15934</v>
      </c>
      <c r="D26" s="12" t="n">
        <v>144066</v>
      </c>
      <c r="E26" s="2" t="n">
        <v>12</v>
      </c>
      <c r="F26" s="13" t="n">
        <v>159988</v>
      </c>
      <c r="G26" s="2" t="n">
        <v>15936</v>
      </c>
      <c r="H26" s="12" t="n">
        <v>144064</v>
      </c>
    </row>
    <row r="27" customFormat="false" ht="15" hidden="false" customHeight="false" outlineLevel="0" collapsed="false">
      <c r="A27" s="7"/>
      <c r="B27" s="2" t="n">
        <v>23</v>
      </c>
      <c r="C27" s="11" t="n">
        <v>15925</v>
      </c>
      <c r="D27" s="12" t="n">
        <v>144075</v>
      </c>
      <c r="E27" s="2" t="n">
        <v>1193</v>
      </c>
      <c r="F27" s="13" t="n">
        <v>158807</v>
      </c>
      <c r="G27" s="2" t="n">
        <v>15925</v>
      </c>
      <c r="H27" s="12" t="n">
        <v>144075</v>
      </c>
    </row>
    <row r="28" customFormat="false" ht="15" hidden="false" customHeight="false" outlineLevel="0" collapsed="false">
      <c r="A28" s="7"/>
      <c r="B28" s="2" t="n">
        <v>24</v>
      </c>
      <c r="C28" s="11" t="n">
        <v>15925</v>
      </c>
      <c r="D28" s="12" t="n">
        <v>144075</v>
      </c>
      <c r="E28" s="2" t="n">
        <v>47</v>
      </c>
      <c r="F28" s="13" t="n">
        <v>159953</v>
      </c>
      <c r="G28" s="2" t="n">
        <v>15925</v>
      </c>
      <c r="H28" s="12" t="n">
        <v>144075</v>
      </c>
    </row>
    <row r="29" customFormat="false" ht="15" hidden="false" customHeight="false" outlineLevel="0" collapsed="false">
      <c r="A29" s="7"/>
      <c r="B29" s="2" t="n">
        <v>25</v>
      </c>
      <c r="C29" s="11" t="n">
        <v>15925</v>
      </c>
      <c r="D29" s="12" t="n">
        <v>144075</v>
      </c>
      <c r="E29" s="2" t="n">
        <v>235</v>
      </c>
      <c r="F29" s="13" t="n">
        <v>159765</v>
      </c>
      <c r="G29" s="2" t="n">
        <v>15925</v>
      </c>
      <c r="H29" s="12" t="n">
        <v>144075</v>
      </c>
    </row>
    <row r="30" customFormat="false" ht="15" hidden="false" customHeight="false" outlineLevel="0" collapsed="false">
      <c r="A30" s="7"/>
      <c r="B30" s="2" t="n">
        <v>26</v>
      </c>
      <c r="C30" s="11" t="n">
        <v>15925</v>
      </c>
      <c r="D30" s="12" t="n">
        <v>144075</v>
      </c>
      <c r="E30" s="2" t="n">
        <v>59</v>
      </c>
      <c r="F30" s="13" t="n">
        <v>159941</v>
      </c>
      <c r="G30" s="2" t="n">
        <v>15925</v>
      </c>
      <c r="H30" s="12" t="n">
        <v>144075</v>
      </c>
    </row>
    <row r="31" customFormat="false" ht="15" hidden="false" customHeight="false" outlineLevel="0" collapsed="false">
      <c r="A31" s="7"/>
      <c r="B31" s="2" t="n">
        <v>27</v>
      </c>
      <c r="C31" s="11" t="n">
        <v>15925</v>
      </c>
      <c r="D31" s="12" t="n">
        <v>144075</v>
      </c>
      <c r="E31" s="2" t="n">
        <v>57</v>
      </c>
      <c r="F31" s="13" t="n">
        <v>159943</v>
      </c>
      <c r="G31" s="2" t="n">
        <v>15925</v>
      </c>
      <c r="H31" s="12" t="n">
        <v>144075</v>
      </c>
    </row>
    <row r="32" customFormat="false" ht="15" hidden="false" customHeight="false" outlineLevel="0" collapsed="false">
      <c r="A32" s="7"/>
      <c r="B32" s="2" t="n">
        <v>28</v>
      </c>
      <c r="C32" s="11" t="n">
        <v>15925</v>
      </c>
      <c r="D32" s="12" t="n">
        <v>144075</v>
      </c>
      <c r="E32" s="2" t="n">
        <v>944</v>
      </c>
      <c r="F32" s="13" t="n">
        <v>159056</v>
      </c>
      <c r="G32" s="2" t="n">
        <v>15925</v>
      </c>
      <c r="H32" s="12" t="n">
        <v>144075</v>
      </c>
    </row>
    <row r="33" customFormat="false" ht="15" hidden="false" customHeight="false" outlineLevel="0" collapsed="false">
      <c r="A33" s="7"/>
      <c r="B33" s="2" t="n">
        <v>29</v>
      </c>
      <c r="C33" s="11" t="n">
        <v>15924</v>
      </c>
      <c r="D33" s="12" t="n">
        <v>144076</v>
      </c>
      <c r="E33" s="2" t="n">
        <v>7</v>
      </c>
      <c r="F33" s="13" t="n">
        <v>159993</v>
      </c>
      <c r="G33" s="2" t="n">
        <v>15924</v>
      </c>
      <c r="H33" s="12" t="n">
        <v>144076</v>
      </c>
    </row>
    <row r="34" customFormat="false" ht="15" hidden="false" customHeight="false" outlineLevel="0" collapsed="false">
      <c r="A34" s="7"/>
      <c r="B34" s="2" t="n">
        <v>30</v>
      </c>
      <c r="C34" s="11" t="n">
        <v>15925</v>
      </c>
      <c r="D34" s="12" t="n">
        <v>144075</v>
      </c>
      <c r="E34" s="2" t="n">
        <v>0</v>
      </c>
      <c r="F34" s="13" t="n">
        <v>160000</v>
      </c>
      <c r="G34" s="2" t="n">
        <v>15925</v>
      </c>
      <c r="H34" s="12" t="n">
        <v>144075</v>
      </c>
    </row>
    <row r="35" customFormat="false" ht="15" hidden="false" customHeight="false" outlineLevel="0" collapsed="false">
      <c r="A35" s="7"/>
      <c r="B35" s="2" t="n">
        <v>31</v>
      </c>
      <c r="C35" s="11" t="n">
        <v>15925</v>
      </c>
      <c r="D35" s="12" t="n">
        <v>144075</v>
      </c>
      <c r="E35" s="2" t="n">
        <v>0</v>
      </c>
      <c r="F35" s="13" t="n">
        <v>160000</v>
      </c>
      <c r="G35" s="2" t="n">
        <v>15925</v>
      </c>
      <c r="H35" s="12" t="n">
        <v>144075</v>
      </c>
    </row>
    <row r="36" customFormat="false" ht="15" hidden="false" customHeight="false" outlineLevel="0" collapsed="false">
      <c r="A36" s="7"/>
      <c r="B36" s="2" t="n">
        <v>32</v>
      </c>
      <c r="C36" s="11" t="n">
        <v>15925</v>
      </c>
      <c r="D36" s="12" t="n">
        <v>144075</v>
      </c>
      <c r="E36" s="2" t="n">
        <v>0</v>
      </c>
      <c r="F36" s="13" t="n">
        <v>160000</v>
      </c>
      <c r="G36" s="2" t="n">
        <v>15925</v>
      </c>
      <c r="H36" s="12" t="n">
        <v>144075</v>
      </c>
    </row>
    <row r="37" customFormat="false" ht="15" hidden="false" customHeight="false" outlineLevel="0" collapsed="false">
      <c r="A37" s="7"/>
      <c r="B37" s="2" t="n">
        <v>33</v>
      </c>
      <c r="C37" s="11" t="n">
        <v>15925</v>
      </c>
      <c r="D37" s="12" t="n">
        <v>144075</v>
      </c>
      <c r="E37" s="2" t="n">
        <v>0</v>
      </c>
      <c r="F37" s="13" t="n">
        <v>160000</v>
      </c>
      <c r="G37" s="2" t="n">
        <v>15925</v>
      </c>
      <c r="H37" s="12" t="n">
        <v>144075</v>
      </c>
    </row>
    <row r="38" customFormat="false" ht="15" hidden="false" customHeight="false" outlineLevel="0" collapsed="false">
      <c r="A38" s="7"/>
      <c r="B38" s="2" t="n">
        <v>34</v>
      </c>
      <c r="C38" s="11" t="n">
        <v>15925</v>
      </c>
      <c r="D38" s="12" t="n">
        <v>144075</v>
      </c>
      <c r="E38" s="2" t="n">
        <v>0</v>
      </c>
      <c r="F38" s="13" t="n">
        <v>160000</v>
      </c>
      <c r="G38" s="2" t="n">
        <v>15925</v>
      </c>
      <c r="H38" s="12" t="n">
        <v>144075</v>
      </c>
    </row>
    <row r="39" customFormat="false" ht="15" hidden="false" customHeight="false" outlineLevel="0" collapsed="false">
      <c r="A39" s="7"/>
      <c r="B39" s="2" t="n">
        <v>35</v>
      </c>
      <c r="C39" s="11" t="n">
        <v>15925</v>
      </c>
      <c r="D39" s="12" t="n">
        <v>144075</v>
      </c>
      <c r="E39" s="2" t="n">
        <v>0</v>
      </c>
      <c r="F39" s="13" t="n">
        <v>160000</v>
      </c>
      <c r="G39" s="2" t="n">
        <v>15925</v>
      </c>
      <c r="H39" s="12" t="n">
        <v>144075</v>
      </c>
    </row>
    <row r="40" customFormat="false" ht="15" hidden="false" customHeight="false" outlineLevel="0" collapsed="false">
      <c r="A40" s="7"/>
      <c r="B40" s="2" t="n">
        <v>36</v>
      </c>
      <c r="C40" s="11" t="n">
        <v>15925</v>
      </c>
      <c r="D40" s="12" t="n">
        <v>144075</v>
      </c>
      <c r="E40" s="2" t="n">
        <v>0</v>
      </c>
      <c r="F40" s="13" t="n">
        <v>160000</v>
      </c>
      <c r="G40" s="2" t="n">
        <v>15925</v>
      </c>
      <c r="H40" s="12" t="n">
        <v>144075</v>
      </c>
    </row>
    <row r="41" customFormat="false" ht="15" hidden="false" customHeight="false" outlineLevel="0" collapsed="false">
      <c r="A41" s="7"/>
      <c r="B41" s="2" t="n">
        <v>37</v>
      </c>
      <c r="C41" s="11" t="n">
        <v>15935</v>
      </c>
      <c r="D41" s="12" t="n">
        <v>144065</v>
      </c>
      <c r="E41" s="2" t="n">
        <v>4</v>
      </c>
      <c r="F41" s="13" t="n">
        <v>159996</v>
      </c>
      <c r="G41" s="2" t="n">
        <v>15938</v>
      </c>
      <c r="H41" s="12" t="n">
        <v>144062</v>
      </c>
    </row>
    <row r="42" customFormat="false" ht="15" hidden="false" customHeight="false" outlineLevel="0" collapsed="false">
      <c r="A42" s="7"/>
      <c r="B42" s="2" t="n">
        <v>38</v>
      </c>
      <c r="C42" s="11" t="n">
        <v>15925</v>
      </c>
      <c r="D42" s="12" t="n">
        <v>144075</v>
      </c>
      <c r="E42" s="2" t="n">
        <v>0</v>
      </c>
      <c r="F42" s="13" t="n">
        <v>160000</v>
      </c>
      <c r="G42" s="2" t="n">
        <v>15925</v>
      </c>
      <c r="H42" s="12" t="n">
        <v>144075</v>
      </c>
    </row>
    <row r="43" customFormat="false" ht="15" hidden="false" customHeight="false" outlineLevel="0" collapsed="false">
      <c r="A43" s="7"/>
      <c r="B43" s="2" t="n">
        <v>39</v>
      </c>
      <c r="C43" s="11" t="n">
        <v>15925</v>
      </c>
      <c r="D43" s="12" t="n">
        <v>144075</v>
      </c>
      <c r="E43" s="2" t="n">
        <v>18</v>
      </c>
      <c r="F43" s="13" t="n">
        <v>159982</v>
      </c>
      <c r="G43" s="2" t="n">
        <v>15925</v>
      </c>
      <c r="H43" s="12" t="n">
        <v>144075</v>
      </c>
    </row>
    <row r="44" customFormat="false" ht="15" hidden="false" customHeight="false" outlineLevel="0" collapsed="false">
      <c r="A44" s="7"/>
      <c r="B44" s="2" t="n">
        <v>40</v>
      </c>
      <c r="C44" s="11" t="n">
        <v>15925</v>
      </c>
      <c r="D44" s="12" t="n">
        <v>144075</v>
      </c>
      <c r="E44" s="2" t="n">
        <v>10</v>
      </c>
      <c r="F44" s="13" t="n">
        <v>159990</v>
      </c>
      <c r="G44" s="2" t="n">
        <v>15925</v>
      </c>
      <c r="H44" s="12" t="n">
        <v>144075</v>
      </c>
    </row>
    <row r="45" customFormat="false" ht="15" hidden="false" customHeight="false" outlineLevel="0" collapsed="false">
      <c r="A45" s="7"/>
      <c r="B45" s="2" t="n">
        <v>41</v>
      </c>
      <c r="C45" s="11" t="n">
        <v>15924</v>
      </c>
      <c r="D45" s="12" t="n">
        <v>144076</v>
      </c>
      <c r="E45" s="2" t="n">
        <v>14</v>
      </c>
      <c r="F45" s="13" t="n">
        <v>159986</v>
      </c>
      <c r="G45" s="2" t="n">
        <v>15924</v>
      </c>
      <c r="H45" s="12" t="n">
        <v>144076</v>
      </c>
    </row>
    <row r="46" customFormat="false" ht="15" hidden="false" customHeight="false" outlineLevel="0" collapsed="false">
      <c r="A46" s="7"/>
      <c r="B46" s="2" t="n">
        <v>42</v>
      </c>
      <c r="C46" s="11" t="n">
        <v>15925</v>
      </c>
      <c r="D46" s="12" t="n">
        <v>144075</v>
      </c>
      <c r="E46" s="2" t="n">
        <v>243</v>
      </c>
      <c r="F46" s="13" t="n">
        <v>159757</v>
      </c>
      <c r="G46" s="2" t="n">
        <v>15925</v>
      </c>
      <c r="H46" s="12" t="n">
        <v>144075</v>
      </c>
    </row>
    <row r="47" customFormat="false" ht="15" hidden="false" customHeight="false" outlineLevel="0" collapsed="false">
      <c r="A47" s="7"/>
      <c r="B47" s="2" t="n">
        <v>43</v>
      </c>
      <c r="C47" s="11" t="n">
        <v>15925</v>
      </c>
      <c r="D47" s="12" t="n">
        <v>144075</v>
      </c>
      <c r="E47" s="2" t="n">
        <v>390</v>
      </c>
      <c r="F47" s="13" t="n">
        <v>159610</v>
      </c>
      <c r="G47" s="2" t="n">
        <v>15925</v>
      </c>
      <c r="H47" s="12" t="n">
        <v>144075</v>
      </c>
    </row>
    <row r="48" customFormat="false" ht="15" hidden="false" customHeight="false" outlineLevel="0" collapsed="false">
      <c r="A48" s="7"/>
      <c r="B48" s="2" t="n">
        <v>44</v>
      </c>
      <c r="C48" s="11" t="n">
        <v>15925</v>
      </c>
      <c r="D48" s="12" t="n">
        <v>144075</v>
      </c>
      <c r="E48" s="2" t="n">
        <v>1133</v>
      </c>
      <c r="F48" s="13" t="n">
        <v>158867</v>
      </c>
      <c r="G48" s="2" t="n">
        <v>15925</v>
      </c>
      <c r="H48" s="12" t="n">
        <v>144075</v>
      </c>
    </row>
    <row r="49" customFormat="false" ht="15" hidden="false" customHeight="false" outlineLevel="0" collapsed="false">
      <c r="A49" s="7"/>
      <c r="B49" s="2" t="n">
        <v>45</v>
      </c>
      <c r="C49" s="11" t="n">
        <v>15924</v>
      </c>
      <c r="D49" s="12" t="n">
        <v>144076</v>
      </c>
      <c r="E49" s="2" t="n">
        <v>35</v>
      </c>
      <c r="F49" s="13" t="n">
        <v>159965</v>
      </c>
      <c r="G49" s="2" t="n">
        <v>15925</v>
      </c>
      <c r="H49" s="12" t="n">
        <v>144075</v>
      </c>
    </row>
    <row r="50" customFormat="false" ht="15" hidden="false" customHeight="false" outlineLevel="0" collapsed="false">
      <c r="A50" s="7"/>
      <c r="B50" s="2" t="n">
        <v>46</v>
      </c>
      <c r="C50" s="11" t="n">
        <v>15925</v>
      </c>
      <c r="D50" s="12" t="n">
        <v>144075</v>
      </c>
      <c r="E50" s="2" t="n">
        <v>9</v>
      </c>
      <c r="F50" s="13" t="n">
        <v>159991</v>
      </c>
      <c r="G50" s="2" t="n">
        <v>15925</v>
      </c>
      <c r="H50" s="12" t="n">
        <v>144075</v>
      </c>
    </row>
    <row r="51" customFormat="false" ht="15" hidden="false" customHeight="false" outlineLevel="0" collapsed="false">
      <c r="A51" s="7"/>
      <c r="B51" s="2" t="n">
        <v>47</v>
      </c>
      <c r="C51" s="11" t="n">
        <v>15925</v>
      </c>
      <c r="D51" s="12" t="n">
        <v>144075</v>
      </c>
      <c r="E51" s="2" t="n">
        <v>11</v>
      </c>
      <c r="F51" s="13" t="n">
        <v>159989</v>
      </c>
      <c r="G51" s="2" t="n">
        <v>15925</v>
      </c>
      <c r="H51" s="12" t="n">
        <v>144075</v>
      </c>
    </row>
    <row r="52" customFormat="false" ht="15" hidden="false" customHeight="false" outlineLevel="0" collapsed="false">
      <c r="A52" s="7"/>
      <c r="B52" s="2" t="n">
        <v>48</v>
      </c>
      <c r="C52" s="11" t="n">
        <v>15925</v>
      </c>
      <c r="D52" s="12" t="n">
        <v>144075</v>
      </c>
      <c r="E52" s="2" t="n">
        <v>21</v>
      </c>
      <c r="F52" s="13" t="n">
        <v>159979</v>
      </c>
      <c r="G52" s="2" t="n">
        <v>15925</v>
      </c>
      <c r="H52" s="12" t="n">
        <v>144075</v>
      </c>
    </row>
    <row r="53" customFormat="false" ht="15" hidden="false" customHeight="false" outlineLevel="0" collapsed="false">
      <c r="A53" s="7"/>
      <c r="B53" s="2" t="n">
        <v>49</v>
      </c>
      <c r="C53" s="11" t="n">
        <v>15925</v>
      </c>
      <c r="D53" s="12" t="n">
        <v>144075</v>
      </c>
      <c r="E53" s="2" t="n">
        <v>12</v>
      </c>
      <c r="F53" s="13" t="n">
        <v>159988</v>
      </c>
      <c r="G53" s="2" t="n">
        <v>15925</v>
      </c>
      <c r="H53" s="12" t="n">
        <v>144075</v>
      </c>
    </row>
    <row r="54" customFormat="false" ht="15" hidden="false" customHeight="false" outlineLevel="0" collapsed="false">
      <c r="A54" s="7"/>
      <c r="B54" s="2" t="n">
        <v>50</v>
      </c>
      <c r="C54" s="11" t="n">
        <v>15925</v>
      </c>
      <c r="D54" s="12" t="n">
        <v>144075</v>
      </c>
      <c r="E54" s="2" t="n">
        <v>71</v>
      </c>
      <c r="F54" s="13" t="n">
        <v>159929</v>
      </c>
      <c r="G54" s="2" t="n">
        <v>15925</v>
      </c>
      <c r="H54" s="12" t="n">
        <v>144075</v>
      </c>
    </row>
    <row r="55" customFormat="false" ht="15" hidden="false" customHeight="false" outlineLevel="0" collapsed="false">
      <c r="A55" s="7"/>
      <c r="B55" s="2" t="n">
        <v>51</v>
      </c>
      <c r="C55" s="11" t="n">
        <v>15924</v>
      </c>
      <c r="D55" s="12" t="n">
        <v>144076</v>
      </c>
      <c r="E55" s="2" t="n">
        <v>17</v>
      </c>
      <c r="F55" s="13" t="n">
        <v>159983</v>
      </c>
      <c r="G55" s="2" t="n">
        <v>15926</v>
      </c>
      <c r="H55" s="12" t="n">
        <v>144074</v>
      </c>
    </row>
    <row r="56" customFormat="false" ht="15" hidden="false" customHeight="false" outlineLevel="0" collapsed="false">
      <c r="A56" s="7"/>
      <c r="B56" s="2" t="n">
        <v>52</v>
      </c>
      <c r="C56" s="11" t="n">
        <v>15934</v>
      </c>
      <c r="D56" s="12" t="n">
        <v>144066</v>
      </c>
      <c r="E56" s="2" t="n">
        <v>0</v>
      </c>
      <c r="F56" s="13" t="n">
        <v>160000</v>
      </c>
      <c r="G56" s="2" t="n">
        <v>15935</v>
      </c>
      <c r="H56" s="12" t="n">
        <v>144065</v>
      </c>
    </row>
    <row r="57" customFormat="false" ht="15" hidden="false" customHeight="false" outlineLevel="0" collapsed="false">
      <c r="A57" s="7"/>
      <c r="B57" s="2" t="n">
        <v>53</v>
      </c>
      <c r="C57" s="11" t="n">
        <v>15941</v>
      </c>
      <c r="D57" s="12" t="n">
        <v>144059</v>
      </c>
      <c r="E57" s="2" t="n">
        <v>17</v>
      </c>
      <c r="F57" s="13" t="n">
        <v>159983</v>
      </c>
      <c r="G57" s="2" t="n">
        <v>15943</v>
      </c>
      <c r="H57" s="12" t="n">
        <v>144057</v>
      </c>
    </row>
    <row r="58" customFormat="false" ht="15" hidden="false" customHeight="false" outlineLevel="0" collapsed="false">
      <c r="A58" s="7"/>
      <c r="B58" s="2" t="n">
        <v>54</v>
      </c>
      <c r="C58" s="11" t="n">
        <v>15925</v>
      </c>
      <c r="D58" s="12" t="n">
        <v>144075</v>
      </c>
      <c r="E58" s="2" t="n">
        <v>7</v>
      </c>
      <c r="F58" s="13" t="n">
        <v>159993</v>
      </c>
      <c r="G58" s="2" t="n">
        <v>15929</v>
      </c>
      <c r="H58" s="12" t="n">
        <v>144071</v>
      </c>
    </row>
    <row r="59" customFormat="false" ht="15" hidden="false" customHeight="false" outlineLevel="0" collapsed="false">
      <c r="A59" s="7"/>
      <c r="B59" s="2" t="n">
        <v>55</v>
      </c>
      <c r="C59" s="11" t="n">
        <v>16014</v>
      </c>
      <c r="D59" s="12" t="n">
        <v>143986</v>
      </c>
      <c r="E59" s="2" t="n">
        <v>219</v>
      </c>
      <c r="F59" s="13" t="n">
        <v>159781</v>
      </c>
      <c r="G59" s="2" t="n">
        <v>16010</v>
      </c>
      <c r="H59" s="12" t="n">
        <v>143990</v>
      </c>
    </row>
    <row r="60" customFormat="false" ht="15" hidden="false" customHeight="false" outlineLevel="0" collapsed="false">
      <c r="A60" s="7"/>
      <c r="B60" s="2" t="n">
        <v>56</v>
      </c>
      <c r="C60" s="11" t="n">
        <v>15925</v>
      </c>
      <c r="D60" s="12" t="n">
        <v>144075</v>
      </c>
      <c r="E60" s="2" t="n">
        <v>73</v>
      </c>
      <c r="F60" s="13" t="n">
        <v>159927</v>
      </c>
      <c r="G60" s="2" t="n">
        <v>15931</v>
      </c>
      <c r="H60" s="12" t="n">
        <v>144069</v>
      </c>
    </row>
    <row r="61" customFormat="false" ht="15" hidden="false" customHeight="false" outlineLevel="0" collapsed="false">
      <c r="A61" s="7"/>
      <c r="B61" s="2" t="n">
        <v>57</v>
      </c>
      <c r="C61" s="11" t="n">
        <v>15925</v>
      </c>
      <c r="D61" s="12" t="n">
        <v>144075</v>
      </c>
      <c r="E61" s="2" t="n">
        <v>5</v>
      </c>
      <c r="F61" s="13" t="n">
        <v>159995</v>
      </c>
      <c r="G61" s="2" t="n">
        <v>15931</v>
      </c>
      <c r="H61" s="12" t="n">
        <v>144069</v>
      </c>
    </row>
    <row r="62" customFormat="false" ht="15" hidden="false" customHeight="false" outlineLevel="0" collapsed="false">
      <c r="A62" s="7"/>
      <c r="B62" s="2" t="n">
        <v>58</v>
      </c>
      <c r="C62" s="11" t="n">
        <v>15941</v>
      </c>
      <c r="D62" s="12" t="n">
        <v>144059</v>
      </c>
      <c r="E62" s="2" t="n">
        <v>0</v>
      </c>
      <c r="F62" s="13" t="n">
        <v>160000</v>
      </c>
      <c r="G62" s="2" t="n">
        <v>15941</v>
      </c>
      <c r="H62" s="12" t="n">
        <v>144059</v>
      </c>
    </row>
    <row r="63" customFormat="false" ht="15" hidden="false" customHeight="false" outlineLevel="0" collapsed="false">
      <c r="A63" s="7"/>
      <c r="B63" s="2" t="n">
        <v>59</v>
      </c>
      <c r="C63" s="11" t="n">
        <v>16098</v>
      </c>
      <c r="D63" s="12" t="n">
        <v>143902</v>
      </c>
      <c r="E63" s="2" t="n">
        <v>5</v>
      </c>
      <c r="F63" s="13" t="n">
        <v>159995</v>
      </c>
      <c r="G63" s="2" t="n">
        <v>16096</v>
      </c>
      <c r="H63" s="12" t="n">
        <v>143904</v>
      </c>
    </row>
    <row r="64" customFormat="false" ht="15" hidden="false" customHeight="false" outlineLevel="0" collapsed="false">
      <c r="A64" s="7"/>
      <c r="B64" s="2" t="n">
        <v>60</v>
      </c>
      <c r="C64" s="11" t="n">
        <v>15925</v>
      </c>
      <c r="D64" s="12" t="n">
        <v>144075</v>
      </c>
      <c r="E64" s="2" t="n">
        <v>42</v>
      </c>
      <c r="F64" s="13" t="n">
        <v>159958</v>
      </c>
      <c r="G64" s="2" t="n">
        <v>15929</v>
      </c>
      <c r="H64" s="12" t="n">
        <v>144071</v>
      </c>
    </row>
    <row r="65" customFormat="false" ht="15" hidden="false" customHeight="false" outlineLevel="0" collapsed="false">
      <c r="A65" s="7"/>
      <c r="B65" s="2" t="n">
        <v>61</v>
      </c>
      <c r="C65" s="11" t="n">
        <v>15933</v>
      </c>
      <c r="D65" s="12" t="n">
        <v>144067</v>
      </c>
      <c r="E65" s="2" t="n">
        <v>3</v>
      </c>
      <c r="F65" s="13" t="n">
        <v>159997</v>
      </c>
      <c r="G65" s="2" t="n">
        <v>15932</v>
      </c>
      <c r="H65" s="12" t="n">
        <v>144068</v>
      </c>
    </row>
    <row r="66" customFormat="false" ht="15" hidden="false" customHeight="false" outlineLevel="0" collapsed="false">
      <c r="A66" s="7"/>
      <c r="B66" s="2" t="n">
        <v>62</v>
      </c>
      <c r="C66" s="11" t="n">
        <v>15925</v>
      </c>
      <c r="D66" s="12" t="n">
        <v>144075</v>
      </c>
      <c r="E66" s="2" t="n">
        <v>12</v>
      </c>
      <c r="F66" s="13" t="n">
        <v>159988</v>
      </c>
      <c r="G66" s="2" t="n">
        <v>15928</v>
      </c>
      <c r="H66" s="12" t="n">
        <v>144072</v>
      </c>
    </row>
    <row r="67" customFormat="false" ht="15" hidden="false" customHeight="false" outlineLevel="0" collapsed="false">
      <c r="A67" s="7"/>
      <c r="B67" s="2" t="n">
        <v>63</v>
      </c>
      <c r="C67" s="11" t="n">
        <v>16014</v>
      </c>
      <c r="D67" s="12" t="n">
        <v>143986</v>
      </c>
      <c r="E67" s="2" t="n">
        <v>4</v>
      </c>
      <c r="F67" s="13" t="n">
        <v>159996</v>
      </c>
      <c r="G67" s="2" t="n">
        <v>16012</v>
      </c>
      <c r="H67" s="12" t="n">
        <v>143988</v>
      </c>
    </row>
    <row r="68" customFormat="false" ht="15" hidden="false" customHeight="false" outlineLevel="0" collapsed="false">
      <c r="A68" s="7"/>
      <c r="B68" s="2" t="n">
        <v>64</v>
      </c>
      <c r="C68" s="11" t="n">
        <v>15925</v>
      </c>
      <c r="D68" s="12" t="n">
        <v>144075</v>
      </c>
      <c r="E68" s="2" t="n">
        <v>7</v>
      </c>
      <c r="F68" s="13" t="n">
        <v>159993</v>
      </c>
      <c r="G68" s="2" t="n">
        <v>15929</v>
      </c>
      <c r="H68" s="12" t="n">
        <v>144071</v>
      </c>
    </row>
    <row r="69" customFormat="false" ht="15" hidden="false" customHeight="false" outlineLevel="0" collapsed="false">
      <c r="A69" s="7"/>
      <c r="B69" s="2" t="n">
        <v>65</v>
      </c>
      <c r="C69" s="11" t="n">
        <v>15925</v>
      </c>
      <c r="D69" s="12" t="n">
        <v>144075</v>
      </c>
      <c r="E69" s="2" t="n">
        <v>929</v>
      </c>
      <c r="F69" s="13" t="n">
        <v>159071</v>
      </c>
      <c r="G69" s="2" t="n">
        <v>15929</v>
      </c>
      <c r="H69" s="12" t="n">
        <v>144071</v>
      </c>
    </row>
    <row r="70" customFormat="false" ht="15" hidden="false" customHeight="false" outlineLevel="0" collapsed="false">
      <c r="A70" s="7"/>
      <c r="B70" s="2" t="n">
        <v>66</v>
      </c>
      <c r="C70" s="11" t="n">
        <v>15940</v>
      </c>
      <c r="D70" s="12" t="n">
        <v>144060</v>
      </c>
      <c r="E70" s="2" t="n">
        <v>4</v>
      </c>
      <c r="F70" s="13" t="n">
        <v>159996</v>
      </c>
      <c r="G70" s="2" t="n">
        <v>15938</v>
      </c>
      <c r="H70" s="12" t="n">
        <v>144062</v>
      </c>
    </row>
    <row r="71" customFormat="false" ht="15" hidden="false" customHeight="false" outlineLevel="0" collapsed="false">
      <c r="A71" s="7"/>
      <c r="B71" s="2" t="n">
        <v>67</v>
      </c>
      <c r="C71" s="11" t="n">
        <v>15925</v>
      </c>
      <c r="D71" s="12" t="n">
        <v>144075</v>
      </c>
      <c r="E71" s="2" t="n">
        <v>7</v>
      </c>
      <c r="F71" s="13" t="n">
        <v>159993</v>
      </c>
      <c r="G71" s="2" t="n">
        <v>15929</v>
      </c>
      <c r="H71" s="12" t="n">
        <v>144071</v>
      </c>
    </row>
    <row r="72" customFormat="false" ht="15" hidden="false" customHeight="false" outlineLevel="0" collapsed="false">
      <c r="A72" s="7"/>
      <c r="B72" s="2" t="n">
        <v>68</v>
      </c>
      <c r="C72" s="11" t="n">
        <v>15925</v>
      </c>
      <c r="D72" s="12" t="n">
        <v>144075</v>
      </c>
      <c r="E72" s="2" t="n">
        <v>1333</v>
      </c>
      <c r="F72" s="13" t="n">
        <v>158667</v>
      </c>
      <c r="G72" s="2" t="n">
        <v>15929</v>
      </c>
      <c r="H72" s="12" t="n">
        <v>144071</v>
      </c>
    </row>
    <row r="73" customFormat="false" ht="15" hidden="false" customHeight="false" outlineLevel="0" collapsed="false">
      <c r="A73" s="7"/>
      <c r="B73" s="2" t="n">
        <v>69</v>
      </c>
      <c r="C73" s="11" t="n">
        <v>15925</v>
      </c>
      <c r="D73" s="12" t="n">
        <v>144075</v>
      </c>
      <c r="E73" s="2" t="n">
        <v>399</v>
      </c>
      <c r="F73" s="13" t="n">
        <v>159601</v>
      </c>
      <c r="G73" s="2" t="n">
        <v>15929</v>
      </c>
      <c r="H73" s="12" t="n">
        <v>144071</v>
      </c>
    </row>
    <row r="74" customFormat="false" ht="15" hidden="false" customHeight="false" outlineLevel="0" collapsed="false">
      <c r="A74" s="7"/>
      <c r="B74" s="2" t="n">
        <v>70</v>
      </c>
      <c r="C74" s="11" t="n">
        <v>15925</v>
      </c>
      <c r="D74" s="12" t="n">
        <v>144075</v>
      </c>
      <c r="E74" s="2" t="n">
        <v>317</v>
      </c>
      <c r="F74" s="13" t="n">
        <v>159683</v>
      </c>
      <c r="G74" s="2" t="n">
        <v>15929</v>
      </c>
      <c r="H74" s="12" t="n">
        <v>144071</v>
      </c>
    </row>
    <row r="75" customFormat="false" ht="15" hidden="false" customHeight="false" outlineLevel="0" collapsed="false">
      <c r="A75" s="7"/>
      <c r="B75" s="2" t="n">
        <v>71</v>
      </c>
      <c r="C75" s="11" t="n">
        <v>15925</v>
      </c>
      <c r="D75" s="12" t="n">
        <v>144075</v>
      </c>
      <c r="E75" s="2" t="n">
        <v>132</v>
      </c>
      <c r="F75" s="13" t="n">
        <v>159868</v>
      </c>
      <c r="G75" s="2" t="n">
        <v>15929</v>
      </c>
      <c r="H75" s="12" t="n">
        <v>144071</v>
      </c>
    </row>
    <row r="76" customFormat="false" ht="15" hidden="false" customHeight="false" outlineLevel="0" collapsed="false">
      <c r="A76" s="7"/>
      <c r="B76" s="2" t="n">
        <v>72</v>
      </c>
      <c r="C76" s="11" t="n">
        <v>15925</v>
      </c>
      <c r="D76" s="12" t="n">
        <v>144075</v>
      </c>
      <c r="E76" s="2" t="n">
        <v>6</v>
      </c>
      <c r="F76" s="13" t="n">
        <v>159994</v>
      </c>
      <c r="G76" s="2" t="n">
        <v>15929</v>
      </c>
      <c r="H76" s="12" t="n">
        <v>144071</v>
      </c>
    </row>
    <row r="77" customFormat="false" ht="15" hidden="false" customHeight="false" outlineLevel="0" collapsed="false">
      <c r="A77" s="7"/>
      <c r="B77" s="2" t="n">
        <v>73</v>
      </c>
      <c r="C77" s="11" t="n">
        <v>15925</v>
      </c>
      <c r="D77" s="12" t="n">
        <v>144075</v>
      </c>
      <c r="E77" s="2" t="n">
        <v>25</v>
      </c>
      <c r="F77" s="13" t="n">
        <v>159975</v>
      </c>
      <c r="G77" s="2" t="n">
        <v>15929</v>
      </c>
      <c r="H77" s="12" t="n">
        <v>144071</v>
      </c>
    </row>
    <row r="78" customFormat="false" ht="15" hidden="false" customHeight="false" outlineLevel="0" collapsed="false">
      <c r="A78" s="7"/>
      <c r="B78" s="2" t="n">
        <v>74</v>
      </c>
      <c r="C78" s="11" t="n">
        <v>15925</v>
      </c>
      <c r="D78" s="12" t="n">
        <v>144075</v>
      </c>
      <c r="E78" s="2" t="n">
        <v>64</v>
      </c>
      <c r="F78" s="13" t="n">
        <v>159936</v>
      </c>
      <c r="G78" s="2" t="n">
        <v>15929</v>
      </c>
      <c r="H78" s="12" t="n">
        <v>144071</v>
      </c>
    </row>
    <row r="79" customFormat="false" ht="15" hidden="false" customHeight="false" outlineLevel="0" collapsed="false">
      <c r="A79" s="7"/>
      <c r="B79" s="2" t="n">
        <v>75</v>
      </c>
      <c r="C79" s="11" t="n">
        <v>15925</v>
      </c>
      <c r="D79" s="12" t="n">
        <v>144075</v>
      </c>
      <c r="E79" s="2" t="n">
        <v>16</v>
      </c>
      <c r="F79" s="13" t="n">
        <v>159984</v>
      </c>
      <c r="G79" s="2" t="n">
        <v>15929</v>
      </c>
      <c r="H79" s="12" t="n">
        <v>144071</v>
      </c>
    </row>
    <row r="80" customFormat="false" ht="15" hidden="false" customHeight="false" outlineLevel="0" collapsed="false">
      <c r="A80" s="7"/>
      <c r="B80" s="2" t="n">
        <v>76</v>
      </c>
      <c r="C80" s="11" t="n">
        <v>15925</v>
      </c>
      <c r="D80" s="12" t="n">
        <v>144075</v>
      </c>
      <c r="E80" s="2" t="n">
        <v>7</v>
      </c>
      <c r="F80" s="13" t="n">
        <v>159993</v>
      </c>
      <c r="G80" s="2" t="n">
        <v>15929</v>
      </c>
      <c r="H80" s="12" t="n">
        <v>144071</v>
      </c>
    </row>
    <row r="81" customFormat="false" ht="15" hidden="false" customHeight="false" outlineLevel="0" collapsed="false">
      <c r="A81" s="7"/>
      <c r="B81" s="2" t="n">
        <v>77</v>
      </c>
      <c r="C81" s="11" t="n">
        <v>15924</v>
      </c>
      <c r="D81" s="12" t="n">
        <v>144076</v>
      </c>
      <c r="E81" s="2" t="n">
        <v>25</v>
      </c>
      <c r="F81" s="13" t="n">
        <v>159975</v>
      </c>
      <c r="G81" s="2" t="n">
        <v>15929</v>
      </c>
      <c r="H81" s="12" t="n">
        <v>144071</v>
      </c>
    </row>
    <row r="82" customFormat="false" ht="15" hidden="false" customHeight="false" outlineLevel="0" collapsed="false">
      <c r="A82" s="7"/>
      <c r="B82" s="2" t="n">
        <v>78</v>
      </c>
      <c r="C82" s="11" t="n">
        <v>15925</v>
      </c>
      <c r="D82" s="12" t="n">
        <v>144075</v>
      </c>
      <c r="E82" s="2" t="n">
        <v>11</v>
      </c>
      <c r="F82" s="13" t="n">
        <v>159989</v>
      </c>
      <c r="G82" s="2" t="n">
        <v>15929</v>
      </c>
      <c r="H82" s="12" t="n">
        <v>144071</v>
      </c>
    </row>
    <row r="83" customFormat="false" ht="15" hidden="false" customHeight="false" outlineLevel="0" collapsed="false">
      <c r="A83" s="7"/>
      <c r="B83" s="2" t="n">
        <v>79</v>
      </c>
      <c r="C83" s="11" t="n">
        <v>15925</v>
      </c>
      <c r="D83" s="12" t="n">
        <v>144075</v>
      </c>
      <c r="E83" s="2" t="n">
        <v>18</v>
      </c>
      <c r="F83" s="13" t="n">
        <v>159982</v>
      </c>
      <c r="G83" s="2" t="n">
        <v>15929</v>
      </c>
      <c r="H83" s="12" t="n">
        <v>144071</v>
      </c>
    </row>
    <row r="84" customFormat="false" ht="15" hidden="false" customHeight="false" outlineLevel="0" collapsed="false">
      <c r="A84" s="7"/>
      <c r="B84" s="2" t="n">
        <v>80</v>
      </c>
      <c r="C84" s="11" t="n">
        <v>15924</v>
      </c>
      <c r="D84" s="12" t="n">
        <v>144076</v>
      </c>
      <c r="E84" s="2" t="n">
        <v>218</v>
      </c>
      <c r="F84" s="13" t="n">
        <v>159782</v>
      </c>
      <c r="G84" s="2" t="n">
        <v>15928</v>
      </c>
      <c r="H84" s="12" t="n">
        <v>144072</v>
      </c>
    </row>
    <row r="85" customFormat="false" ht="15" hidden="false" customHeight="false" outlineLevel="0" collapsed="false">
      <c r="A85" s="7"/>
      <c r="B85" s="2" t="n">
        <v>81</v>
      </c>
      <c r="C85" s="11" t="n">
        <v>15925</v>
      </c>
      <c r="D85" s="12" t="n">
        <v>144075</v>
      </c>
      <c r="E85" s="2" t="n">
        <v>22</v>
      </c>
      <c r="F85" s="13" t="n">
        <v>159978</v>
      </c>
      <c r="G85" s="2" t="n">
        <v>15929</v>
      </c>
      <c r="H85" s="12" t="n">
        <v>144071</v>
      </c>
    </row>
    <row r="86" customFormat="false" ht="15" hidden="false" customHeight="false" outlineLevel="0" collapsed="false">
      <c r="A86" s="7"/>
      <c r="B86" s="2" t="n">
        <v>82</v>
      </c>
      <c r="C86" s="11" t="n">
        <v>15924</v>
      </c>
      <c r="D86" s="12" t="n">
        <v>144076</v>
      </c>
      <c r="E86" s="2" t="n">
        <v>15</v>
      </c>
      <c r="F86" s="13" t="n">
        <v>159985</v>
      </c>
      <c r="G86" s="2" t="n">
        <v>15929</v>
      </c>
      <c r="H86" s="12" t="n">
        <v>144071</v>
      </c>
    </row>
    <row r="87" customFormat="false" ht="15" hidden="false" customHeight="false" outlineLevel="0" collapsed="false">
      <c r="A87" s="7"/>
      <c r="B87" s="2" t="n">
        <v>83</v>
      </c>
      <c r="C87" s="11" t="n">
        <v>15925</v>
      </c>
      <c r="D87" s="12" t="n">
        <v>144075</v>
      </c>
      <c r="E87" s="2" t="n">
        <v>4</v>
      </c>
      <c r="F87" s="13" t="n">
        <v>159996</v>
      </c>
      <c r="G87" s="2" t="n">
        <v>15928</v>
      </c>
      <c r="H87" s="12" t="n">
        <v>144072</v>
      </c>
    </row>
    <row r="88" customFormat="false" ht="15" hidden="false" customHeight="false" outlineLevel="0" collapsed="false">
      <c r="A88" s="7"/>
      <c r="B88" s="2" t="n">
        <v>84</v>
      </c>
      <c r="C88" s="11" t="n">
        <v>15925</v>
      </c>
      <c r="D88" s="12" t="n">
        <v>144075</v>
      </c>
      <c r="E88" s="2" t="n">
        <v>13</v>
      </c>
      <c r="F88" s="13" t="n">
        <v>159987</v>
      </c>
      <c r="G88" s="2" t="n">
        <v>15928</v>
      </c>
      <c r="H88" s="12" t="n">
        <v>144072</v>
      </c>
    </row>
    <row r="89" customFormat="false" ht="15" hidden="false" customHeight="false" outlineLevel="0" collapsed="false">
      <c r="A89" s="7"/>
      <c r="B89" s="2" t="n">
        <v>85</v>
      </c>
      <c r="C89" s="11" t="n">
        <v>15925</v>
      </c>
      <c r="D89" s="12" t="n">
        <v>144075</v>
      </c>
      <c r="E89" s="2" t="n">
        <v>356</v>
      </c>
      <c r="F89" s="13" t="n">
        <v>159644</v>
      </c>
      <c r="G89" s="2" t="n">
        <v>15928</v>
      </c>
      <c r="H89" s="12" t="n">
        <v>144072</v>
      </c>
    </row>
    <row r="90" customFormat="false" ht="15" hidden="false" customHeight="false" outlineLevel="0" collapsed="false">
      <c r="A90" s="7"/>
      <c r="B90" s="2" t="n">
        <v>86</v>
      </c>
      <c r="C90" s="11" t="n">
        <v>15933</v>
      </c>
      <c r="D90" s="12" t="n">
        <v>144067</v>
      </c>
      <c r="E90" s="2" t="n">
        <v>8</v>
      </c>
      <c r="F90" s="13" t="n">
        <v>159992</v>
      </c>
      <c r="G90" s="2" t="n">
        <v>15930</v>
      </c>
      <c r="H90" s="12" t="n">
        <v>144070</v>
      </c>
    </row>
    <row r="91" customFormat="false" ht="15" hidden="false" customHeight="false" outlineLevel="0" collapsed="false">
      <c r="A91" s="7"/>
      <c r="B91" s="2" t="n">
        <v>87</v>
      </c>
      <c r="C91" s="11" t="n">
        <v>15939</v>
      </c>
      <c r="D91" s="12" t="n">
        <v>144061</v>
      </c>
      <c r="E91" s="2" t="n">
        <v>6</v>
      </c>
      <c r="F91" s="13" t="n">
        <v>159994</v>
      </c>
      <c r="G91" s="2" t="n">
        <v>15938</v>
      </c>
      <c r="H91" s="12" t="n">
        <v>144062</v>
      </c>
    </row>
    <row r="92" customFormat="false" ht="15" hidden="false" customHeight="false" outlineLevel="0" collapsed="false">
      <c r="A92" s="7"/>
      <c r="B92" s="2" t="n">
        <v>88</v>
      </c>
      <c r="C92" s="11" t="n">
        <v>15925</v>
      </c>
      <c r="D92" s="12" t="n">
        <v>144075</v>
      </c>
      <c r="E92" s="2" t="n">
        <v>9</v>
      </c>
      <c r="F92" s="13" t="n">
        <v>159991</v>
      </c>
      <c r="G92" s="2" t="n">
        <v>15930</v>
      </c>
      <c r="H92" s="12" t="n">
        <v>144070</v>
      </c>
    </row>
    <row r="93" customFormat="false" ht="15" hidden="false" customHeight="false" outlineLevel="0" collapsed="false">
      <c r="A93" s="7"/>
      <c r="B93" s="2" t="n">
        <v>89</v>
      </c>
      <c r="C93" s="11" t="n">
        <v>15925</v>
      </c>
      <c r="D93" s="12" t="n">
        <v>144075</v>
      </c>
      <c r="E93" s="2" t="n">
        <v>5</v>
      </c>
      <c r="F93" s="13" t="n">
        <v>159995</v>
      </c>
      <c r="G93" s="2" t="n">
        <v>15929</v>
      </c>
      <c r="H93" s="12" t="n">
        <v>144071</v>
      </c>
    </row>
    <row r="94" customFormat="false" ht="15" hidden="false" customHeight="false" outlineLevel="0" collapsed="false">
      <c r="A94" s="7"/>
      <c r="B94" s="2" t="n">
        <v>90</v>
      </c>
      <c r="C94" s="11" t="n">
        <v>15925</v>
      </c>
      <c r="D94" s="12" t="n">
        <v>144075</v>
      </c>
      <c r="E94" s="2" t="n">
        <v>124</v>
      </c>
      <c r="F94" s="13" t="n">
        <v>159876</v>
      </c>
      <c r="G94" s="2" t="n">
        <v>15929</v>
      </c>
      <c r="H94" s="12" t="n">
        <v>144071</v>
      </c>
    </row>
    <row r="95" customFormat="false" ht="15" hidden="false" customHeight="false" outlineLevel="0" collapsed="false">
      <c r="A95" s="7"/>
      <c r="B95" s="2" t="n">
        <v>91</v>
      </c>
      <c r="C95" s="11" t="n">
        <v>15925</v>
      </c>
      <c r="D95" s="12" t="n">
        <v>144075</v>
      </c>
      <c r="E95" s="2" t="n">
        <v>5</v>
      </c>
      <c r="F95" s="13" t="n">
        <v>159995</v>
      </c>
      <c r="G95" s="2" t="n">
        <v>15929</v>
      </c>
      <c r="H95" s="12" t="n">
        <v>144071</v>
      </c>
    </row>
    <row r="96" customFormat="false" ht="15" hidden="false" customHeight="false" outlineLevel="0" collapsed="false">
      <c r="A96" s="7"/>
      <c r="B96" s="2" t="n">
        <v>92</v>
      </c>
      <c r="C96" s="11" t="n">
        <v>15925</v>
      </c>
      <c r="D96" s="12" t="n">
        <v>144075</v>
      </c>
      <c r="E96" s="2" t="n">
        <v>33</v>
      </c>
      <c r="F96" s="13" t="n">
        <v>159967</v>
      </c>
      <c r="G96" s="2" t="n">
        <v>15929</v>
      </c>
      <c r="H96" s="12" t="n">
        <v>144071</v>
      </c>
    </row>
    <row r="97" customFormat="false" ht="15" hidden="false" customHeight="false" outlineLevel="0" collapsed="false">
      <c r="A97" s="7"/>
      <c r="B97" s="2" t="n">
        <v>93</v>
      </c>
      <c r="C97" s="11" t="n">
        <v>15925</v>
      </c>
      <c r="D97" s="12" t="n">
        <v>144075</v>
      </c>
      <c r="E97" s="2" t="n">
        <v>11</v>
      </c>
      <c r="F97" s="13" t="n">
        <v>159989</v>
      </c>
      <c r="G97" s="2" t="n">
        <v>15929</v>
      </c>
      <c r="H97" s="12" t="n">
        <v>144071</v>
      </c>
    </row>
    <row r="98" customFormat="false" ht="15" hidden="false" customHeight="false" outlineLevel="0" collapsed="false">
      <c r="A98" s="7"/>
      <c r="B98" s="2" t="n">
        <v>94</v>
      </c>
      <c r="C98" s="11" t="n">
        <v>15925</v>
      </c>
      <c r="D98" s="12" t="n">
        <v>144075</v>
      </c>
      <c r="E98" s="2" t="n">
        <v>7</v>
      </c>
      <c r="F98" s="13" t="n">
        <v>159993</v>
      </c>
      <c r="G98" s="2" t="n">
        <v>15929</v>
      </c>
      <c r="H98" s="12" t="n">
        <v>144071</v>
      </c>
    </row>
    <row r="99" customFormat="false" ht="15" hidden="false" customHeight="false" outlineLevel="0" collapsed="false">
      <c r="A99" s="7"/>
      <c r="B99" s="2" t="n">
        <v>95</v>
      </c>
      <c r="C99" s="11" t="n">
        <v>15925</v>
      </c>
      <c r="D99" s="12" t="n">
        <v>144075</v>
      </c>
      <c r="E99" s="2" t="n">
        <v>3</v>
      </c>
      <c r="F99" s="13" t="n">
        <v>159997</v>
      </c>
      <c r="G99" s="2" t="n">
        <v>15929</v>
      </c>
      <c r="H99" s="12" t="n">
        <v>144071</v>
      </c>
    </row>
    <row r="100" customFormat="false" ht="15" hidden="false" customHeight="false" outlineLevel="0" collapsed="false">
      <c r="A100" s="7"/>
      <c r="B100" s="2" t="n">
        <v>96</v>
      </c>
      <c r="C100" s="11" t="n">
        <v>15925</v>
      </c>
      <c r="D100" s="12" t="n">
        <v>144075</v>
      </c>
      <c r="E100" s="2" t="n">
        <v>9</v>
      </c>
      <c r="F100" s="13" t="n">
        <v>159991</v>
      </c>
      <c r="G100" s="2" t="n">
        <v>15930</v>
      </c>
      <c r="H100" s="12" t="n">
        <v>144070</v>
      </c>
    </row>
    <row r="101" customFormat="false" ht="15" hidden="false" customHeight="false" outlineLevel="0" collapsed="false">
      <c r="A101" s="7"/>
      <c r="B101" s="2" t="n">
        <v>97</v>
      </c>
      <c r="C101" s="11" t="n">
        <v>15924</v>
      </c>
      <c r="D101" s="12" t="n">
        <v>144076</v>
      </c>
      <c r="E101" s="2" t="n">
        <v>0</v>
      </c>
      <c r="F101" s="13" t="n">
        <v>160000</v>
      </c>
      <c r="G101" s="2" t="n">
        <v>15930</v>
      </c>
      <c r="H101" s="12" t="n">
        <v>144070</v>
      </c>
    </row>
    <row r="102" customFormat="false" ht="15" hidden="false" customHeight="false" outlineLevel="0" collapsed="false">
      <c r="A102" s="7"/>
      <c r="B102" s="2" t="n">
        <v>98</v>
      </c>
      <c r="C102" s="11" t="n">
        <v>15924</v>
      </c>
      <c r="D102" s="12" t="n">
        <v>144076</v>
      </c>
      <c r="E102" s="2" t="n">
        <v>0</v>
      </c>
      <c r="F102" s="13" t="n">
        <v>160000</v>
      </c>
      <c r="G102" s="2" t="n">
        <v>15930</v>
      </c>
      <c r="H102" s="12" t="n">
        <v>144070</v>
      </c>
    </row>
    <row r="103" customFormat="false" ht="15" hidden="false" customHeight="false" outlineLevel="0" collapsed="false">
      <c r="A103" s="7"/>
      <c r="B103" s="2" t="n">
        <v>99</v>
      </c>
      <c r="C103" s="11" t="n">
        <v>16098</v>
      </c>
      <c r="D103" s="12" t="n">
        <v>143902</v>
      </c>
      <c r="E103" s="2" t="n">
        <v>15</v>
      </c>
      <c r="F103" s="13" t="n">
        <v>159985</v>
      </c>
      <c r="G103" s="2" t="n">
        <v>16098</v>
      </c>
      <c r="H103" s="12" t="n">
        <v>143902</v>
      </c>
    </row>
    <row r="104" customFormat="false" ht="15" hidden="false" customHeight="false" outlineLevel="0" collapsed="false">
      <c r="A104" s="7"/>
      <c r="B104" s="2" t="n">
        <v>100</v>
      </c>
      <c r="C104" s="11" t="n">
        <v>15937</v>
      </c>
      <c r="D104" s="12" t="n">
        <v>144063</v>
      </c>
      <c r="E104" s="2" t="n">
        <v>13</v>
      </c>
      <c r="F104" s="13" t="n">
        <v>159987</v>
      </c>
      <c r="G104" s="2" t="n">
        <v>15938</v>
      </c>
      <c r="H104" s="12" t="n">
        <v>144062</v>
      </c>
    </row>
    <row r="105" customFormat="false" ht="15" hidden="false" customHeight="false" outlineLevel="0" collapsed="false">
      <c r="A105" s="7"/>
      <c r="B105" s="2" t="n">
        <v>101</v>
      </c>
      <c r="C105" s="11" t="n">
        <v>16014</v>
      </c>
      <c r="D105" s="12" t="n">
        <v>143986</v>
      </c>
      <c r="E105" s="2" t="n">
        <v>16</v>
      </c>
      <c r="F105" s="13" t="n">
        <v>159984</v>
      </c>
      <c r="G105" s="2" t="n">
        <v>16012</v>
      </c>
      <c r="H105" s="12" t="n">
        <v>143988</v>
      </c>
    </row>
    <row r="106" customFormat="false" ht="15" hidden="false" customHeight="false" outlineLevel="0" collapsed="false">
      <c r="A106" s="7"/>
      <c r="B106" s="2" t="n">
        <v>102</v>
      </c>
      <c r="C106" s="11" t="n">
        <v>15925</v>
      </c>
      <c r="D106" s="12" t="n">
        <v>144075</v>
      </c>
      <c r="E106" s="2" t="n">
        <v>181</v>
      </c>
      <c r="F106" s="13" t="n">
        <v>159819</v>
      </c>
      <c r="G106" s="2" t="n">
        <v>15929</v>
      </c>
      <c r="H106" s="12" t="n">
        <v>144071</v>
      </c>
    </row>
    <row r="107" customFormat="false" ht="15" hidden="false" customHeight="false" outlineLevel="0" collapsed="false">
      <c r="A107" s="7"/>
      <c r="B107" s="2" t="n">
        <v>103</v>
      </c>
      <c r="C107" s="11" t="n">
        <v>15925</v>
      </c>
      <c r="D107" s="12" t="n">
        <v>144075</v>
      </c>
      <c r="E107" s="2" t="n">
        <v>982</v>
      </c>
      <c r="F107" s="13" t="n">
        <v>159018</v>
      </c>
      <c r="G107" s="2" t="n">
        <v>15929</v>
      </c>
      <c r="H107" s="12" t="n">
        <v>144071</v>
      </c>
    </row>
    <row r="108" customFormat="false" ht="15" hidden="false" customHeight="false" outlineLevel="0" collapsed="false">
      <c r="A108" s="7"/>
      <c r="B108" s="2" t="n">
        <v>104</v>
      </c>
      <c r="C108" s="11" t="n">
        <v>15925</v>
      </c>
      <c r="D108" s="12" t="n">
        <v>144075</v>
      </c>
      <c r="E108" s="2" t="n">
        <v>19</v>
      </c>
      <c r="F108" s="13" t="n">
        <v>159981</v>
      </c>
      <c r="G108" s="2" t="n">
        <v>15929</v>
      </c>
      <c r="H108" s="12" t="n">
        <v>144071</v>
      </c>
    </row>
    <row r="109" customFormat="false" ht="15" hidden="false" customHeight="false" outlineLevel="0" collapsed="false">
      <c r="A109" s="7"/>
      <c r="B109" s="2" t="n">
        <v>105</v>
      </c>
      <c r="C109" s="11" t="n">
        <v>15924</v>
      </c>
      <c r="D109" s="12" t="n">
        <v>144076</v>
      </c>
      <c r="E109" s="2" t="n">
        <v>9</v>
      </c>
      <c r="F109" s="13" t="n">
        <v>159991</v>
      </c>
      <c r="G109" s="2" t="n">
        <v>15928</v>
      </c>
      <c r="H109" s="12" t="n">
        <v>144072</v>
      </c>
    </row>
    <row r="110" customFormat="false" ht="15" hidden="false" customHeight="false" outlineLevel="0" collapsed="false">
      <c r="A110" s="7"/>
      <c r="B110" s="2" t="n">
        <v>106</v>
      </c>
      <c r="C110" s="11" t="n">
        <v>15925</v>
      </c>
      <c r="D110" s="12" t="n">
        <v>144075</v>
      </c>
      <c r="E110" s="2" t="n">
        <v>777</v>
      </c>
      <c r="F110" s="13" t="n">
        <v>159223</v>
      </c>
      <c r="G110" s="2" t="n">
        <v>15929</v>
      </c>
      <c r="H110" s="12" t="n">
        <v>144071</v>
      </c>
    </row>
    <row r="111" customFormat="false" ht="15" hidden="false" customHeight="false" outlineLevel="0" collapsed="false">
      <c r="A111" s="7"/>
      <c r="B111" s="2" t="n">
        <v>107</v>
      </c>
      <c r="C111" s="11" t="n">
        <v>15924</v>
      </c>
      <c r="D111" s="12" t="n">
        <v>144076</v>
      </c>
      <c r="E111" s="2" t="n">
        <v>5</v>
      </c>
      <c r="F111" s="13" t="n">
        <v>159995</v>
      </c>
      <c r="G111" s="2" t="n">
        <v>15928</v>
      </c>
      <c r="H111" s="12" t="n">
        <v>144072</v>
      </c>
    </row>
    <row r="112" customFormat="false" ht="15" hidden="false" customHeight="false" outlineLevel="0" collapsed="false">
      <c r="A112" s="7"/>
      <c r="B112" s="2" t="n">
        <v>108</v>
      </c>
      <c r="C112" s="11" t="n">
        <v>15924</v>
      </c>
      <c r="D112" s="12" t="n">
        <v>144076</v>
      </c>
      <c r="E112" s="2" t="n">
        <v>6</v>
      </c>
      <c r="F112" s="13" t="n">
        <v>159994</v>
      </c>
      <c r="G112" s="2" t="n">
        <v>15928</v>
      </c>
      <c r="H112" s="12" t="n">
        <v>144072</v>
      </c>
    </row>
    <row r="113" customFormat="false" ht="15" hidden="false" customHeight="false" outlineLevel="0" collapsed="false">
      <c r="A113" s="7"/>
      <c r="B113" s="2" t="n">
        <v>109</v>
      </c>
      <c r="C113" s="11" t="n">
        <v>15925</v>
      </c>
      <c r="D113" s="12" t="n">
        <v>144075</v>
      </c>
      <c r="E113" s="2" t="n">
        <v>38</v>
      </c>
      <c r="F113" s="13" t="n">
        <v>159962</v>
      </c>
      <c r="G113" s="2" t="n">
        <v>15929</v>
      </c>
      <c r="H113" s="12" t="n">
        <v>144071</v>
      </c>
    </row>
    <row r="114" customFormat="false" ht="15" hidden="false" customHeight="false" outlineLevel="0" collapsed="false">
      <c r="A114" s="7"/>
      <c r="B114" s="2" t="n">
        <v>110</v>
      </c>
      <c r="C114" s="11" t="n">
        <v>15936</v>
      </c>
      <c r="D114" s="12" t="n">
        <v>144064</v>
      </c>
      <c r="E114" s="2" t="n">
        <v>57</v>
      </c>
      <c r="F114" s="13" t="n">
        <v>159943</v>
      </c>
      <c r="G114" s="2" t="n">
        <v>15936</v>
      </c>
      <c r="H114" s="12" t="n">
        <v>144064</v>
      </c>
    </row>
    <row r="115" customFormat="false" ht="15" hidden="false" customHeight="false" outlineLevel="0" collapsed="false">
      <c r="A115" s="7"/>
      <c r="B115" s="2" t="n">
        <v>111</v>
      </c>
      <c r="C115" s="11" t="n">
        <v>15924</v>
      </c>
      <c r="D115" s="12" t="n">
        <v>144076</v>
      </c>
      <c r="E115" s="2" t="n">
        <v>11</v>
      </c>
      <c r="F115" s="13" t="n">
        <v>159989</v>
      </c>
      <c r="G115" s="2" t="n">
        <v>15928</v>
      </c>
      <c r="H115" s="12" t="n">
        <v>144072</v>
      </c>
    </row>
    <row r="116" customFormat="false" ht="15" hidden="false" customHeight="false" outlineLevel="0" collapsed="false">
      <c r="A116" s="7"/>
      <c r="B116" s="2" t="n">
        <v>112</v>
      </c>
      <c r="C116" s="11" t="n">
        <v>15925</v>
      </c>
      <c r="D116" s="12" t="n">
        <v>144075</v>
      </c>
      <c r="E116" s="2" t="n">
        <v>40</v>
      </c>
      <c r="F116" s="13" t="n">
        <v>159960</v>
      </c>
      <c r="G116" s="2" t="n">
        <v>15931</v>
      </c>
      <c r="H116" s="12" t="n">
        <v>144069</v>
      </c>
    </row>
    <row r="117" customFormat="false" ht="15" hidden="false" customHeight="false" outlineLevel="0" collapsed="false">
      <c r="A117" s="7"/>
      <c r="B117" s="2" t="n">
        <v>113</v>
      </c>
      <c r="C117" s="11" t="n">
        <v>15924</v>
      </c>
      <c r="D117" s="12" t="n">
        <v>144076</v>
      </c>
      <c r="E117" s="2" t="n">
        <v>1152</v>
      </c>
      <c r="F117" s="13" t="n">
        <v>158848</v>
      </c>
      <c r="G117" s="2" t="n">
        <v>15929</v>
      </c>
      <c r="H117" s="12" t="n">
        <v>144071</v>
      </c>
    </row>
    <row r="118" customFormat="false" ht="15" hidden="false" customHeight="false" outlineLevel="0" collapsed="false">
      <c r="A118" s="7"/>
      <c r="B118" s="2" t="n">
        <v>114</v>
      </c>
      <c r="C118" s="11" t="n">
        <v>15925</v>
      </c>
      <c r="D118" s="12" t="n">
        <v>144075</v>
      </c>
      <c r="E118" s="2" t="n">
        <v>62</v>
      </c>
      <c r="F118" s="13" t="n">
        <v>159938</v>
      </c>
      <c r="G118" s="2" t="n">
        <v>15930</v>
      </c>
      <c r="H118" s="12" t="n">
        <v>144070</v>
      </c>
    </row>
    <row r="119" customFormat="false" ht="15" hidden="false" customHeight="false" outlineLevel="0" collapsed="false">
      <c r="A119" s="7"/>
      <c r="B119" s="2" t="n">
        <v>115</v>
      </c>
      <c r="C119" s="11" t="n">
        <v>15925</v>
      </c>
      <c r="D119" s="12" t="n">
        <v>144075</v>
      </c>
      <c r="E119" s="2" t="n">
        <v>3</v>
      </c>
      <c r="F119" s="13" t="n">
        <v>159997</v>
      </c>
      <c r="G119" s="2" t="n">
        <v>15931</v>
      </c>
      <c r="H119" s="12" t="n">
        <v>144069</v>
      </c>
    </row>
    <row r="120" customFormat="false" ht="15" hidden="false" customHeight="false" outlineLevel="0" collapsed="false">
      <c r="A120" s="7"/>
      <c r="B120" s="2" t="n">
        <v>116</v>
      </c>
      <c r="C120" s="11" t="n">
        <v>15939</v>
      </c>
      <c r="D120" s="12" t="n">
        <v>144061</v>
      </c>
      <c r="E120" s="2" t="n">
        <v>71</v>
      </c>
      <c r="F120" s="13" t="n">
        <v>159929</v>
      </c>
      <c r="G120" s="2" t="n">
        <v>15939</v>
      </c>
      <c r="H120" s="12" t="n">
        <v>144061</v>
      </c>
    </row>
    <row r="121" customFormat="false" ht="15" hidden="false" customHeight="false" outlineLevel="0" collapsed="false">
      <c r="A121" s="7"/>
      <c r="B121" s="2" t="n">
        <v>117</v>
      </c>
      <c r="C121" s="11" t="n">
        <v>15925</v>
      </c>
      <c r="D121" s="12" t="n">
        <v>144075</v>
      </c>
      <c r="E121" s="2" t="n">
        <v>18</v>
      </c>
      <c r="F121" s="13" t="n">
        <v>159982</v>
      </c>
      <c r="G121" s="2" t="n">
        <v>15928</v>
      </c>
      <c r="H121" s="12" t="n">
        <v>144072</v>
      </c>
    </row>
    <row r="122" customFormat="false" ht="15" hidden="false" customHeight="false" outlineLevel="0" collapsed="false">
      <c r="A122" s="7"/>
      <c r="B122" s="2" t="n">
        <v>118</v>
      </c>
      <c r="C122" s="11" t="n">
        <v>15925</v>
      </c>
      <c r="D122" s="12" t="n">
        <v>144075</v>
      </c>
      <c r="E122" s="2" t="n">
        <v>156</v>
      </c>
      <c r="F122" s="13" t="n">
        <v>159844</v>
      </c>
      <c r="G122" s="2" t="n">
        <v>15928</v>
      </c>
      <c r="H122" s="12" t="n">
        <v>144072</v>
      </c>
    </row>
    <row r="123" customFormat="false" ht="15" hidden="false" customHeight="false" outlineLevel="0" collapsed="false">
      <c r="A123" s="7"/>
      <c r="B123" s="2" t="n">
        <v>119</v>
      </c>
      <c r="C123" s="11" t="n">
        <v>15925</v>
      </c>
      <c r="D123" s="12" t="n">
        <v>144075</v>
      </c>
      <c r="E123" s="2" t="n">
        <v>11</v>
      </c>
      <c r="F123" s="13" t="n">
        <v>159989</v>
      </c>
      <c r="G123" s="2" t="n">
        <v>15928</v>
      </c>
      <c r="H123" s="12" t="n">
        <v>144072</v>
      </c>
    </row>
    <row r="124" customFormat="false" ht="15" hidden="false" customHeight="false" outlineLevel="0" collapsed="false">
      <c r="A124" s="7"/>
      <c r="B124" s="2" t="n">
        <v>120</v>
      </c>
      <c r="C124" s="11" t="n">
        <v>15925</v>
      </c>
      <c r="D124" s="12" t="n">
        <v>144075</v>
      </c>
      <c r="E124" s="2" t="n">
        <v>31</v>
      </c>
      <c r="F124" s="13" t="n">
        <v>159969</v>
      </c>
      <c r="G124" s="2" t="n">
        <v>15928</v>
      </c>
      <c r="H124" s="12" t="n">
        <v>144072</v>
      </c>
    </row>
    <row r="125" customFormat="false" ht="15" hidden="false" customHeight="false" outlineLevel="0" collapsed="false">
      <c r="A125" s="7"/>
      <c r="B125" s="2" t="n">
        <v>121</v>
      </c>
      <c r="C125" s="11" t="n">
        <v>15925</v>
      </c>
      <c r="D125" s="12" t="n">
        <v>144075</v>
      </c>
      <c r="E125" s="2" t="n">
        <v>10</v>
      </c>
      <c r="F125" s="13" t="n">
        <v>159990</v>
      </c>
      <c r="G125" s="2" t="n">
        <v>15928</v>
      </c>
      <c r="H125" s="12" t="n">
        <v>144072</v>
      </c>
    </row>
    <row r="126" customFormat="false" ht="15" hidden="false" customHeight="false" outlineLevel="0" collapsed="false">
      <c r="A126" s="7"/>
      <c r="B126" s="2" t="n">
        <v>122</v>
      </c>
      <c r="C126" s="11" t="n">
        <v>15924</v>
      </c>
      <c r="D126" s="12" t="n">
        <v>144076</v>
      </c>
      <c r="E126" s="2" t="n">
        <v>25</v>
      </c>
      <c r="F126" s="13" t="n">
        <v>159975</v>
      </c>
      <c r="G126" s="2" t="n">
        <v>15926</v>
      </c>
      <c r="H126" s="12" t="n">
        <v>144074</v>
      </c>
    </row>
    <row r="127" customFormat="false" ht="15" hidden="false" customHeight="false" outlineLevel="0" collapsed="false">
      <c r="A127" s="7"/>
      <c r="B127" s="2" t="n">
        <v>123</v>
      </c>
      <c r="C127" s="11" t="n">
        <v>15925</v>
      </c>
      <c r="D127" s="12" t="n">
        <v>144075</v>
      </c>
      <c r="E127" s="2" t="n">
        <v>71</v>
      </c>
      <c r="F127" s="13" t="n">
        <v>159929</v>
      </c>
      <c r="G127" s="2" t="n">
        <v>15927</v>
      </c>
      <c r="H127" s="12" t="n">
        <v>144073</v>
      </c>
    </row>
    <row r="128" customFormat="false" ht="15" hidden="false" customHeight="false" outlineLevel="0" collapsed="false">
      <c r="A128" s="7"/>
      <c r="B128" s="2" t="n">
        <v>124</v>
      </c>
      <c r="C128" s="11" t="n">
        <v>15935</v>
      </c>
      <c r="D128" s="12" t="n">
        <v>144065</v>
      </c>
      <c r="E128" s="2" t="n">
        <v>18</v>
      </c>
      <c r="F128" s="13" t="n">
        <v>159982</v>
      </c>
      <c r="G128" s="2" t="n">
        <v>15938</v>
      </c>
      <c r="H128" s="12" t="n">
        <v>144062</v>
      </c>
    </row>
    <row r="129" customFormat="false" ht="15" hidden="false" customHeight="false" outlineLevel="0" collapsed="false">
      <c r="A129" s="7"/>
      <c r="B129" s="2" t="n">
        <v>125</v>
      </c>
      <c r="C129" s="11" t="n">
        <v>15925</v>
      </c>
      <c r="D129" s="12" t="n">
        <v>144075</v>
      </c>
      <c r="E129" s="2" t="n">
        <v>12</v>
      </c>
      <c r="F129" s="13" t="n">
        <v>159988</v>
      </c>
      <c r="G129" s="2" t="n">
        <v>15929</v>
      </c>
      <c r="H129" s="12" t="n">
        <v>144071</v>
      </c>
    </row>
    <row r="130" customFormat="false" ht="15" hidden="false" customHeight="false" outlineLevel="0" collapsed="false">
      <c r="A130" s="7"/>
      <c r="B130" s="2" t="n">
        <v>126</v>
      </c>
      <c r="C130" s="11" t="n">
        <v>15925</v>
      </c>
      <c r="D130" s="12" t="n">
        <v>144075</v>
      </c>
      <c r="E130" s="2" t="n">
        <v>88</v>
      </c>
      <c r="F130" s="13" t="n">
        <v>159912</v>
      </c>
      <c r="G130" s="2" t="n">
        <v>15929</v>
      </c>
      <c r="H130" s="12" t="n">
        <v>144071</v>
      </c>
    </row>
    <row r="131" customFormat="false" ht="15" hidden="false" customHeight="false" outlineLevel="0" collapsed="false">
      <c r="A131" s="7"/>
      <c r="B131" s="2" t="n">
        <v>127</v>
      </c>
      <c r="C131" s="11" t="n">
        <v>15925</v>
      </c>
      <c r="D131" s="12" t="n">
        <v>144075</v>
      </c>
      <c r="E131" s="2" t="n">
        <v>254</v>
      </c>
      <c r="F131" s="13" t="n">
        <v>159746</v>
      </c>
      <c r="G131" s="2" t="n">
        <v>15929</v>
      </c>
      <c r="H131" s="12" t="n">
        <v>144071</v>
      </c>
    </row>
    <row r="132" customFormat="false" ht="15" hidden="false" customHeight="false" outlineLevel="0" collapsed="false">
      <c r="A132" s="7"/>
      <c r="B132" s="2" t="n">
        <v>128</v>
      </c>
      <c r="C132" s="11" t="n">
        <v>15924</v>
      </c>
      <c r="D132" s="12" t="n">
        <v>144076</v>
      </c>
      <c r="E132" s="2" t="n">
        <v>23</v>
      </c>
      <c r="F132" s="13" t="n">
        <v>159977</v>
      </c>
      <c r="G132" s="2" t="n">
        <v>15927</v>
      </c>
      <c r="H132" s="12" t="n">
        <v>144073</v>
      </c>
    </row>
    <row r="133" customFormat="false" ht="15" hidden="false" customHeight="false" outlineLevel="0" collapsed="false">
      <c r="A133" s="7"/>
      <c r="B133" s="2" t="n">
        <v>129</v>
      </c>
      <c r="C133" s="11" t="n">
        <v>15938</v>
      </c>
      <c r="D133" s="12" t="n">
        <v>144062</v>
      </c>
      <c r="E133" s="2" t="n">
        <v>8</v>
      </c>
      <c r="F133" s="13" t="n">
        <v>159992</v>
      </c>
      <c r="G133" s="2" t="n">
        <v>15941</v>
      </c>
      <c r="H133" s="12" t="n">
        <v>144059</v>
      </c>
    </row>
    <row r="134" customFormat="false" ht="15" hidden="false" customHeight="false" outlineLevel="0" collapsed="false">
      <c r="A134" s="7"/>
      <c r="B134" s="2" t="n">
        <v>130</v>
      </c>
      <c r="C134" s="11" t="n">
        <v>15924</v>
      </c>
      <c r="D134" s="12" t="n">
        <v>144076</v>
      </c>
      <c r="E134" s="2" t="n">
        <v>164</v>
      </c>
      <c r="F134" s="13" t="n">
        <v>159836</v>
      </c>
      <c r="G134" s="2" t="n">
        <v>15929</v>
      </c>
      <c r="H134" s="12" t="n">
        <v>144071</v>
      </c>
    </row>
    <row r="135" customFormat="false" ht="15" hidden="false" customHeight="false" outlineLevel="0" collapsed="false">
      <c r="A135" s="7"/>
      <c r="B135" s="2" t="n">
        <v>131</v>
      </c>
      <c r="C135" s="11" t="n">
        <v>15925</v>
      </c>
      <c r="D135" s="12" t="n">
        <v>144075</v>
      </c>
      <c r="E135" s="2" t="n">
        <v>21</v>
      </c>
      <c r="F135" s="13" t="n">
        <v>159979</v>
      </c>
      <c r="G135" s="2" t="n">
        <v>15929</v>
      </c>
      <c r="H135" s="12" t="n">
        <v>144071</v>
      </c>
    </row>
    <row r="136" customFormat="false" ht="15" hidden="false" customHeight="false" outlineLevel="0" collapsed="false">
      <c r="A136" s="7"/>
      <c r="B136" s="2" t="n">
        <v>132</v>
      </c>
      <c r="C136" s="11" t="n">
        <v>15925</v>
      </c>
      <c r="D136" s="12" t="n">
        <v>144075</v>
      </c>
      <c r="E136" s="2" t="n">
        <v>6</v>
      </c>
      <c r="F136" s="13" t="n">
        <v>159994</v>
      </c>
      <c r="G136" s="2" t="n">
        <v>15929</v>
      </c>
      <c r="H136" s="12" t="n">
        <v>144071</v>
      </c>
    </row>
    <row r="137" customFormat="false" ht="15" hidden="false" customHeight="false" outlineLevel="0" collapsed="false">
      <c r="A137" s="7"/>
      <c r="B137" s="2" t="n">
        <v>133</v>
      </c>
      <c r="C137" s="11" t="n">
        <v>15924</v>
      </c>
      <c r="D137" s="12" t="n">
        <v>144076</v>
      </c>
      <c r="E137" s="2" t="n">
        <v>16</v>
      </c>
      <c r="F137" s="13" t="n">
        <v>159984</v>
      </c>
      <c r="G137" s="2" t="n">
        <v>15929</v>
      </c>
      <c r="H137" s="12" t="n">
        <v>144071</v>
      </c>
    </row>
    <row r="138" customFormat="false" ht="15" hidden="false" customHeight="false" outlineLevel="0" collapsed="false">
      <c r="A138" s="7"/>
      <c r="B138" s="2" t="n">
        <v>134</v>
      </c>
      <c r="C138" s="11" t="n">
        <v>15925</v>
      </c>
      <c r="D138" s="12" t="n">
        <v>144075</v>
      </c>
      <c r="E138" s="2" t="n">
        <v>6</v>
      </c>
      <c r="F138" s="13" t="n">
        <v>159994</v>
      </c>
      <c r="G138" s="2" t="n">
        <v>15930</v>
      </c>
      <c r="H138" s="12" t="n">
        <v>144070</v>
      </c>
    </row>
    <row r="139" customFormat="false" ht="15" hidden="false" customHeight="false" outlineLevel="0" collapsed="false">
      <c r="A139" s="7"/>
      <c r="B139" s="2" t="n">
        <v>135</v>
      </c>
      <c r="C139" s="11" t="n">
        <v>15924</v>
      </c>
      <c r="D139" s="12" t="n">
        <v>144076</v>
      </c>
      <c r="E139" s="2" t="n">
        <v>9</v>
      </c>
      <c r="F139" s="13" t="n">
        <v>159991</v>
      </c>
      <c r="G139" s="2" t="n">
        <v>15927</v>
      </c>
      <c r="H139" s="12" t="n">
        <v>144073</v>
      </c>
    </row>
    <row r="140" customFormat="false" ht="15" hidden="false" customHeight="false" outlineLevel="0" collapsed="false">
      <c r="A140" s="7"/>
      <c r="B140" s="2" t="n">
        <v>136</v>
      </c>
      <c r="C140" s="11" t="n">
        <v>15936</v>
      </c>
      <c r="D140" s="12" t="n">
        <v>144064</v>
      </c>
      <c r="E140" s="2" t="n">
        <v>26</v>
      </c>
      <c r="F140" s="13" t="n">
        <v>159974</v>
      </c>
      <c r="G140" s="2" t="n">
        <v>15937</v>
      </c>
      <c r="H140" s="12" t="n">
        <v>144063</v>
      </c>
    </row>
    <row r="141" customFormat="false" ht="15" hidden="false" customHeight="false" outlineLevel="0" collapsed="false">
      <c r="A141" s="7"/>
      <c r="B141" s="2" t="n">
        <v>137</v>
      </c>
      <c r="C141" s="11" t="n">
        <v>16014</v>
      </c>
      <c r="D141" s="12" t="n">
        <v>143986</v>
      </c>
      <c r="E141" s="2" t="n">
        <v>5</v>
      </c>
      <c r="F141" s="13" t="n">
        <v>159995</v>
      </c>
      <c r="G141" s="2" t="n">
        <v>16011</v>
      </c>
      <c r="H141" s="12" t="n">
        <v>143989</v>
      </c>
    </row>
    <row r="142" customFormat="false" ht="15" hidden="false" customHeight="false" outlineLevel="0" collapsed="false">
      <c r="A142" s="7"/>
      <c r="B142" s="2" t="n">
        <v>138</v>
      </c>
      <c r="C142" s="11" t="n">
        <v>15925</v>
      </c>
      <c r="D142" s="12" t="n">
        <v>144075</v>
      </c>
      <c r="E142" s="2" t="n">
        <v>2</v>
      </c>
      <c r="F142" s="13" t="n">
        <v>159998</v>
      </c>
      <c r="G142" s="2" t="n">
        <v>15929</v>
      </c>
      <c r="H142" s="12" t="n">
        <v>144071</v>
      </c>
    </row>
    <row r="143" customFormat="false" ht="15" hidden="false" customHeight="false" outlineLevel="0" collapsed="false">
      <c r="A143" s="7"/>
      <c r="B143" s="2" t="n">
        <v>139</v>
      </c>
      <c r="C143" s="11" t="n">
        <v>15925</v>
      </c>
      <c r="D143" s="12" t="n">
        <v>144075</v>
      </c>
      <c r="E143" s="2" t="n">
        <v>6</v>
      </c>
      <c r="F143" s="13" t="n">
        <v>159994</v>
      </c>
      <c r="G143" s="2" t="n">
        <v>15929</v>
      </c>
      <c r="H143" s="12" t="n">
        <v>144071</v>
      </c>
    </row>
    <row r="144" customFormat="false" ht="15" hidden="false" customHeight="false" outlineLevel="0" collapsed="false">
      <c r="A144" s="7"/>
      <c r="B144" s="2" t="n">
        <v>140</v>
      </c>
      <c r="C144" s="11" t="n">
        <v>15941</v>
      </c>
      <c r="D144" s="12" t="n">
        <v>144059</v>
      </c>
      <c r="E144" s="2" t="n">
        <v>26</v>
      </c>
      <c r="F144" s="13" t="n">
        <v>159974</v>
      </c>
      <c r="G144" s="2" t="n">
        <v>15946</v>
      </c>
      <c r="H144" s="12" t="n">
        <v>144054</v>
      </c>
    </row>
    <row r="145" customFormat="false" ht="15" hidden="false" customHeight="false" outlineLevel="0" collapsed="false">
      <c r="A145" s="7"/>
      <c r="B145" s="2" t="n">
        <v>141</v>
      </c>
      <c r="C145" s="11" t="n">
        <v>15925</v>
      </c>
      <c r="D145" s="12" t="n">
        <v>144075</v>
      </c>
      <c r="E145" s="2" t="n">
        <v>1107</v>
      </c>
      <c r="F145" s="13" t="n">
        <v>158893</v>
      </c>
      <c r="G145" s="2" t="n">
        <v>15928</v>
      </c>
      <c r="H145" s="12" t="n">
        <v>144072</v>
      </c>
    </row>
    <row r="146" customFormat="false" ht="15" hidden="false" customHeight="false" outlineLevel="0" collapsed="false">
      <c r="A146" s="7"/>
      <c r="B146" s="2" t="n">
        <v>142</v>
      </c>
      <c r="C146" s="11" t="n">
        <v>15925</v>
      </c>
      <c r="D146" s="12" t="n">
        <v>144075</v>
      </c>
      <c r="E146" s="2" t="n">
        <v>2</v>
      </c>
      <c r="F146" s="13" t="n">
        <v>159998</v>
      </c>
      <c r="G146" s="2" t="n">
        <v>15927</v>
      </c>
      <c r="H146" s="12" t="n">
        <v>144073</v>
      </c>
    </row>
    <row r="147" customFormat="false" ht="15" hidden="false" customHeight="false" outlineLevel="0" collapsed="false">
      <c r="A147" s="7"/>
      <c r="B147" s="2" t="n">
        <v>143</v>
      </c>
      <c r="C147" s="11" t="n">
        <v>15925</v>
      </c>
      <c r="D147" s="12" t="n">
        <v>144075</v>
      </c>
      <c r="E147" s="2" t="n">
        <v>7</v>
      </c>
      <c r="F147" s="13" t="n">
        <v>159993</v>
      </c>
      <c r="G147" s="2" t="n">
        <v>15927</v>
      </c>
      <c r="H147" s="12" t="n">
        <v>144073</v>
      </c>
    </row>
    <row r="148" customFormat="false" ht="15" hidden="false" customHeight="false" outlineLevel="0" collapsed="false">
      <c r="A148" s="7"/>
      <c r="B148" s="2" t="n">
        <v>144</v>
      </c>
      <c r="C148" s="11" t="n">
        <v>15925</v>
      </c>
      <c r="D148" s="12" t="n">
        <v>144075</v>
      </c>
      <c r="E148" s="2" t="n">
        <v>7</v>
      </c>
      <c r="F148" s="13" t="n">
        <v>159993</v>
      </c>
      <c r="G148" s="2" t="n">
        <v>15927</v>
      </c>
      <c r="H148" s="12" t="n">
        <v>144073</v>
      </c>
    </row>
    <row r="149" customFormat="false" ht="15" hidden="false" customHeight="false" outlineLevel="0" collapsed="false">
      <c r="A149" s="7"/>
      <c r="B149" s="2" t="n">
        <v>145</v>
      </c>
      <c r="C149" s="11" t="n">
        <v>15924</v>
      </c>
      <c r="D149" s="12" t="n">
        <v>144076</v>
      </c>
      <c r="E149" s="2" t="n">
        <v>93</v>
      </c>
      <c r="F149" s="13" t="n">
        <v>159907</v>
      </c>
      <c r="G149" s="2" t="n">
        <v>15926</v>
      </c>
      <c r="H149" s="12" t="n">
        <v>144074</v>
      </c>
    </row>
    <row r="150" customFormat="false" ht="15" hidden="false" customHeight="false" outlineLevel="0" collapsed="false">
      <c r="A150" s="7"/>
      <c r="B150" s="2" t="n">
        <v>146</v>
      </c>
      <c r="C150" s="11" t="n">
        <v>15925</v>
      </c>
      <c r="D150" s="12" t="n">
        <v>144075</v>
      </c>
      <c r="E150" s="2" t="n">
        <v>3</v>
      </c>
      <c r="F150" s="13" t="n">
        <v>159997</v>
      </c>
      <c r="G150" s="2" t="n">
        <v>15928</v>
      </c>
      <c r="H150" s="12" t="n">
        <v>144072</v>
      </c>
    </row>
    <row r="151" customFormat="false" ht="15" hidden="false" customHeight="false" outlineLevel="0" collapsed="false">
      <c r="A151" s="7"/>
      <c r="B151" s="2" t="n">
        <v>147</v>
      </c>
      <c r="C151" s="11" t="n">
        <v>15925</v>
      </c>
      <c r="D151" s="12" t="n">
        <v>144075</v>
      </c>
      <c r="E151" s="2" t="n">
        <v>6</v>
      </c>
      <c r="F151" s="13" t="n">
        <v>159994</v>
      </c>
      <c r="G151" s="2" t="n">
        <v>15928</v>
      </c>
      <c r="H151" s="12" t="n">
        <v>144072</v>
      </c>
    </row>
    <row r="152" customFormat="false" ht="15" hidden="false" customHeight="false" outlineLevel="0" collapsed="false">
      <c r="A152" s="7"/>
      <c r="B152" s="2" t="n">
        <v>148</v>
      </c>
      <c r="C152" s="11" t="n">
        <v>15925</v>
      </c>
      <c r="D152" s="12" t="n">
        <v>144075</v>
      </c>
      <c r="E152" s="2" t="n">
        <v>4</v>
      </c>
      <c r="F152" s="13" t="n">
        <v>159996</v>
      </c>
      <c r="G152" s="2" t="n">
        <v>15928</v>
      </c>
      <c r="H152" s="12" t="n">
        <v>144072</v>
      </c>
    </row>
    <row r="153" customFormat="false" ht="15" hidden="false" customHeight="false" outlineLevel="0" collapsed="false">
      <c r="A153" s="7"/>
      <c r="B153" s="2" t="n">
        <v>149</v>
      </c>
      <c r="C153" s="11" t="n">
        <v>15925</v>
      </c>
      <c r="D153" s="12" t="n">
        <v>144075</v>
      </c>
      <c r="E153" s="2" t="n">
        <v>8</v>
      </c>
      <c r="F153" s="13" t="n">
        <v>159992</v>
      </c>
      <c r="G153" s="2" t="n">
        <v>15929</v>
      </c>
      <c r="H153" s="12" t="n">
        <v>144071</v>
      </c>
    </row>
    <row r="154" customFormat="false" ht="15" hidden="false" customHeight="false" outlineLevel="0" collapsed="false">
      <c r="A154" s="7"/>
      <c r="B154" s="2" t="n">
        <v>150</v>
      </c>
      <c r="C154" s="11" t="n">
        <v>15925</v>
      </c>
      <c r="D154" s="12" t="n">
        <v>144075</v>
      </c>
      <c r="E154" s="2" t="n">
        <v>5</v>
      </c>
      <c r="F154" s="13" t="n">
        <v>159995</v>
      </c>
      <c r="G154" s="2" t="n">
        <v>15928</v>
      </c>
      <c r="H154" s="12" t="n">
        <v>144072</v>
      </c>
    </row>
    <row r="155" customFormat="false" ht="15" hidden="false" customHeight="false" outlineLevel="0" collapsed="false">
      <c r="A155" s="7"/>
      <c r="B155" s="2" t="n">
        <v>151</v>
      </c>
      <c r="C155" s="11" t="n">
        <v>15938</v>
      </c>
      <c r="D155" s="12" t="n">
        <v>144062</v>
      </c>
      <c r="E155" s="2" t="n">
        <v>7</v>
      </c>
      <c r="F155" s="13" t="n">
        <v>159993</v>
      </c>
      <c r="G155" s="2" t="n">
        <v>15940</v>
      </c>
      <c r="H155" s="12" t="n">
        <v>144060</v>
      </c>
    </row>
    <row r="156" customFormat="false" ht="15" hidden="false" customHeight="false" outlineLevel="0" collapsed="false">
      <c r="A156" s="7"/>
      <c r="B156" s="2" t="n">
        <v>152</v>
      </c>
      <c r="C156" s="11" t="n">
        <v>15925</v>
      </c>
      <c r="D156" s="12" t="n">
        <v>144075</v>
      </c>
      <c r="E156" s="2" t="n">
        <v>1465</v>
      </c>
      <c r="F156" s="13" t="n">
        <v>158535</v>
      </c>
      <c r="G156" s="2" t="n">
        <v>15929</v>
      </c>
      <c r="H156" s="12" t="n">
        <v>144071</v>
      </c>
    </row>
    <row r="157" customFormat="false" ht="15" hidden="false" customHeight="false" outlineLevel="0" collapsed="false">
      <c r="A157" s="7"/>
      <c r="B157" s="2" t="n">
        <v>153</v>
      </c>
      <c r="C157" s="11" t="n">
        <v>15925</v>
      </c>
      <c r="D157" s="12" t="n">
        <v>144075</v>
      </c>
      <c r="E157" s="2" t="n">
        <v>32</v>
      </c>
      <c r="F157" s="13" t="n">
        <v>159968</v>
      </c>
      <c r="G157" s="2" t="n">
        <v>15929</v>
      </c>
      <c r="H157" s="12" t="n">
        <v>144071</v>
      </c>
    </row>
    <row r="158" customFormat="false" ht="15" hidden="false" customHeight="false" outlineLevel="0" collapsed="false">
      <c r="A158" s="7"/>
      <c r="B158" s="2" t="n">
        <v>154</v>
      </c>
      <c r="C158" s="11" t="n">
        <v>15925</v>
      </c>
      <c r="D158" s="12" t="n">
        <v>144075</v>
      </c>
      <c r="E158" s="2" t="n">
        <v>64</v>
      </c>
      <c r="F158" s="13" t="n">
        <v>159936</v>
      </c>
      <c r="G158" s="2" t="n">
        <v>15929</v>
      </c>
      <c r="H158" s="12" t="n">
        <v>144071</v>
      </c>
    </row>
    <row r="159" customFormat="false" ht="15" hidden="false" customHeight="false" outlineLevel="0" collapsed="false">
      <c r="A159" s="7"/>
      <c r="B159" s="2" t="n">
        <v>155</v>
      </c>
      <c r="C159" s="11" t="n">
        <v>15925</v>
      </c>
      <c r="D159" s="12" t="n">
        <v>144075</v>
      </c>
      <c r="E159" s="2" t="n">
        <v>365</v>
      </c>
      <c r="F159" s="13" t="n">
        <v>159635</v>
      </c>
      <c r="G159" s="2" t="n">
        <v>15928</v>
      </c>
      <c r="H159" s="12" t="n">
        <v>144072</v>
      </c>
    </row>
    <row r="160" customFormat="false" ht="15" hidden="false" customHeight="false" outlineLevel="0" collapsed="false">
      <c r="A160" s="7"/>
      <c r="B160" s="2" t="n">
        <v>156</v>
      </c>
      <c r="C160" s="11" t="n">
        <v>15925</v>
      </c>
      <c r="D160" s="12" t="n">
        <v>144075</v>
      </c>
      <c r="E160" s="2" t="n">
        <v>5</v>
      </c>
      <c r="F160" s="13" t="n">
        <v>159995</v>
      </c>
      <c r="G160" s="2" t="n">
        <v>15928</v>
      </c>
      <c r="H160" s="12" t="n">
        <v>144072</v>
      </c>
    </row>
    <row r="161" customFormat="false" ht="15" hidden="false" customHeight="false" outlineLevel="0" collapsed="false">
      <c r="A161" s="7"/>
      <c r="B161" s="2" t="n">
        <v>157</v>
      </c>
      <c r="C161" s="11" t="n">
        <v>15925</v>
      </c>
      <c r="D161" s="12" t="n">
        <v>144075</v>
      </c>
      <c r="E161" s="2" t="n">
        <v>799</v>
      </c>
      <c r="F161" s="13" t="n">
        <v>159201</v>
      </c>
      <c r="G161" s="2" t="n">
        <v>15928</v>
      </c>
      <c r="H161" s="12" t="n">
        <v>144072</v>
      </c>
    </row>
    <row r="162" customFormat="false" ht="15" hidden="false" customHeight="false" outlineLevel="0" collapsed="false">
      <c r="A162" s="7"/>
      <c r="B162" s="2" t="n">
        <v>158</v>
      </c>
      <c r="C162" s="11" t="n">
        <v>15924</v>
      </c>
      <c r="D162" s="12" t="n">
        <v>144076</v>
      </c>
      <c r="E162" s="2" t="n">
        <v>12</v>
      </c>
      <c r="F162" s="13" t="n">
        <v>159988</v>
      </c>
      <c r="G162" s="2" t="n">
        <v>15928</v>
      </c>
      <c r="H162" s="12" t="n">
        <v>144072</v>
      </c>
    </row>
    <row r="163" customFormat="false" ht="15" hidden="false" customHeight="false" outlineLevel="0" collapsed="false">
      <c r="A163" s="7"/>
      <c r="B163" s="2" t="n">
        <v>159</v>
      </c>
      <c r="C163" s="11" t="n">
        <v>15924</v>
      </c>
      <c r="D163" s="12" t="n">
        <v>144076</v>
      </c>
      <c r="E163" s="2" t="n">
        <v>87</v>
      </c>
      <c r="F163" s="13" t="n">
        <v>159913</v>
      </c>
      <c r="G163" s="2" t="n">
        <v>15927</v>
      </c>
      <c r="H163" s="12" t="n">
        <v>144073</v>
      </c>
    </row>
    <row r="164" customFormat="false" ht="15" hidden="false" customHeight="false" outlineLevel="0" collapsed="false">
      <c r="A164" s="7"/>
      <c r="B164" s="2" t="n">
        <v>160</v>
      </c>
      <c r="C164" s="11" t="n">
        <v>15925</v>
      </c>
      <c r="D164" s="12" t="n">
        <v>144075</v>
      </c>
      <c r="E164" s="2" t="n">
        <v>26</v>
      </c>
      <c r="F164" s="13" t="n">
        <v>159974</v>
      </c>
      <c r="G164" s="2" t="n">
        <v>15929</v>
      </c>
      <c r="H164" s="12" t="n">
        <v>144071</v>
      </c>
    </row>
    <row r="165" customFormat="false" ht="15" hidden="false" customHeight="false" outlineLevel="0" collapsed="false">
      <c r="A165" s="7"/>
      <c r="B165" s="2" t="n">
        <v>161</v>
      </c>
      <c r="C165" s="11" t="n">
        <v>15925</v>
      </c>
      <c r="D165" s="12" t="n">
        <v>144075</v>
      </c>
      <c r="E165" s="2" t="n">
        <v>427</v>
      </c>
      <c r="F165" s="13" t="n">
        <v>159573</v>
      </c>
      <c r="G165" s="2" t="n">
        <v>15928</v>
      </c>
      <c r="H165" s="12" t="n">
        <v>144072</v>
      </c>
    </row>
    <row r="166" customFormat="false" ht="15" hidden="false" customHeight="false" outlineLevel="0" collapsed="false">
      <c r="A166" s="7"/>
      <c r="B166" s="2" t="n">
        <v>162</v>
      </c>
      <c r="C166" s="11" t="n">
        <v>15924</v>
      </c>
      <c r="D166" s="12" t="n">
        <v>144076</v>
      </c>
      <c r="E166" s="2" t="n">
        <v>284</v>
      </c>
      <c r="F166" s="13" t="n">
        <v>159716</v>
      </c>
      <c r="G166" s="2" t="n">
        <v>15927</v>
      </c>
      <c r="H166" s="12" t="n">
        <v>144073</v>
      </c>
    </row>
    <row r="167" customFormat="false" ht="15" hidden="false" customHeight="false" outlineLevel="0" collapsed="false">
      <c r="A167" s="7"/>
      <c r="B167" s="2" t="n">
        <v>163</v>
      </c>
      <c r="C167" s="11" t="n">
        <v>15925</v>
      </c>
      <c r="D167" s="12" t="n">
        <v>144075</v>
      </c>
      <c r="E167" s="2" t="n">
        <v>2</v>
      </c>
      <c r="F167" s="13" t="n">
        <v>159998</v>
      </c>
      <c r="G167" s="2" t="n">
        <v>15928</v>
      </c>
      <c r="H167" s="12" t="n">
        <v>144072</v>
      </c>
    </row>
    <row r="168" customFormat="false" ht="15" hidden="false" customHeight="false" outlineLevel="0" collapsed="false">
      <c r="A168" s="7"/>
      <c r="B168" s="2" t="n">
        <v>164</v>
      </c>
      <c r="C168" s="11" t="n">
        <v>15925</v>
      </c>
      <c r="D168" s="12" t="n">
        <v>144075</v>
      </c>
      <c r="E168" s="2" t="n">
        <v>20</v>
      </c>
      <c r="F168" s="13" t="n">
        <v>159980</v>
      </c>
      <c r="G168" s="2" t="n">
        <v>15928</v>
      </c>
      <c r="H168" s="12" t="n">
        <v>144072</v>
      </c>
    </row>
    <row r="169" customFormat="false" ht="15" hidden="false" customHeight="false" outlineLevel="0" collapsed="false">
      <c r="A169" s="7"/>
      <c r="B169" s="2" t="n">
        <v>165</v>
      </c>
      <c r="C169" s="11" t="n">
        <v>15925</v>
      </c>
      <c r="D169" s="12" t="n">
        <v>144075</v>
      </c>
      <c r="E169" s="2" t="n">
        <v>10</v>
      </c>
      <c r="F169" s="13" t="n">
        <v>159990</v>
      </c>
      <c r="G169" s="2" t="n">
        <v>15928</v>
      </c>
      <c r="H169" s="12" t="n">
        <v>144072</v>
      </c>
    </row>
    <row r="170" customFormat="false" ht="15" hidden="false" customHeight="false" outlineLevel="0" collapsed="false">
      <c r="A170" s="7"/>
      <c r="B170" s="2" t="n">
        <v>166</v>
      </c>
      <c r="C170" s="11" t="n">
        <v>15925</v>
      </c>
      <c r="D170" s="12" t="n">
        <v>144075</v>
      </c>
      <c r="E170" s="2" t="n">
        <v>4</v>
      </c>
      <c r="F170" s="13" t="n">
        <v>159996</v>
      </c>
      <c r="G170" s="2" t="n">
        <v>15928</v>
      </c>
      <c r="H170" s="12" t="n">
        <v>144072</v>
      </c>
    </row>
    <row r="171" customFormat="false" ht="15" hidden="false" customHeight="false" outlineLevel="0" collapsed="false">
      <c r="A171" s="7"/>
      <c r="B171" s="2" t="n">
        <v>167</v>
      </c>
      <c r="C171" s="11" t="n">
        <v>15938</v>
      </c>
      <c r="D171" s="12" t="n">
        <v>144062</v>
      </c>
      <c r="E171" s="2" t="n">
        <v>5</v>
      </c>
      <c r="F171" s="13" t="n">
        <v>159995</v>
      </c>
      <c r="G171" s="2" t="n">
        <v>15938</v>
      </c>
      <c r="H171" s="12" t="n">
        <v>144062</v>
      </c>
    </row>
    <row r="172" customFormat="false" ht="15" hidden="false" customHeight="false" outlineLevel="0" collapsed="false">
      <c r="A172" s="7"/>
      <c r="B172" s="2" t="n">
        <v>168</v>
      </c>
      <c r="C172" s="11" t="n">
        <v>15925</v>
      </c>
      <c r="D172" s="12" t="n">
        <v>144075</v>
      </c>
      <c r="E172" s="2" t="n">
        <v>7</v>
      </c>
      <c r="F172" s="13" t="n">
        <v>159993</v>
      </c>
      <c r="G172" s="2" t="n">
        <v>15929</v>
      </c>
      <c r="H172" s="12" t="n">
        <v>144071</v>
      </c>
    </row>
    <row r="173" customFormat="false" ht="15" hidden="false" customHeight="false" outlineLevel="0" collapsed="false">
      <c r="A173" s="7"/>
      <c r="B173" s="2" t="n">
        <v>169</v>
      </c>
      <c r="C173" s="11" t="n">
        <v>15936</v>
      </c>
      <c r="D173" s="12" t="n">
        <v>144064</v>
      </c>
      <c r="E173" s="2" t="n">
        <v>60</v>
      </c>
      <c r="F173" s="13" t="n">
        <v>159940</v>
      </c>
      <c r="G173" s="2" t="n">
        <v>15942</v>
      </c>
      <c r="H173" s="12" t="n">
        <v>144058</v>
      </c>
    </row>
    <row r="174" customFormat="false" ht="15" hidden="false" customHeight="false" outlineLevel="0" collapsed="false">
      <c r="A174" s="7"/>
      <c r="B174" s="2" t="n">
        <v>170</v>
      </c>
      <c r="C174" s="11" t="n">
        <v>15925</v>
      </c>
      <c r="D174" s="12" t="n">
        <v>144075</v>
      </c>
      <c r="E174" s="2" t="n">
        <v>8</v>
      </c>
      <c r="F174" s="13" t="n">
        <v>159992</v>
      </c>
      <c r="G174" s="2" t="n">
        <v>15928</v>
      </c>
      <c r="H174" s="12" t="n">
        <v>144072</v>
      </c>
    </row>
    <row r="175" customFormat="false" ht="15" hidden="false" customHeight="false" outlineLevel="0" collapsed="false">
      <c r="A175" s="7"/>
      <c r="B175" s="2" t="n">
        <v>171</v>
      </c>
      <c r="C175" s="11" t="n">
        <v>15925</v>
      </c>
      <c r="D175" s="12" t="n">
        <v>144075</v>
      </c>
      <c r="E175" s="2" t="n">
        <v>8</v>
      </c>
      <c r="F175" s="13" t="n">
        <v>159992</v>
      </c>
      <c r="G175" s="2" t="n">
        <v>15928</v>
      </c>
      <c r="H175" s="12" t="n">
        <v>144072</v>
      </c>
    </row>
    <row r="176" customFormat="false" ht="15" hidden="false" customHeight="false" outlineLevel="0" collapsed="false">
      <c r="A176" s="7"/>
      <c r="B176" s="2" t="n">
        <v>172</v>
      </c>
      <c r="C176" s="11" t="n">
        <v>15924</v>
      </c>
      <c r="D176" s="12" t="n">
        <v>144076</v>
      </c>
      <c r="E176" s="2" t="n">
        <v>29</v>
      </c>
      <c r="F176" s="13" t="n">
        <v>159971</v>
      </c>
      <c r="G176" s="2" t="n">
        <v>15925</v>
      </c>
      <c r="H176" s="12" t="n">
        <v>144075</v>
      </c>
    </row>
    <row r="177" customFormat="false" ht="15" hidden="false" customHeight="false" outlineLevel="0" collapsed="false">
      <c r="A177" s="7"/>
      <c r="B177" s="2" t="n">
        <v>173</v>
      </c>
      <c r="C177" s="11" t="n">
        <v>15925</v>
      </c>
      <c r="D177" s="12" t="n">
        <v>144075</v>
      </c>
      <c r="E177" s="2" t="n">
        <v>6</v>
      </c>
      <c r="F177" s="13" t="n">
        <v>159994</v>
      </c>
      <c r="G177" s="2" t="n">
        <v>15928</v>
      </c>
      <c r="H177" s="12" t="n">
        <v>144072</v>
      </c>
    </row>
    <row r="178" customFormat="false" ht="15" hidden="false" customHeight="false" outlineLevel="0" collapsed="false">
      <c r="A178" s="7"/>
      <c r="B178" s="2" t="n">
        <v>174</v>
      </c>
      <c r="C178" s="11" t="n">
        <v>15925</v>
      </c>
      <c r="D178" s="12" t="n">
        <v>144075</v>
      </c>
      <c r="E178" s="2" t="n">
        <v>4</v>
      </c>
      <c r="F178" s="13" t="n">
        <v>159996</v>
      </c>
      <c r="G178" s="2" t="n">
        <v>15928</v>
      </c>
      <c r="H178" s="12" t="n">
        <v>144072</v>
      </c>
    </row>
    <row r="179" customFormat="false" ht="15" hidden="false" customHeight="false" outlineLevel="0" collapsed="false">
      <c r="A179" s="7"/>
      <c r="B179" s="2" t="n">
        <v>175</v>
      </c>
      <c r="C179" s="11" t="n">
        <v>15925</v>
      </c>
      <c r="D179" s="12" t="n">
        <v>144075</v>
      </c>
      <c r="E179" s="2" t="n">
        <v>7</v>
      </c>
      <c r="F179" s="13" t="n">
        <v>159993</v>
      </c>
      <c r="G179" s="2" t="n">
        <v>15928</v>
      </c>
      <c r="H179" s="12" t="n">
        <v>144072</v>
      </c>
    </row>
    <row r="180" customFormat="false" ht="15" hidden="false" customHeight="false" outlineLevel="0" collapsed="false">
      <c r="A180" s="7"/>
      <c r="B180" s="2" t="n">
        <v>176</v>
      </c>
      <c r="C180" s="11" t="n">
        <v>15925</v>
      </c>
      <c r="D180" s="12" t="n">
        <v>144075</v>
      </c>
      <c r="E180" s="2" t="n">
        <v>5</v>
      </c>
      <c r="F180" s="13" t="n">
        <v>159995</v>
      </c>
      <c r="G180" s="2" t="n">
        <v>15929</v>
      </c>
      <c r="H180" s="12" t="n">
        <v>144071</v>
      </c>
    </row>
    <row r="181" customFormat="false" ht="15" hidden="false" customHeight="false" outlineLevel="0" collapsed="false">
      <c r="A181" s="7"/>
      <c r="B181" s="2" t="n">
        <v>177</v>
      </c>
      <c r="C181" s="11" t="n">
        <v>15925</v>
      </c>
      <c r="D181" s="12" t="n">
        <v>144075</v>
      </c>
      <c r="E181" s="2" t="n">
        <v>9</v>
      </c>
      <c r="F181" s="13" t="n">
        <v>159991</v>
      </c>
      <c r="G181" s="2" t="n">
        <v>15929</v>
      </c>
      <c r="H181" s="12" t="n">
        <v>144071</v>
      </c>
    </row>
    <row r="182" customFormat="false" ht="15" hidden="false" customHeight="false" outlineLevel="0" collapsed="false">
      <c r="A182" s="7"/>
      <c r="B182" s="2" t="n">
        <v>178</v>
      </c>
      <c r="C182" s="11" t="n">
        <v>15925</v>
      </c>
      <c r="D182" s="12" t="n">
        <v>144075</v>
      </c>
      <c r="E182" s="2" t="n">
        <v>12</v>
      </c>
      <c r="F182" s="13" t="n">
        <v>159988</v>
      </c>
      <c r="G182" s="2" t="n">
        <v>15929</v>
      </c>
      <c r="H182" s="12" t="n">
        <v>144071</v>
      </c>
    </row>
    <row r="183" customFormat="false" ht="15" hidden="false" customHeight="false" outlineLevel="0" collapsed="false">
      <c r="A183" s="7"/>
      <c r="B183" s="2" t="n">
        <v>179</v>
      </c>
      <c r="C183" s="11" t="n">
        <v>16014</v>
      </c>
      <c r="D183" s="12" t="n">
        <v>143986</v>
      </c>
      <c r="E183" s="2" t="n">
        <v>44</v>
      </c>
      <c r="F183" s="13" t="n">
        <v>159956</v>
      </c>
      <c r="G183" s="2" t="n">
        <v>16012</v>
      </c>
      <c r="H183" s="12" t="n">
        <v>143988</v>
      </c>
    </row>
    <row r="184" customFormat="false" ht="15" hidden="false" customHeight="false" outlineLevel="0" collapsed="false">
      <c r="A184" s="7"/>
      <c r="B184" s="2" t="n">
        <v>180</v>
      </c>
      <c r="C184" s="11" t="n">
        <v>15925</v>
      </c>
      <c r="D184" s="12" t="n">
        <v>144075</v>
      </c>
      <c r="E184" s="2" t="n">
        <v>10</v>
      </c>
      <c r="F184" s="13" t="n">
        <v>159990</v>
      </c>
      <c r="G184" s="2" t="n">
        <v>15929</v>
      </c>
      <c r="H184" s="12" t="n">
        <v>144071</v>
      </c>
    </row>
    <row r="185" customFormat="false" ht="15" hidden="false" customHeight="false" outlineLevel="0" collapsed="false">
      <c r="A185" s="7"/>
      <c r="B185" s="2" t="n">
        <v>181</v>
      </c>
      <c r="C185" s="11" t="n">
        <v>15925</v>
      </c>
      <c r="D185" s="12" t="n">
        <v>144075</v>
      </c>
      <c r="E185" s="2" t="n">
        <v>31</v>
      </c>
      <c r="F185" s="13" t="n">
        <v>159969</v>
      </c>
      <c r="G185" s="2" t="n">
        <v>15929</v>
      </c>
      <c r="H185" s="12" t="n">
        <v>144071</v>
      </c>
    </row>
    <row r="186" customFormat="false" ht="15" hidden="false" customHeight="false" outlineLevel="0" collapsed="false">
      <c r="A186" s="7"/>
      <c r="B186" s="2" t="n">
        <v>182</v>
      </c>
      <c r="C186" s="11" t="n">
        <v>15924</v>
      </c>
      <c r="D186" s="12" t="n">
        <v>144076</v>
      </c>
      <c r="E186" s="2" t="n">
        <v>30</v>
      </c>
      <c r="F186" s="13" t="n">
        <v>159970</v>
      </c>
      <c r="G186" s="2" t="n">
        <v>15928</v>
      </c>
      <c r="H186" s="12" t="n">
        <v>144072</v>
      </c>
    </row>
    <row r="187" customFormat="false" ht="15" hidden="false" customHeight="false" outlineLevel="0" collapsed="false">
      <c r="A187" s="7"/>
      <c r="B187" s="2" t="n">
        <v>183</v>
      </c>
      <c r="C187" s="11" t="n">
        <v>15925</v>
      </c>
      <c r="D187" s="12" t="n">
        <v>144075</v>
      </c>
      <c r="E187" s="2" t="n">
        <v>7</v>
      </c>
      <c r="F187" s="13" t="n">
        <v>159993</v>
      </c>
      <c r="G187" s="2" t="n">
        <v>15929</v>
      </c>
      <c r="H187" s="12" t="n">
        <v>144071</v>
      </c>
    </row>
    <row r="188" customFormat="false" ht="15" hidden="false" customHeight="false" outlineLevel="0" collapsed="false">
      <c r="A188" s="7"/>
      <c r="B188" s="2" t="n">
        <v>184</v>
      </c>
      <c r="C188" s="11" t="n">
        <v>15924</v>
      </c>
      <c r="D188" s="12" t="n">
        <v>144076</v>
      </c>
      <c r="E188" s="2" t="n">
        <v>730</v>
      </c>
      <c r="F188" s="13" t="n">
        <v>159270</v>
      </c>
      <c r="G188" s="2" t="n">
        <v>15928</v>
      </c>
      <c r="H188" s="12" t="n">
        <v>144072</v>
      </c>
    </row>
    <row r="189" customFormat="false" ht="15" hidden="false" customHeight="false" outlineLevel="0" collapsed="false">
      <c r="A189" s="7"/>
      <c r="B189" s="2" t="n">
        <v>185</v>
      </c>
      <c r="C189" s="11" t="n">
        <v>15939</v>
      </c>
      <c r="D189" s="12" t="n">
        <v>144061</v>
      </c>
      <c r="E189" s="2" t="n">
        <v>11</v>
      </c>
      <c r="F189" s="13" t="n">
        <v>159989</v>
      </c>
      <c r="G189" s="2" t="n">
        <v>15939</v>
      </c>
      <c r="H189" s="12" t="n">
        <v>144061</v>
      </c>
    </row>
    <row r="190" customFormat="false" ht="15" hidden="false" customHeight="false" outlineLevel="0" collapsed="false">
      <c r="A190" s="7"/>
      <c r="B190" s="2" t="n">
        <v>186</v>
      </c>
      <c r="C190" s="11" t="n">
        <v>15924</v>
      </c>
      <c r="D190" s="12" t="n">
        <v>144076</v>
      </c>
      <c r="E190" s="2" t="n">
        <v>20</v>
      </c>
      <c r="F190" s="13" t="n">
        <v>159980</v>
      </c>
      <c r="G190" s="2" t="n">
        <v>15926</v>
      </c>
      <c r="H190" s="12" t="n">
        <v>144074</v>
      </c>
    </row>
    <row r="191" customFormat="false" ht="15" hidden="false" customHeight="false" outlineLevel="0" collapsed="false">
      <c r="A191" s="7"/>
      <c r="B191" s="2" t="n">
        <v>187</v>
      </c>
      <c r="C191" s="11" t="n">
        <v>15925</v>
      </c>
      <c r="D191" s="12" t="n">
        <v>144075</v>
      </c>
      <c r="E191" s="2" t="n">
        <v>11</v>
      </c>
      <c r="F191" s="13" t="n">
        <v>159989</v>
      </c>
      <c r="G191" s="2" t="n">
        <v>15928</v>
      </c>
      <c r="H191" s="12" t="n">
        <v>144072</v>
      </c>
    </row>
    <row r="192" customFormat="false" ht="15" hidden="false" customHeight="false" outlineLevel="0" collapsed="false">
      <c r="A192" s="7"/>
      <c r="B192" s="2" t="n">
        <v>188</v>
      </c>
      <c r="C192" s="11" t="n">
        <v>15925</v>
      </c>
      <c r="D192" s="12" t="n">
        <v>144075</v>
      </c>
      <c r="E192" s="2" t="n">
        <v>67</v>
      </c>
      <c r="F192" s="13" t="n">
        <v>159933</v>
      </c>
      <c r="G192" s="2" t="n">
        <v>15928</v>
      </c>
      <c r="H192" s="12" t="n">
        <v>144072</v>
      </c>
    </row>
    <row r="193" customFormat="false" ht="15" hidden="false" customHeight="false" outlineLevel="0" collapsed="false">
      <c r="A193" s="7"/>
      <c r="B193" s="2" t="n">
        <v>189</v>
      </c>
      <c r="C193" s="11" t="n">
        <v>15925</v>
      </c>
      <c r="D193" s="12" t="n">
        <v>144075</v>
      </c>
      <c r="E193" s="2" t="n">
        <v>1104</v>
      </c>
      <c r="F193" s="13" t="n">
        <v>158896</v>
      </c>
      <c r="G193" s="2" t="n">
        <v>15929</v>
      </c>
      <c r="H193" s="12" t="n">
        <v>144071</v>
      </c>
    </row>
    <row r="194" customFormat="false" ht="15" hidden="false" customHeight="false" outlineLevel="0" collapsed="false">
      <c r="A194" s="7"/>
      <c r="B194" s="2" t="n">
        <v>190</v>
      </c>
      <c r="C194" s="11" t="n">
        <v>15924</v>
      </c>
      <c r="D194" s="12" t="n">
        <v>144076</v>
      </c>
      <c r="E194" s="2" t="n">
        <v>80</v>
      </c>
      <c r="F194" s="13" t="n">
        <v>159920</v>
      </c>
      <c r="G194" s="2" t="n">
        <v>15927</v>
      </c>
      <c r="H194" s="12" t="n">
        <v>144073</v>
      </c>
    </row>
    <row r="195" customFormat="false" ht="15" hidden="false" customHeight="false" outlineLevel="0" collapsed="false">
      <c r="A195" s="7"/>
      <c r="B195" s="2" t="n">
        <v>191</v>
      </c>
      <c r="C195" s="11" t="n">
        <v>15925</v>
      </c>
      <c r="D195" s="12" t="n">
        <v>144075</v>
      </c>
      <c r="E195" s="2" t="n">
        <v>6</v>
      </c>
      <c r="F195" s="13" t="n">
        <v>159994</v>
      </c>
      <c r="G195" s="2" t="n">
        <v>15927</v>
      </c>
      <c r="H195" s="12" t="n">
        <v>144073</v>
      </c>
    </row>
    <row r="196" customFormat="false" ht="15" hidden="false" customHeight="false" outlineLevel="0" collapsed="false">
      <c r="A196" s="7"/>
      <c r="B196" s="2" t="n">
        <v>192</v>
      </c>
      <c r="C196" s="11" t="n">
        <v>15925</v>
      </c>
      <c r="D196" s="12" t="n">
        <v>144075</v>
      </c>
      <c r="E196" s="2" t="n">
        <v>1409</v>
      </c>
      <c r="F196" s="13" t="n">
        <v>158591</v>
      </c>
      <c r="G196" s="2" t="n">
        <v>15927</v>
      </c>
      <c r="H196" s="12" t="n">
        <v>144073</v>
      </c>
    </row>
    <row r="197" customFormat="false" ht="15" hidden="false" customHeight="false" outlineLevel="0" collapsed="false">
      <c r="A197" s="7"/>
      <c r="B197" s="2" t="n">
        <v>193</v>
      </c>
      <c r="C197" s="11" t="n">
        <v>15924</v>
      </c>
      <c r="D197" s="12" t="n">
        <v>144076</v>
      </c>
      <c r="E197" s="2" t="n">
        <v>747</v>
      </c>
      <c r="F197" s="13" t="n">
        <v>159253</v>
      </c>
      <c r="G197" s="2" t="n">
        <v>15927</v>
      </c>
      <c r="H197" s="12" t="n">
        <v>144073</v>
      </c>
    </row>
    <row r="198" customFormat="false" ht="15" hidden="false" customHeight="false" outlineLevel="0" collapsed="false">
      <c r="A198" s="7"/>
      <c r="B198" s="2" t="n">
        <v>194</v>
      </c>
      <c r="C198" s="11" t="n">
        <v>15925</v>
      </c>
      <c r="D198" s="12" t="n">
        <v>144075</v>
      </c>
      <c r="E198" s="2" t="n">
        <v>5</v>
      </c>
      <c r="F198" s="13" t="n">
        <v>159995</v>
      </c>
      <c r="G198" s="2" t="n">
        <v>15927</v>
      </c>
      <c r="H198" s="12" t="n">
        <v>144073</v>
      </c>
    </row>
    <row r="199" customFormat="false" ht="15" hidden="false" customHeight="false" outlineLevel="0" collapsed="false">
      <c r="A199" s="7"/>
      <c r="B199" s="2" t="n">
        <v>195</v>
      </c>
      <c r="C199" s="11" t="n">
        <v>15924</v>
      </c>
      <c r="D199" s="12" t="n">
        <v>144076</v>
      </c>
      <c r="E199" s="2" t="n">
        <v>18</v>
      </c>
      <c r="F199" s="13" t="n">
        <v>159982</v>
      </c>
      <c r="G199" s="2" t="n">
        <v>15928</v>
      </c>
      <c r="H199" s="12" t="n">
        <v>144072</v>
      </c>
    </row>
    <row r="200" customFormat="false" ht="15" hidden="false" customHeight="false" outlineLevel="0" collapsed="false">
      <c r="A200" s="7"/>
      <c r="B200" s="2" t="n">
        <v>196</v>
      </c>
      <c r="C200" s="11" t="n">
        <v>15925</v>
      </c>
      <c r="D200" s="12" t="n">
        <v>144075</v>
      </c>
      <c r="E200" s="2" t="n">
        <v>682</v>
      </c>
      <c r="F200" s="13" t="n">
        <v>159318</v>
      </c>
      <c r="G200" s="2" t="n">
        <v>15930</v>
      </c>
      <c r="H200" s="12" t="n">
        <v>144070</v>
      </c>
    </row>
    <row r="201" customFormat="false" ht="15" hidden="false" customHeight="false" outlineLevel="0" collapsed="false">
      <c r="A201" s="7"/>
      <c r="B201" s="2" t="n">
        <v>197</v>
      </c>
      <c r="C201" s="11" t="n">
        <v>15925</v>
      </c>
      <c r="D201" s="12" t="n">
        <v>144075</v>
      </c>
      <c r="E201" s="2" t="n">
        <v>14</v>
      </c>
      <c r="F201" s="13" t="n">
        <v>159986</v>
      </c>
      <c r="G201" s="2" t="n">
        <v>15928</v>
      </c>
      <c r="H201" s="12" t="n">
        <v>144072</v>
      </c>
    </row>
    <row r="202" customFormat="false" ht="15" hidden="false" customHeight="false" outlineLevel="0" collapsed="false">
      <c r="A202" s="7"/>
      <c r="B202" s="2" t="n">
        <v>198</v>
      </c>
      <c r="C202" s="11" t="n">
        <v>15924</v>
      </c>
      <c r="D202" s="12" t="n">
        <v>144076</v>
      </c>
      <c r="E202" s="2" t="n">
        <v>24</v>
      </c>
      <c r="F202" s="13" t="n">
        <v>159976</v>
      </c>
      <c r="G202" s="2" t="n">
        <v>15929</v>
      </c>
      <c r="H202" s="12" t="n">
        <v>144071</v>
      </c>
    </row>
    <row r="203" customFormat="false" ht="15" hidden="false" customHeight="false" outlineLevel="0" collapsed="false">
      <c r="A203" s="7"/>
      <c r="B203" s="2" t="n">
        <v>199</v>
      </c>
      <c r="C203" s="11" t="n">
        <v>15925</v>
      </c>
      <c r="D203" s="12" t="n">
        <v>144075</v>
      </c>
      <c r="E203" s="2" t="n">
        <v>155</v>
      </c>
      <c r="F203" s="13" t="n">
        <v>159845</v>
      </c>
      <c r="G203" s="2" t="n">
        <v>15928</v>
      </c>
      <c r="H203" s="12" t="n">
        <v>144072</v>
      </c>
    </row>
    <row r="204" customFormat="false" ht="15" hidden="false" customHeight="false" outlineLevel="0" collapsed="false">
      <c r="A204" s="7"/>
      <c r="B204" s="14" t="s">
        <v>8</v>
      </c>
      <c r="C204" s="15" t="n">
        <f aca="false">SUM(C4:C203)</f>
        <v>3186352</v>
      </c>
      <c r="D204" s="16" t="n">
        <f aca="false">SUM(D4:D203)</f>
        <v>28813648</v>
      </c>
      <c r="E204" s="17" t="n">
        <f aca="false">SUM(E4:E203)</f>
        <v>41733</v>
      </c>
      <c r="F204" s="18" t="n">
        <f aca="false">SUM(F4:F203)</f>
        <v>31958267</v>
      </c>
      <c r="G204" s="17" t="n">
        <f aca="false">SUM(G4:G203)</f>
        <v>3186867</v>
      </c>
      <c r="H204" s="16" t="n">
        <f aca="false">SUM(H4:H203)</f>
        <v>28813133</v>
      </c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</row>
    <row r="209" customFormat="false" ht="15" hidden="false" customHeight="false" outlineLevel="0" collapsed="false">
      <c r="A209" s="2"/>
      <c r="B209" s="19" t="s">
        <v>0</v>
      </c>
      <c r="C209" s="20" t="s">
        <v>9</v>
      </c>
      <c r="D209" s="20"/>
      <c r="E209" s="20"/>
      <c r="F209" s="20"/>
      <c r="G209" s="20"/>
      <c r="H209" s="20"/>
    </row>
    <row r="210" customFormat="false" ht="15" hidden="false" customHeight="false" outlineLevel="0" collapsed="false">
      <c r="A210" s="2"/>
      <c r="B210" s="19"/>
      <c r="C210" s="21" t="s">
        <v>3</v>
      </c>
      <c r="D210" s="21"/>
      <c r="E210" s="21"/>
      <c r="F210" s="6" t="s">
        <v>4</v>
      </c>
      <c r="G210" s="6"/>
      <c r="H210" s="6"/>
    </row>
    <row r="211" customFormat="false" ht="15" hidden="false" customHeight="false" outlineLevel="0" collapsed="false">
      <c r="A211" s="7" t="s">
        <v>5</v>
      </c>
      <c r="B211" s="19"/>
      <c r="C211" s="22" t="str">
        <f aca="false">E3</f>
        <v>#e65a49</v>
      </c>
      <c r="D211" s="23" t="str">
        <f aca="false">F3</f>
        <v>#ffffff</v>
      </c>
      <c r="E211" s="24"/>
      <c r="F211" s="8" t="str">
        <f aca="false">G3</f>
        <v>#e65a49</v>
      </c>
      <c r="G211" s="23" t="str">
        <f aca="false">H3</f>
        <v>#ffffff</v>
      </c>
      <c r="H211" s="24"/>
    </row>
    <row r="212" customFormat="false" ht="15" hidden="false" customHeight="false" outlineLevel="0" collapsed="false">
      <c r="A212" s="7"/>
      <c r="B212" s="25" t="n">
        <v>0</v>
      </c>
      <c r="C212" s="11" t="n">
        <f aca="false">(ABS(C4-E4)/C4)*100</f>
        <v>0</v>
      </c>
      <c r="D212" s="25" t="n">
        <f aca="false">(ABS(D4-F4)/D4)*100</f>
        <v>0</v>
      </c>
      <c r="E212" s="24"/>
      <c r="F212" s="25" t="n">
        <f aca="false">(ABS(C4-G4)/C4)*100</f>
        <v>0</v>
      </c>
      <c r="G212" s="25" t="n">
        <f aca="false">(ABS(D4-H4)/D4)*100</f>
        <v>0</v>
      </c>
      <c r="H212" s="24"/>
    </row>
    <row r="213" customFormat="false" ht="15" hidden="false" customHeight="false" outlineLevel="0" collapsed="false">
      <c r="A213" s="7"/>
      <c r="B213" s="25" t="n">
        <v>1</v>
      </c>
      <c r="C213" s="11" t="n">
        <f aca="false">(ABS(C5-E5)/C5)*100</f>
        <v>96.7470484802813</v>
      </c>
      <c r="D213" s="25" t="n">
        <f aca="false">(ABS(D5-F5)/D5)*100</f>
        <v>10.6929676004331</v>
      </c>
      <c r="E213" s="24"/>
      <c r="F213" s="25" t="n">
        <f aca="false">(ABS(C5-G5)/C5)*100</f>
        <v>0.00627982918864607</v>
      </c>
      <c r="G213" s="25" t="n">
        <f aca="false">(ABS(D5-H5)/D5)*100</f>
        <v>0.000694078125433799</v>
      </c>
      <c r="H213" s="24"/>
    </row>
    <row r="214" customFormat="false" ht="15" hidden="false" customHeight="false" outlineLevel="0" collapsed="false">
      <c r="A214" s="7"/>
      <c r="B214" s="25" t="n">
        <v>2</v>
      </c>
      <c r="C214" s="11" t="n">
        <f aca="false">(ABS(C6-E6)/C6)*100</f>
        <v>99.9748822605965</v>
      </c>
      <c r="D214" s="25" t="n">
        <f aca="false">(ABS(D6-F6)/D6)*100</f>
        <v>11.0504945340968</v>
      </c>
      <c r="E214" s="24"/>
      <c r="F214" s="25" t="n">
        <f aca="false">(ABS(C6-G6)/C6)*100</f>
        <v>0.0251177394034537</v>
      </c>
      <c r="G214" s="25" t="n">
        <f aca="false">(ABS(D6-H6)/D6)*100</f>
        <v>0.00277633177164671</v>
      </c>
      <c r="H214" s="24"/>
    </row>
    <row r="215" customFormat="false" ht="15" hidden="false" customHeight="false" outlineLevel="0" collapsed="false">
      <c r="A215" s="7"/>
      <c r="B215" s="25" t="n">
        <v>3</v>
      </c>
      <c r="C215" s="11" t="n">
        <f aca="false">(ABS(C7-E7)/C7)*100</f>
        <v>100</v>
      </c>
      <c r="D215" s="25" t="n">
        <f aca="false">(ABS(D7-F7)/D7)*100</f>
        <v>11.0532708658685</v>
      </c>
      <c r="E215" s="24"/>
      <c r="F215" s="25" t="n">
        <f aca="false">(ABS(C7-G7)/C7)*100</f>
        <v>0.0313971742543171</v>
      </c>
      <c r="G215" s="25" t="n">
        <f aca="false">(ABS(D7-H7)/D7)*100</f>
        <v>0.00347041471455839</v>
      </c>
      <c r="H215" s="24"/>
    </row>
    <row r="216" customFormat="false" ht="15" hidden="false" customHeight="false" outlineLevel="0" collapsed="false">
      <c r="A216" s="7"/>
      <c r="B216" s="25" t="n">
        <v>4</v>
      </c>
      <c r="C216" s="11" t="n">
        <f aca="false">(ABS(C8-E8)/C8)*100</f>
        <v>99.7825816871661</v>
      </c>
      <c r="D216" s="25" t="n">
        <f aca="false">(ABS(D8-F8)/D8)*100</f>
        <v>11.1624577837695</v>
      </c>
      <c r="E216" s="24"/>
      <c r="F216" s="25" t="n">
        <f aca="false">(ABS(C8-G8)/C8)*100</f>
        <v>0.0124239035905081</v>
      </c>
      <c r="G216" s="25" t="n">
        <f aca="false">(ABS(D8-H8)/D8)*100</f>
        <v>0.00138983474864839</v>
      </c>
      <c r="H216" s="24"/>
    </row>
    <row r="217" customFormat="false" ht="15" hidden="false" customHeight="false" outlineLevel="0" collapsed="false">
      <c r="A217" s="7"/>
      <c r="B217" s="25" t="n">
        <v>5</v>
      </c>
      <c r="C217" s="11" t="n">
        <f aca="false">(ABS(C9-E9)/C9)*100</f>
        <v>99.9748822605965</v>
      </c>
      <c r="D217" s="25" t="n">
        <f aca="false">(ABS(D9-F9)/D9)*100</f>
        <v>11.0504945340968</v>
      </c>
      <c r="E217" s="24"/>
      <c r="F217" s="25" t="n">
        <f aca="false">(ABS(C9-G9)/C9)*100</f>
        <v>0.0188383045525903</v>
      </c>
      <c r="G217" s="25" t="n">
        <f aca="false">(ABS(D9-H9)/D9)*100</f>
        <v>0.00208224882873503</v>
      </c>
      <c r="H217" s="24"/>
    </row>
    <row r="218" customFormat="false" ht="15" hidden="false" customHeight="false" outlineLevel="0" collapsed="false">
      <c r="A218" s="7"/>
      <c r="B218" s="25" t="n">
        <v>6</v>
      </c>
      <c r="C218" s="11" t="n">
        <f aca="false">(ABS(C10-E10)/C10)*100</f>
        <v>100</v>
      </c>
      <c r="D218" s="25" t="n">
        <f aca="false">(ABS(D10-F10)/D10)*100</f>
        <v>11.0532708658685</v>
      </c>
      <c r="E218" s="24"/>
      <c r="F218" s="25" t="n">
        <f aca="false">(ABS(C10-G10)/C10)*100</f>
        <v>0.0313971742543171</v>
      </c>
      <c r="G218" s="25" t="n">
        <f aca="false">(ABS(D10-H10)/D10)*100</f>
        <v>0.00347041471455839</v>
      </c>
      <c r="H218" s="24"/>
    </row>
    <row r="219" customFormat="false" ht="15" hidden="false" customHeight="false" outlineLevel="0" collapsed="false">
      <c r="A219" s="7"/>
      <c r="B219" s="25" t="n">
        <v>7</v>
      </c>
      <c r="C219" s="11" t="n">
        <f aca="false">(ABS(C11-E11)/C11)*100</f>
        <v>99.9748822605965</v>
      </c>
      <c r="D219" s="25" t="n">
        <f aca="false">(ABS(D11-F11)/D11)*100</f>
        <v>11.0504945340968</v>
      </c>
      <c r="E219" s="24"/>
      <c r="F219" s="25" t="n">
        <f aca="false">(ABS(C11-G11)/C11)*100</f>
        <v>0.0251177394034537</v>
      </c>
      <c r="G219" s="25" t="n">
        <f aca="false">(ABS(D11-H11)/D11)*100</f>
        <v>0.00277633177164671</v>
      </c>
      <c r="H219" s="24"/>
    </row>
    <row r="220" customFormat="false" ht="15" hidden="false" customHeight="false" outlineLevel="0" collapsed="false">
      <c r="A220" s="7"/>
      <c r="B220" s="25" t="n">
        <v>8</v>
      </c>
      <c r="C220" s="11" t="n">
        <f aca="false">(ABS(C12-E12)/C12)*100</f>
        <v>99.9874411302983</v>
      </c>
      <c r="D220" s="25" t="n">
        <f aca="false">(ABS(D12-F12)/D12)*100</f>
        <v>11.0518826999826</v>
      </c>
      <c r="E220" s="24"/>
      <c r="F220" s="25" t="n">
        <f aca="false">(ABS(C12-G12)/C12)*100</f>
        <v>0.0251177394034537</v>
      </c>
      <c r="G220" s="25" t="n">
        <f aca="false">(ABS(D12-H12)/D12)*100</f>
        <v>0.00277633177164671</v>
      </c>
      <c r="H220" s="24"/>
    </row>
    <row r="221" customFormat="false" ht="15" hidden="false" customHeight="false" outlineLevel="0" collapsed="false">
      <c r="A221" s="7"/>
      <c r="B221" s="25" t="n">
        <v>9</v>
      </c>
      <c r="C221" s="11" t="n">
        <f aca="false">(ABS(C13-E13)/C13)*100</f>
        <v>100</v>
      </c>
      <c r="D221" s="25" t="n">
        <f aca="false">(ABS(D13-F13)/D13)*100</f>
        <v>11.0532708658685</v>
      </c>
      <c r="E221" s="24"/>
      <c r="F221" s="25" t="n">
        <f aca="false">(ABS(C13-G13)/C13)*100</f>
        <v>0.0251177394034537</v>
      </c>
      <c r="G221" s="25" t="n">
        <f aca="false">(ABS(D13-H13)/D13)*100</f>
        <v>0.00277633177164671</v>
      </c>
      <c r="H221" s="24"/>
    </row>
    <row r="222" customFormat="false" ht="15" hidden="false" customHeight="false" outlineLevel="0" collapsed="false">
      <c r="A222" s="7"/>
      <c r="B222" s="25" t="n">
        <v>10</v>
      </c>
      <c r="C222" s="11" t="n">
        <f aca="false">(ABS(C14-E14)/C14)*100</f>
        <v>99.9560411956795</v>
      </c>
      <c r="D222" s="25" t="n">
        <f aca="false">(ABS(D14-F14)/D14)*100</f>
        <v>11.0476415225298</v>
      </c>
      <c r="E222" s="24"/>
      <c r="F222" s="25" t="n">
        <f aca="false">(ABS(C14-G14)/C14)*100</f>
        <v>0.0125596583772921</v>
      </c>
      <c r="G222" s="25" t="n">
        <f aca="false">(ABS(D14-H14)/D14)*100</f>
        <v>0.0013881562508676</v>
      </c>
      <c r="H222" s="24"/>
    </row>
    <row r="223" customFormat="false" ht="15" hidden="false" customHeight="false" outlineLevel="0" collapsed="false">
      <c r="A223" s="7"/>
      <c r="B223" s="25" t="n">
        <v>11</v>
      </c>
      <c r="C223" s="11" t="n">
        <f aca="false">(ABS(C15-E15)/C15)*100</f>
        <v>99.9497645211931</v>
      </c>
      <c r="D223" s="25" t="n">
        <f aca="false">(ABS(D15-F15)/D15)*100</f>
        <v>11.0477182023252</v>
      </c>
      <c r="E223" s="24"/>
      <c r="F223" s="25" t="n">
        <f aca="false">(ABS(C15-G15)/C15)*100</f>
        <v>0.0251177394034537</v>
      </c>
      <c r="G223" s="25" t="n">
        <f aca="false">(ABS(D15-H15)/D15)*100</f>
        <v>0.00277633177164671</v>
      </c>
      <c r="H223" s="24"/>
    </row>
    <row r="224" customFormat="false" ht="15" hidden="false" customHeight="false" outlineLevel="0" collapsed="false">
      <c r="A224" s="7"/>
      <c r="B224" s="25" t="n">
        <v>12</v>
      </c>
      <c r="C224" s="11" t="n">
        <f aca="false">(ABS(C16-E16)/C16)*100</f>
        <v>99.8367244410952</v>
      </c>
      <c r="D224" s="25" t="n">
        <f aca="false">(ABS(D16-F16)/D16)*100</f>
        <v>11.0344540381465</v>
      </c>
      <c r="E224" s="24"/>
      <c r="F224" s="25" t="n">
        <f aca="false">(ABS(C16-G16)/C16)*100</f>
        <v>0.0188394875659382</v>
      </c>
      <c r="G224" s="25" t="n">
        <f aca="false">(ABS(D16-H16)/D16)*100</f>
        <v>0.0020822343763014</v>
      </c>
      <c r="H224" s="24"/>
    </row>
    <row r="225" customFormat="false" ht="15" hidden="false" customHeight="false" outlineLevel="0" collapsed="false">
      <c r="A225" s="7"/>
      <c r="B225" s="25" t="n">
        <v>13</v>
      </c>
      <c r="C225" s="11" t="n">
        <f aca="false">(ABS(C17-E17)/C17)*100</f>
        <v>100</v>
      </c>
      <c r="D225" s="25" t="n">
        <f aca="false">(ABS(D17-F17)/D17)*100</f>
        <v>11.0532708658685</v>
      </c>
      <c r="E225" s="24"/>
      <c r="F225" s="25" t="n">
        <f aca="false">(ABS(C17-G17)/C17)*100</f>
        <v>0.0125588697017268</v>
      </c>
      <c r="G225" s="25" t="n">
        <f aca="false">(ABS(D17-H17)/D17)*100</f>
        <v>0.00138816588582336</v>
      </c>
      <c r="H225" s="24"/>
    </row>
    <row r="226" customFormat="false" ht="15" hidden="false" customHeight="false" outlineLevel="0" collapsed="false">
      <c r="A226" s="7"/>
      <c r="B226" s="25" t="n">
        <v>14</v>
      </c>
      <c r="C226" s="11" t="n">
        <f aca="false">(ABS(C18-E18)/C18)*100</f>
        <v>99.3029827315542</v>
      </c>
      <c r="D226" s="25" t="n">
        <f aca="false">(ABS(D18-F18)/D18)*100</f>
        <v>10.9762276592053</v>
      </c>
      <c r="E226" s="24"/>
      <c r="F226" s="25" t="n">
        <f aca="false">(ABS(C18-G18)/C18)*100</f>
        <v>0.0125588697017268</v>
      </c>
      <c r="G226" s="25" t="n">
        <f aca="false">(ABS(D18-H18)/D18)*100</f>
        <v>0.00138816588582336</v>
      </c>
      <c r="H226" s="24"/>
    </row>
    <row r="227" customFormat="false" ht="15" hidden="false" customHeight="false" outlineLevel="0" collapsed="false">
      <c r="A227" s="7"/>
      <c r="B227" s="25" t="n">
        <v>15</v>
      </c>
      <c r="C227" s="11" t="n">
        <f aca="false">(ABS(C19-E19)/C19)*100</f>
        <v>96.6716905300176</v>
      </c>
      <c r="D227" s="25" t="n">
        <f aca="false">(ABS(D19-F19)/D19)*100</f>
        <v>10.6846386629279</v>
      </c>
      <c r="E227" s="24"/>
      <c r="F227" s="25" t="n">
        <f aca="false">(ABS(C19-G19)/C19)*100</f>
        <v>0.0188394875659382</v>
      </c>
      <c r="G227" s="25" t="n">
        <f aca="false">(ABS(D19-H19)/D19)*100</f>
        <v>0.0020822343763014</v>
      </c>
      <c r="H227" s="24"/>
    </row>
    <row r="228" customFormat="false" ht="15" hidden="false" customHeight="false" outlineLevel="0" collapsed="false">
      <c r="A228" s="7"/>
      <c r="B228" s="25" t="n">
        <v>16</v>
      </c>
      <c r="C228" s="11" t="n">
        <f aca="false">(ABS(C20-E20)/C20)*100</f>
        <v>99.9874411302983</v>
      </c>
      <c r="D228" s="25" t="n">
        <f aca="false">(ABS(D20-F20)/D20)*100</f>
        <v>11.0518826999826</v>
      </c>
      <c r="E228" s="24"/>
      <c r="F228" s="25" t="n">
        <f aca="false">(ABS(C20-G20)/C20)*100</f>
        <v>0.0125588697017268</v>
      </c>
      <c r="G228" s="25" t="n">
        <f aca="false">(ABS(D20-H20)/D20)*100</f>
        <v>0.00138816588582336</v>
      </c>
      <c r="H228" s="24"/>
    </row>
    <row r="229" customFormat="false" ht="15" hidden="false" customHeight="false" outlineLevel="0" collapsed="false">
      <c r="A229" s="7"/>
      <c r="B229" s="25" t="n">
        <v>17</v>
      </c>
      <c r="C229" s="11" t="n">
        <f aca="false">(ABS(C21-E21)/C21)*100</f>
        <v>99.9623233908948</v>
      </c>
      <c r="D229" s="25" t="n">
        <f aca="false">(ABS(D21-F21)/D21)*100</f>
        <v>11.049106368211</v>
      </c>
      <c r="E229" s="24"/>
      <c r="F229" s="25" t="n">
        <f aca="false">(ABS(C21-G21)/C21)*100</f>
        <v>0.0125588697017268</v>
      </c>
      <c r="G229" s="25" t="n">
        <f aca="false">(ABS(D21-H21)/D21)*100</f>
        <v>0.00138816588582336</v>
      </c>
      <c r="H229" s="24"/>
    </row>
    <row r="230" customFormat="false" ht="15" hidden="false" customHeight="false" outlineLevel="0" collapsed="false">
      <c r="A230" s="7"/>
      <c r="B230" s="25" t="n">
        <v>18</v>
      </c>
      <c r="C230" s="11" t="n">
        <f aca="false">(ABS(C22-E22)/C22)*100</f>
        <v>95.6454217915269</v>
      </c>
      <c r="D230" s="25" t="n">
        <f aca="false">(ABS(D22-F22)/D22)*100</f>
        <v>10.6996428124696</v>
      </c>
      <c r="E230" s="24"/>
      <c r="F230" s="25" t="n">
        <f aca="false">(ABS(C22-G22)/C22)*100</f>
        <v>0.0186358553857622</v>
      </c>
      <c r="G230" s="25" t="n">
        <f aca="false">(ABS(D22-H22)/D22)*100</f>
        <v>0.00208475212297258</v>
      </c>
      <c r="H230" s="24"/>
    </row>
    <row r="231" customFormat="false" ht="15" hidden="false" customHeight="false" outlineLevel="0" collapsed="false">
      <c r="A231" s="7"/>
      <c r="B231" s="25" t="n">
        <v>19</v>
      </c>
      <c r="C231" s="11" t="n">
        <f aca="false">(ABS(C23-E23)/C23)*100</f>
        <v>99.8492840994725</v>
      </c>
      <c r="D231" s="25" t="n">
        <f aca="false">(ABS(D23-F23)/D23)*100</f>
        <v>11.0358421943974</v>
      </c>
      <c r="E231" s="24"/>
      <c r="F231" s="25" t="n">
        <f aca="false">(ABS(C23-G23)/C23)*100</f>
        <v>0.0188394875659382</v>
      </c>
      <c r="G231" s="25" t="n">
        <f aca="false">(ABS(D23-H23)/D23)*100</f>
        <v>0.0020822343763014</v>
      </c>
      <c r="H231" s="24"/>
    </row>
    <row r="232" customFormat="false" ht="15" hidden="false" customHeight="false" outlineLevel="0" collapsed="false">
      <c r="A232" s="7"/>
      <c r="B232" s="25" t="n">
        <v>20</v>
      </c>
      <c r="C232" s="11" t="n">
        <f aca="false">(ABS(C24-E24)/C24)*100</f>
        <v>99.679748822606</v>
      </c>
      <c r="D232" s="25" t="n">
        <f aca="false">(ABS(D24-F24)/D24)*100</f>
        <v>11.01787263578</v>
      </c>
      <c r="E232" s="24"/>
      <c r="F232" s="25" t="n">
        <f aca="false">(ABS(C24-G24)/C24)*100</f>
        <v>0.00627943485086342</v>
      </c>
      <c r="G232" s="25" t="n">
        <f aca="false">(ABS(D24-H24)/D24)*100</f>
        <v>0.000694082942911678</v>
      </c>
      <c r="H232" s="24"/>
    </row>
    <row r="233" customFormat="false" ht="15" hidden="false" customHeight="false" outlineLevel="0" collapsed="false">
      <c r="A233" s="7"/>
      <c r="B233" s="25" t="n">
        <v>21</v>
      </c>
      <c r="C233" s="11" t="n">
        <f aca="false">(ABS(C25-E25)/C25)*100</f>
        <v>99.9686028257457</v>
      </c>
      <c r="D233" s="25" t="n">
        <f aca="false">(ABS(D25-F25)/D25)*100</f>
        <v>11.0498004511539</v>
      </c>
      <c r="E233" s="24"/>
      <c r="F233" s="25" t="n">
        <f aca="false">(ABS(C25-G25)/C25)*100</f>
        <v>0.00627943485086342</v>
      </c>
      <c r="G233" s="25" t="n">
        <f aca="false">(ABS(D25-H25)/D25)*100</f>
        <v>0.000694082942911678</v>
      </c>
      <c r="H233" s="24"/>
    </row>
    <row r="234" customFormat="false" ht="15" hidden="false" customHeight="false" outlineLevel="0" collapsed="false">
      <c r="A234" s="7"/>
      <c r="B234" s="25" t="n">
        <v>22</v>
      </c>
      <c r="C234" s="11" t="n">
        <f aca="false">(ABS(C26-E26)/C26)*100</f>
        <v>99.9246893435421</v>
      </c>
      <c r="D234" s="25" t="n">
        <f aca="false">(ABS(D26-F26)/D26)*100</f>
        <v>11.0518789999028</v>
      </c>
      <c r="E234" s="24"/>
      <c r="F234" s="25" t="n">
        <f aca="false">(ABS(C26-G26)/C26)*100</f>
        <v>0.0125517760763148</v>
      </c>
      <c r="G234" s="25" t="n">
        <f aca="false">(ABS(D26-H26)/D26)*100</f>
        <v>0.00138825260644427</v>
      </c>
      <c r="H234" s="24"/>
    </row>
    <row r="235" customFormat="false" ht="15" hidden="false" customHeight="false" outlineLevel="0" collapsed="false">
      <c r="A235" s="7"/>
      <c r="B235" s="25" t="n">
        <v>23</v>
      </c>
      <c r="C235" s="11" t="n">
        <f aca="false">(ABS(C27-E27)/C27)*100</f>
        <v>92.5086342229199</v>
      </c>
      <c r="D235" s="25" t="n">
        <f aca="false">(ABS(D27-F27)/D27)*100</f>
        <v>10.2252299149748</v>
      </c>
      <c r="E235" s="24"/>
      <c r="F235" s="25" t="n">
        <f aca="false">(ABS(C27-G27)/C27)*100</f>
        <v>0</v>
      </c>
      <c r="G235" s="25" t="n">
        <f aca="false">(ABS(D27-H27)/D27)*100</f>
        <v>0</v>
      </c>
      <c r="H235" s="24"/>
    </row>
    <row r="236" customFormat="false" ht="15" hidden="false" customHeight="false" outlineLevel="0" collapsed="false">
      <c r="A236" s="7"/>
      <c r="B236" s="25" t="n">
        <v>24</v>
      </c>
      <c r="C236" s="11" t="n">
        <f aca="false">(ABS(C28-E28)/C28)*100</f>
        <v>99.7048665620094</v>
      </c>
      <c r="D236" s="25" t="n">
        <f aca="false">(ABS(D28-F28)/D28)*100</f>
        <v>11.0206489675516</v>
      </c>
      <c r="E236" s="24"/>
      <c r="F236" s="25" t="n">
        <f aca="false">(ABS(C28-G28)/C28)*100</f>
        <v>0</v>
      </c>
      <c r="G236" s="25" t="n">
        <f aca="false">(ABS(D28-H28)/D28)*100</f>
        <v>0</v>
      </c>
      <c r="H236" s="24"/>
    </row>
    <row r="237" customFormat="false" ht="15" hidden="false" customHeight="false" outlineLevel="0" collapsed="false">
      <c r="A237" s="7"/>
      <c r="B237" s="25" t="n">
        <v>25</v>
      </c>
      <c r="C237" s="11" t="n">
        <f aca="false">(ABS(C29-E29)/C29)*100</f>
        <v>98.5243328100471</v>
      </c>
      <c r="D237" s="25" t="n">
        <f aca="false">(ABS(D29-F29)/D29)*100</f>
        <v>10.8901613742842</v>
      </c>
      <c r="E237" s="24"/>
      <c r="F237" s="25" t="n">
        <f aca="false">(ABS(C29-G29)/C29)*100</f>
        <v>0</v>
      </c>
      <c r="G237" s="25" t="n">
        <f aca="false">(ABS(D29-H29)/D29)*100</f>
        <v>0</v>
      </c>
      <c r="H237" s="24"/>
    </row>
    <row r="238" customFormat="false" ht="15" hidden="false" customHeight="false" outlineLevel="0" collapsed="false">
      <c r="A238" s="7"/>
      <c r="B238" s="25" t="n">
        <v>26</v>
      </c>
      <c r="C238" s="11" t="n">
        <f aca="false">(ABS(C30-E30)/C30)*100</f>
        <v>99.6295133437991</v>
      </c>
      <c r="D238" s="25" t="n">
        <f aca="false">(ABS(D30-F30)/D30)*100</f>
        <v>11.0123199722367</v>
      </c>
      <c r="E238" s="24"/>
      <c r="F238" s="25" t="n">
        <f aca="false">(ABS(C30-G30)/C30)*100</f>
        <v>0</v>
      </c>
      <c r="G238" s="25" t="n">
        <f aca="false">(ABS(D30-H30)/D30)*100</f>
        <v>0</v>
      </c>
      <c r="H238" s="24"/>
    </row>
    <row r="239" customFormat="false" ht="15" hidden="false" customHeight="false" outlineLevel="0" collapsed="false">
      <c r="A239" s="7"/>
      <c r="B239" s="25" t="n">
        <v>27</v>
      </c>
      <c r="C239" s="11" t="n">
        <f aca="false">(ABS(C31-E31)/C31)*100</f>
        <v>99.6420722135008</v>
      </c>
      <c r="D239" s="25" t="n">
        <f aca="false">(ABS(D31-F31)/D31)*100</f>
        <v>11.0137081381225</v>
      </c>
      <c r="E239" s="24"/>
      <c r="F239" s="25" t="n">
        <f aca="false">(ABS(C31-G31)/C31)*100</f>
        <v>0</v>
      </c>
      <c r="G239" s="25" t="n">
        <f aca="false">(ABS(D31-H31)/D31)*100</f>
        <v>0</v>
      </c>
      <c r="H239" s="24"/>
    </row>
    <row r="240" customFormat="false" ht="15" hidden="false" customHeight="false" outlineLevel="0" collapsed="false">
      <c r="A240" s="7"/>
      <c r="B240" s="25" t="n">
        <v>28</v>
      </c>
      <c r="C240" s="11" t="n">
        <f aca="false">(ABS(C32-E32)/C32)*100</f>
        <v>94.0722135007849</v>
      </c>
      <c r="D240" s="25" t="n">
        <f aca="false">(ABS(D32-F32)/D32)*100</f>
        <v>10.3980565677598</v>
      </c>
      <c r="E240" s="24"/>
      <c r="F240" s="25" t="n">
        <f aca="false">(ABS(C32-G32)/C32)*100</f>
        <v>0</v>
      </c>
      <c r="G240" s="25" t="n">
        <f aca="false">(ABS(D32-H32)/D32)*100</f>
        <v>0</v>
      </c>
      <c r="H240" s="24"/>
    </row>
    <row r="241" customFormat="false" ht="15" hidden="false" customHeight="false" outlineLevel="0" collapsed="false">
      <c r="A241" s="7"/>
      <c r="B241" s="25" t="n">
        <v>29</v>
      </c>
      <c r="C241" s="11" t="n">
        <f aca="false">(ABS(C33-E33)/C33)*100</f>
        <v>99.9560411956795</v>
      </c>
      <c r="D241" s="25" t="n">
        <f aca="false">(ABS(D33-F33)/D33)*100</f>
        <v>11.0476415225298</v>
      </c>
      <c r="E241" s="24"/>
      <c r="F241" s="25" t="n">
        <f aca="false">(ABS(C33-G33)/C33)*100</f>
        <v>0</v>
      </c>
      <c r="G241" s="25" t="n">
        <f aca="false">(ABS(D33-H33)/D33)*100</f>
        <v>0</v>
      </c>
      <c r="H241" s="24"/>
    </row>
    <row r="242" customFormat="false" ht="15" hidden="false" customHeight="false" outlineLevel="0" collapsed="false">
      <c r="A242" s="7"/>
      <c r="B242" s="25" t="n">
        <v>30</v>
      </c>
      <c r="C242" s="11" t="n">
        <f aca="false">(ABS(C34-E34)/C34)*100</f>
        <v>100</v>
      </c>
      <c r="D242" s="25" t="n">
        <f aca="false">(ABS(D34-F34)/D34)*100</f>
        <v>11.0532708658685</v>
      </c>
      <c r="E242" s="24"/>
      <c r="F242" s="25" t="n">
        <f aca="false">(ABS(C34-G34)/C34)*100</f>
        <v>0</v>
      </c>
      <c r="G242" s="25" t="n">
        <f aca="false">(ABS(D34-H34)/D34)*100</f>
        <v>0</v>
      </c>
      <c r="H242" s="24"/>
    </row>
    <row r="243" customFormat="false" ht="15" hidden="false" customHeight="false" outlineLevel="0" collapsed="false">
      <c r="A243" s="7"/>
      <c r="B243" s="25" t="n">
        <v>31</v>
      </c>
      <c r="C243" s="11" t="n">
        <f aca="false">(ABS(C35-E35)/C35)*100</f>
        <v>100</v>
      </c>
      <c r="D243" s="25" t="n">
        <f aca="false">(ABS(D35-F35)/D35)*100</f>
        <v>11.0532708658685</v>
      </c>
      <c r="E243" s="24"/>
      <c r="F243" s="25" t="n">
        <f aca="false">(ABS(C35-G35)/C35)*100</f>
        <v>0</v>
      </c>
      <c r="G243" s="25" t="n">
        <f aca="false">(ABS(D35-H35)/D35)*100</f>
        <v>0</v>
      </c>
      <c r="H243" s="24"/>
    </row>
    <row r="244" customFormat="false" ht="15" hidden="false" customHeight="false" outlineLevel="0" collapsed="false">
      <c r="A244" s="7"/>
      <c r="B244" s="25" t="n">
        <v>32</v>
      </c>
      <c r="C244" s="11" t="n">
        <f aca="false">(ABS(C36-E36)/C36)*100</f>
        <v>100</v>
      </c>
      <c r="D244" s="25" t="n">
        <f aca="false">(ABS(D36-F36)/D36)*100</f>
        <v>11.0532708658685</v>
      </c>
      <c r="E244" s="24"/>
      <c r="F244" s="25" t="n">
        <f aca="false">(ABS(C36-G36)/C36)*100</f>
        <v>0</v>
      </c>
      <c r="G244" s="25" t="n">
        <f aca="false">(ABS(D36-H36)/D36)*100</f>
        <v>0</v>
      </c>
      <c r="H244" s="24"/>
    </row>
    <row r="245" customFormat="false" ht="15" hidden="false" customHeight="false" outlineLevel="0" collapsed="false">
      <c r="A245" s="7"/>
      <c r="B245" s="25" t="n">
        <v>33</v>
      </c>
      <c r="C245" s="11" t="n">
        <f aca="false">(ABS(C37-E37)/C37)*100</f>
        <v>100</v>
      </c>
      <c r="D245" s="25" t="n">
        <f aca="false">(ABS(D37-F37)/D37)*100</f>
        <v>11.0532708658685</v>
      </c>
      <c r="E245" s="24"/>
      <c r="F245" s="25" t="n">
        <f aca="false">(ABS(C37-G37)/C37)*100</f>
        <v>0</v>
      </c>
      <c r="G245" s="25" t="n">
        <f aca="false">(ABS(D37-H37)/D37)*100</f>
        <v>0</v>
      </c>
      <c r="H245" s="24"/>
    </row>
    <row r="246" customFormat="false" ht="15" hidden="false" customHeight="false" outlineLevel="0" collapsed="false">
      <c r="A246" s="7"/>
      <c r="B246" s="25" t="n">
        <v>34</v>
      </c>
      <c r="C246" s="11" t="n">
        <f aca="false">(ABS(C38-E38)/C38)*100</f>
        <v>100</v>
      </c>
      <c r="D246" s="25" t="n">
        <f aca="false">(ABS(D38-F38)/D38)*100</f>
        <v>11.0532708658685</v>
      </c>
      <c r="E246" s="24"/>
      <c r="F246" s="25" t="n">
        <f aca="false">(ABS(C38-G38)/C38)*100</f>
        <v>0</v>
      </c>
      <c r="G246" s="25" t="n">
        <f aca="false">(ABS(D38-H38)/D38)*100</f>
        <v>0</v>
      </c>
      <c r="H246" s="24"/>
    </row>
    <row r="247" customFormat="false" ht="15" hidden="false" customHeight="false" outlineLevel="0" collapsed="false">
      <c r="A247" s="7"/>
      <c r="B247" s="25" t="n">
        <v>35</v>
      </c>
      <c r="C247" s="11" t="n">
        <f aca="false">(ABS(C39-E39)/C39)*100</f>
        <v>100</v>
      </c>
      <c r="D247" s="25" t="n">
        <f aca="false">(ABS(D39-F39)/D39)*100</f>
        <v>11.0532708658685</v>
      </c>
      <c r="E247" s="24"/>
      <c r="F247" s="25" t="n">
        <f aca="false">(ABS(C39-G39)/C39)*100</f>
        <v>0</v>
      </c>
      <c r="G247" s="25" t="n">
        <f aca="false">(ABS(D39-H39)/D39)*100</f>
        <v>0</v>
      </c>
      <c r="H247" s="24"/>
    </row>
    <row r="248" customFormat="false" ht="15" hidden="false" customHeight="false" outlineLevel="0" collapsed="false">
      <c r="A248" s="7"/>
      <c r="B248" s="25" t="n">
        <v>36</v>
      </c>
      <c r="C248" s="11" t="n">
        <f aca="false">(ABS(C40-E40)/C40)*100</f>
        <v>100</v>
      </c>
      <c r="D248" s="25" t="n">
        <f aca="false">(ABS(D40-F40)/D40)*100</f>
        <v>11.0532708658685</v>
      </c>
      <c r="E248" s="24"/>
      <c r="F248" s="25" t="n">
        <f aca="false">(ABS(C40-G40)/C40)*100</f>
        <v>0</v>
      </c>
      <c r="G248" s="25" t="n">
        <f aca="false">(ABS(D40-H40)/D40)*100</f>
        <v>0</v>
      </c>
      <c r="H248" s="24"/>
    </row>
    <row r="249" customFormat="false" ht="15" hidden="false" customHeight="false" outlineLevel="0" collapsed="false">
      <c r="A249" s="7"/>
      <c r="B249" s="25" t="n">
        <v>37</v>
      </c>
      <c r="C249" s="11" t="n">
        <f aca="false">(ABS(C41-E41)/C41)*100</f>
        <v>99.9748980232193</v>
      </c>
      <c r="D249" s="25" t="n">
        <f aca="false">(ABS(D41-F41)/D41)*100</f>
        <v>11.0582028945268</v>
      </c>
      <c r="E249" s="24"/>
      <c r="F249" s="25" t="n">
        <f aca="false">(ABS(C41-G41)/C41)*100</f>
        <v>0.0188264825855036</v>
      </c>
      <c r="G249" s="25" t="n">
        <f aca="false">(ABS(D41-H41)/D41)*100</f>
        <v>0.00208239336410648</v>
      </c>
      <c r="H249" s="24"/>
    </row>
    <row r="250" customFormat="false" ht="15" hidden="false" customHeight="false" outlineLevel="0" collapsed="false">
      <c r="A250" s="7"/>
      <c r="B250" s="25" t="n">
        <v>38</v>
      </c>
      <c r="C250" s="11" t="n">
        <f aca="false">(ABS(C42-E42)/C42)*100</f>
        <v>100</v>
      </c>
      <c r="D250" s="25" t="n">
        <f aca="false">(ABS(D42-F42)/D42)*100</f>
        <v>11.0532708658685</v>
      </c>
      <c r="E250" s="24"/>
      <c r="F250" s="25" t="n">
        <f aca="false">(ABS(C42-G42)/C42)*100</f>
        <v>0</v>
      </c>
      <c r="G250" s="25" t="n">
        <f aca="false">(ABS(D42-H42)/D42)*100</f>
        <v>0</v>
      </c>
      <c r="H250" s="24"/>
    </row>
    <row r="251" customFormat="false" ht="15" hidden="false" customHeight="false" outlineLevel="0" collapsed="false">
      <c r="A251" s="7"/>
      <c r="B251" s="25" t="n">
        <v>39</v>
      </c>
      <c r="C251" s="11" t="n">
        <f aca="false">(ABS(C43-E43)/C43)*100</f>
        <v>99.8869701726845</v>
      </c>
      <c r="D251" s="25" t="n">
        <f aca="false">(ABS(D43-F43)/D43)*100</f>
        <v>11.0407773728961</v>
      </c>
      <c r="E251" s="24"/>
      <c r="F251" s="25" t="n">
        <f aca="false">(ABS(C43-G43)/C43)*100</f>
        <v>0</v>
      </c>
      <c r="G251" s="25" t="n">
        <f aca="false">(ABS(D43-H43)/D43)*100</f>
        <v>0</v>
      </c>
      <c r="H251" s="24"/>
    </row>
    <row r="252" customFormat="false" ht="15" hidden="false" customHeight="false" outlineLevel="0" collapsed="false">
      <c r="A252" s="7"/>
      <c r="B252" s="25" t="n">
        <v>40</v>
      </c>
      <c r="C252" s="11" t="n">
        <f aca="false">(ABS(C44-E44)/C44)*100</f>
        <v>99.9372056514914</v>
      </c>
      <c r="D252" s="25" t="n">
        <f aca="false">(ABS(D44-F44)/D44)*100</f>
        <v>11.0463300364394</v>
      </c>
      <c r="E252" s="24"/>
      <c r="F252" s="25" t="n">
        <f aca="false">(ABS(C44-G44)/C44)*100</f>
        <v>0</v>
      </c>
      <c r="G252" s="25" t="n">
        <f aca="false">(ABS(D44-H44)/D44)*100</f>
        <v>0</v>
      </c>
      <c r="H252" s="24"/>
    </row>
    <row r="253" customFormat="false" ht="15" hidden="false" customHeight="false" outlineLevel="0" collapsed="false">
      <c r="A253" s="7"/>
      <c r="B253" s="25" t="n">
        <v>41</v>
      </c>
      <c r="C253" s="11" t="n">
        <f aca="false">(ABS(C45-E45)/C45)*100</f>
        <v>99.912082391359</v>
      </c>
      <c r="D253" s="25" t="n">
        <f aca="false">(ABS(D45-F45)/D45)*100</f>
        <v>11.0427829756517</v>
      </c>
      <c r="E253" s="24"/>
      <c r="F253" s="25" t="n">
        <f aca="false">(ABS(C45-G45)/C45)*100</f>
        <v>0</v>
      </c>
      <c r="G253" s="25" t="n">
        <f aca="false">(ABS(D45-H45)/D45)*100</f>
        <v>0</v>
      </c>
      <c r="H253" s="24"/>
    </row>
    <row r="254" customFormat="false" ht="15" hidden="false" customHeight="false" outlineLevel="0" collapsed="false">
      <c r="A254" s="7"/>
      <c r="B254" s="25" t="n">
        <v>42</v>
      </c>
      <c r="C254" s="11" t="n">
        <f aca="false">(ABS(C46-E46)/C46)*100</f>
        <v>98.4740973312402</v>
      </c>
      <c r="D254" s="25" t="n">
        <f aca="false">(ABS(D46-F46)/D46)*100</f>
        <v>10.8846087107409</v>
      </c>
      <c r="E254" s="24"/>
      <c r="F254" s="25" t="n">
        <f aca="false">(ABS(C46-G46)/C46)*100</f>
        <v>0</v>
      </c>
      <c r="G254" s="25" t="n">
        <f aca="false">(ABS(D46-H46)/D46)*100</f>
        <v>0</v>
      </c>
      <c r="H254" s="24"/>
    </row>
    <row r="255" customFormat="false" ht="15" hidden="false" customHeight="false" outlineLevel="0" collapsed="false">
      <c r="A255" s="7"/>
      <c r="B255" s="25" t="n">
        <v>43</v>
      </c>
      <c r="C255" s="11" t="n">
        <f aca="false">(ABS(C47-E47)/C47)*100</f>
        <v>97.5510204081633</v>
      </c>
      <c r="D255" s="25" t="n">
        <f aca="false">(ABS(D47-F47)/D47)*100</f>
        <v>10.7825785181329</v>
      </c>
      <c r="E255" s="24"/>
      <c r="F255" s="25" t="n">
        <f aca="false">(ABS(C47-G47)/C47)*100</f>
        <v>0</v>
      </c>
      <c r="G255" s="25" t="n">
        <f aca="false">(ABS(D47-H47)/D47)*100</f>
        <v>0</v>
      </c>
      <c r="H255" s="24"/>
    </row>
    <row r="256" customFormat="false" ht="15" hidden="false" customHeight="false" outlineLevel="0" collapsed="false">
      <c r="A256" s="7"/>
      <c r="B256" s="25" t="n">
        <v>44</v>
      </c>
      <c r="C256" s="11" t="n">
        <f aca="false">(ABS(C48-E48)/C48)*100</f>
        <v>92.8854003139717</v>
      </c>
      <c r="D256" s="25" t="n">
        <f aca="false">(ABS(D48-F48)/D48)*100</f>
        <v>10.2668748915495</v>
      </c>
      <c r="E256" s="24"/>
      <c r="F256" s="25" t="n">
        <f aca="false">(ABS(C48-G48)/C48)*100</f>
        <v>0</v>
      </c>
      <c r="G256" s="25" t="n">
        <f aca="false">(ABS(D48-H48)/D48)*100</f>
        <v>0</v>
      </c>
      <c r="H256" s="24"/>
    </row>
    <row r="257" customFormat="false" ht="15" hidden="false" customHeight="false" outlineLevel="0" collapsed="false">
      <c r="A257" s="7"/>
      <c r="B257" s="25" t="n">
        <v>45</v>
      </c>
      <c r="C257" s="11" t="n">
        <f aca="false">(ABS(C49-E49)/C49)*100</f>
        <v>99.7802059783974</v>
      </c>
      <c r="D257" s="25" t="n">
        <f aca="false">(ABS(D49-F49)/D49)*100</f>
        <v>11.0282073350176</v>
      </c>
      <c r="E257" s="24"/>
      <c r="F257" s="25" t="n">
        <f aca="false">(ABS(C49-G49)/C49)*100</f>
        <v>0.00627982918864607</v>
      </c>
      <c r="G257" s="25" t="n">
        <f aca="false">(ABS(D49-H49)/D49)*100</f>
        <v>0.000694078125433799</v>
      </c>
      <c r="H257" s="24"/>
    </row>
    <row r="258" customFormat="false" ht="15" hidden="false" customHeight="false" outlineLevel="0" collapsed="false">
      <c r="A258" s="7"/>
      <c r="B258" s="25" t="n">
        <v>46</v>
      </c>
      <c r="C258" s="11" t="n">
        <f aca="false">(ABS(C50-E50)/C50)*100</f>
        <v>99.9434850863422</v>
      </c>
      <c r="D258" s="25" t="n">
        <f aca="false">(ABS(D50-F50)/D50)*100</f>
        <v>11.0470241193823</v>
      </c>
      <c r="E258" s="24"/>
      <c r="F258" s="25" t="n">
        <f aca="false">(ABS(C50-G50)/C50)*100</f>
        <v>0</v>
      </c>
      <c r="G258" s="25" t="n">
        <f aca="false">(ABS(D50-H50)/D50)*100</f>
        <v>0</v>
      </c>
      <c r="H258" s="24"/>
    </row>
    <row r="259" customFormat="false" ht="15" hidden="false" customHeight="false" outlineLevel="0" collapsed="false">
      <c r="A259" s="7"/>
      <c r="B259" s="25" t="n">
        <v>47</v>
      </c>
      <c r="C259" s="11" t="n">
        <f aca="false">(ABS(C51-E51)/C51)*100</f>
        <v>99.9309262166405</v>
      </c>
      <c r="D259" s="25" t="n">
        <f aca="false">(ABS(D51-F51)/D51)*100</f>
        <v>11.0456359534964</v>
      </c>
      <c r="E259" s="24"/>
      <c r="F259" s="25" t="n">
        <f aca="false">(ABS(C51-G51)/C51)*100</f>
        <v>0</v>
      </c>
      <c r="G259" s="25" t="n">
        <f aca="false">(ABS(D51-H51)/D51)*100</f>
        <v>0</v>
      </c>
      <c r="H259" s="24"/>
    </row>
    <row r="260" customFormat="false" ht="15" hidden="false" customHeight="false" outlineLevel="0" collapsed="false">
      <c r="A260" s="7"/>
      <c r="B260" s="25" t="n">
        <v>48</v>
      </c>
      <c r="C260" s="11" t="n">
        <f aca="false">(ABS(C52-E52)/C52)*100</f>
        <v>99.8681318681319</v>
      </c>
      <c r="D260" s="25" t="n">
        <f aca="false">(ABS(D52-F52)/D52)*100</f>
        <v>11.0386951240673</v>
      </c>
      <c r="E260" s="24"/>
      <c r="F260" s="25" t="n">
        <f aca="false">(ABS(C52-G52)/C52)*100</f>
        <v>0</v>
      </c>
      <c r="G260" s="25" t="n">
        <f aca="false">(ABS(D52-H52)/D52)*100</f>
        <v>0</v>
      </c>
      <c r="H260" s="24"/>
    </row>
    <row r="261" customFormat="false" ht="15" hidden="false" customHeight="false" outlineLevel="0" collapsed="false">
      <c r="A261" s="7"/>
      <c r="B261" s="25" t="n">
        <v>49</v>
      </c>
      <c r="C261" s="11" t="n">
        <f aca="false">(ABS(C53-E53)/C53)*100</f>
        <v>99.9246467817896</v>
      </c>
      <c r="D261" s="25" t="n">
        <f aca="false">(ABS(D53-F53)/D53)*100</f>
        <v>11.0449418705535</v>
      </c>
      <c r="E261" s="24"/>
      <c r="F261" s="25" t="n">
        <f aca="false">(ABS(C53-G53)/C53)*100</f>
        <v>0</v>
      </c>
      <c r="G261" s="25" t="n">
        <f aca="false">(ABS(D53-H53)/D53)*100</f>
        <v>0</v>
      </c>
      <c r="H261" s="24"/>
    </row>
    <row r="262" customFormat="false" ht="15" hidden="false" customHeight="false" outlineLevel="0" collapsed="false">
      <c r="A262" s="7"/>
      <c r="B262" s="25" t="n">
        <v>50</v>
      </c>
      <c r="C262" s="11" t="n">
        <f aca="false">(ABS(C54-E54)/C54)*100</f>
        <v>99.5541601255887</v>
      </c>
      <c r="D262" s="25" t="n">
        <f aca="false">(ABS(D54-F54)/D54)*100</f>
        <v>11.0039909769217</v>
      </c>
      <c r="E262" s="24"/>
      <c r="F262" s="25" t="n">
        <f aca="false">(ABS(C54-G54)/C54)*100</f>
        <v>0</v>
      </c>
      <c r="G262" s="25" t="n">
        <f aca="false">(ABS(D54-H54)/D54)*100</f>
        <v>0</v>
      </c>
      <c r="H262" s="24"/>
    </row>
    <row r="263" customFormat="false" ht="15" hidden="false" customHeight="false" outlineLevel="0" collapsed="false">
      <c r="A263" s="7"/>
      <c r="B263" s="25" t="n">
        <v>51</v>
      </c>
      <c r="C263" s="11" t="n">
        <f aca="false">(ABS(C55-E55)/C55)*100</f>
        <v>99.893242903793</v>
      </c>
      <c r="D263" s="25" t="n">
        <f aca="false">(ABS(D55-F55)/D55)*100</f>
        <v>11.0407007412754</v>
      </c>
      <c r="E263" s="24"/>
      <c r="F263" s="25" t="n">
        <f aca="false">(ABS(C55-G55)/C55)*100</f>
        <v>0.0125596583772921</v>
      </c>
      <c r="G263" s="25" t="n">
        <f aca="false">(ABS(D55-H55)/D55)*100</f>
        <v>0.0013881562508676</v>
      </c>
      <c r="H263" s="24"/>
    </row>
    <row r="264" customFormat="false" ht="15" hidden="false" customHeight="false" outlineLevel="0" collapsed="false">
      <c r="A264" s="7"/>
      <c r="B264" s="25" t="n">
        <v>52</v>
      </c>
      <c r="C264" s="11" t="n">
        <f aca="false">(ABS(C56-E56)/C56)*100</f>
        <v>100</v>
      </c>
      <c r="D264" s="25" t="n">
        <f aca="false">(ABS(D56-F56)/D56)*100</f>
        <v>11.0602085155415</v>
      </c>
      <c r="E264" s="24"/>
      <c r="F264" s="25" t="n">
        <f aca="false">(ABS(C56-G56)/C56)*100</f>
        <v>0.0062758880381574</v>
      </c>
      <c r="G264" s="25" t="n">
        <f aca="false">(ABS(D56-H56)/D56)*100</f>
        <v>0.000694126303222134</v>
      </c>
      <c r="H264" s="24"/>
    </row>
    <row r="265" customFormat="false" ht="15" hidden="false" customHeight="false" outlineLevel="0" collapsed="false">
      <c r="A265" s="7"/>
      <c r="B265" s="25" t="n">
        <v>53</v>
      </c>
      <c r="C265" s="11" t="n">
        <f aca="false">(ABS(C57-E57)/C57)*100</f>
        <v>99.8933567530268</v>
      </c>
      <c r="D265" s="25" t="n">
        <f aca="false">(ABS(D57-F57)/D57)*100</f>
        <v>11.0538043440535</v>
      </c>
      <c r="E265" s="24"/>
      <c r="F265" s="25" t="n">
        <f aca="false">(ABS(C57-G57)/C57)*100</f>
        <v>0.0125462643497899</v>
      </c>
      <c r="G265" s="25" t="n">
        <f aca="false">(ABS(D57-H57)/D57)*100</f>
        <v>0.00138832006330739</v>
      </c>
      <c r="H265" s="24"/>
    </row>
    <row r="266" customFormat="false" ht="15" hidden="false" customHeight="false" outlineLevel="0" collapsed="false">
      <c r="A266" s="7"/>
      <c r="B266" s="25" t="n">
        <v>54</v>
      </c>
      <c r="C266" s="11" t="n">
        <f aca="false">(ABS(C58-E58)/C58)*100</f>
        <v>99.956043956044</v>
      </c>
      <c r="D266" s="25" t="n">
        <f aca="false">(ABS(D58-F58)/D58)*100</f>
        <v>11.0484122852681</v>
      </c>
      <c r="E266" s="24"/>
      <c r="F266" s="25" t="n">
        <f aca="false">(ABS(C58-G58)/C58)*100</f>
        <v>0.0251177394034537</v>
      </c>
      <c r="G266" s="25" t="n">
        <f aca="false">(ABS(D58-H58)/D58)*100</f>
        <v>0.00277633177164671</v>
      </c>
      <c r="H266" s="24"/>
    </row>
    <row r="267" customFormat="false" ht="15" hidden="false" customHeight="false" outlineLevel="0" collapsed="false">
      <c r="A267" s="7"/>
      <c r="B267" s="25" t="n">
        <v>55</v>
      </c>
      <c r="C267" s="11" t="n">
        <f aca="false">(ABS(C59-E59)/C59)*100</f>
        <v>98.6324466092169</v>
      </c>
      <c r="D267" s="25" t="n">
        <f aca="false">(ABS(D59-F59)/D59)*100</f>
        <v>10.9698165099385</v>
      </c>
      <c r="E267" s="24"/>
      <c r="F267" s="25" t="n">
        <f aca="false">(ABS(C59-G59)/C59)*100</f>
        <v>0.0249781441238916</v>
      </c>
      <c r="G267" s="25" t="n">
        <f aca="false">(ABS(D59-H59)/D59)*100</f>
        <v>0.00277804786576473</v>
      </c>
      <c r="H267" s="24"/>
    </row>
    <row r="268" customFormat="false" ht="15" hidden="false" customHeight="false" outlineLevel="0" collapsed="false">
      <c r="A268" s="7"/>
      <c r="B268" s="25" t="n">
        <v>56</v>
      </c>
      <c r="C268" s="11" t="n">
        <f aca="false">(ABS(C60-E60)/C60)*100</f>
        <v>99.541601255887</v>
      </c>
      <c r="D268" s="25" t="n">
        <f aca="false">(ABS(D60-F60)/D60)*100</f>
        <v>11.0026028110359</v>
      </c>
      <c r="E268" s="24"/>
      <c r="F268" s="25" t="n">
        <f aca="false">(ABS(C60-G60)/C60)*100</f>
        <v>0.0376766091051805</v>
      </c>
      <c r="G268" s="25" t="n">
        <f aca="false">(ABS(D60-H60)/D60)*100</f>
        <v>0.00416449765747007</v>
      </c>
      <c r="H268" s="24"/>
    </row>
    <row r="269" customFormat="false" ht="15" hidden="false" customHeight="false" outlineLevel="0" collapsed="false">
      <c r="A269" s="7"/>
      <c r="B269" s="25" t="n">
        <v>57</v>
      </c>
      <c r="C269" s="11" t="n">
        <f aca="false">(ABS(C61-E61)/C61)*100</f>
        <v>99.9686028257457</v>
      </c>
      <c r="D269" s="25" t="n">
        <f aca="false">(ABS(D61-F61)/D61)*100</f>
        <v>11.0498004511539</v>
      </c>
      <c r="E269" s="24"/>
      <c r="F269" s="25" t="n">
        <f aca="false">(ABS(C61-G61)/C61)*100</f>
        <v>0.0376766091051805</v>
      </c>
      <c r="G269" s="25" t="n">
        <f aca="false">(ABS(D61-H61)/D61)*100</f>
        <v>0.00416449765747007</v>
      </c>
      <c r="H269" s="24"/>
    </row>
    <row r="270" customFormat="false" ht="15" hidden="false" customHeight="false" outlineLevel="0" collapsed="false">
      <c r="A270" s="7"/>
      <c r="B270" s="25" t="n">
        <v>58</v>
      </c>
      <c r="C270" s="11" t="n">
        <f aca="false">(ABS(C62-E62)/C62)*100</f>
        <v>100</v>
      </c>
      <c r="D270" s="25" t="n">
        <f aca="false">(ABS(D62-F62)/D62)*100</f>
        <v>11.0656050645916</v>
      </c>
      <c r="E270" s="24"/>
      <c r="F270" s="25" t="n">
        <f aca="false">(ABS(C62-G62)/C62)*100</f>
        <v>0</v>
      </c>
      <c r="G270" s="25" t="n">
        <f aca="false">(ABS(D62-H62)/D62)*100</f>
        <v>0</v>
      </c>
      <c r="H270" s="24"/>
    </row>
    <row r="271" customFormat="false" ht="15" hidden="false" customHeight="false" outlineLevel="0" collapsed="false">
      <c r="A271" s="7"/>
      <c r="B271" s="25" t="n">
        <v>59</v>
      </c>
      <c r="C271" s="11" t="n">
        <f aca="false">(ABS(C63-E63)/C63)*100</f>
        <v>99.9689402410237</v>
      </c>
      <c r="D271" s="25" t="n">
        <f aca="false">(ABS(D63-F63)/D63)*100</f>
        <v>11.1833053049992</v>
      </c>
      <c r="E271" s="24"/>
      <c r="F271" s="25" t="n">
        <f aca="false">(ABS(C63-G63)/C63)*100</f>
        <v>0.0124239035905081</v>
      </c>
      <c r="G271" s="25" t="n">
        <f aca="false">(ABS(D63-H63)/D63)*100</f>
        <v>0.00138983474864839</v>
      </c>
      <c r="H271" s="24"/>
    </row>
    <row r="272" customFormat="false" ht="15" hidden="false" customHeight="false" outlineLevel="0" collapsed="false">
      <c r="A272" s="7"/>
      <c r="B272" s="25" t="n">
        <v>60</v>
      </c>
      <c r="C272" s="11" t="n">
        <f aca="false">(ABS(C64-E64)/C64)*100</f>
        <v>99.7362637362637</v>
      </c>
      <c r="D272" s="25" t="n">
        <f aca="false">(ABS(D64-F64)/D64)*100</f>
        <v>11.0241193822662</v>
      </c>
      <c r="E272" s="24"/>
      <c r="F272" s="25" t="n">
        <f aca="false">(ABS(C64-G64)/C64)*100</f>
        <v>0.0251177394034537</v>
      </c>
      <c r="G272" s="25" t="n">
        <f aca="false">(ABS(D64-H64)/D64)*100</f>
        <v>0.00277633177164671</v>
      </c>
      <c r="H272" s="24"/>
    </row>
    <row r="273" customFormat="false" ht="15" hidden="false" customHeight="false" outlineLevel="0" collapsed="false">
      <c r="A273" s="7"/>
      <c r="B273" s="25" t="n">
        <v>61</v>
      </c>
      <c r="C273" s="11" t="n">
        <f aca="false">(ABS(C65-E65)/C65)*100</f>
        <v>99.9811711542083</v>
      </c>
      <c r="D273" s="25" t="n">
        <f aca="false">(ABS(D65-F65)/D65)*100</f>
        <v>11.0573552583173</v>
      </c>
      <c r="E273" s="24"/>
      <c r="F273" s="25" t="n">
        <f aca="false">(ABS(C65-G65)/C65)*100</f>
        <v>0.00627628193058432</v>
      </c>
      <c r="G273" s="25" t="n">
        <f aca="false">(ABS(D65-H65)/D65)*100</f>
        <v>0.00069412148514233</v>
      </c>
      <c r="H273" s="24"/>
    </row>
    <row r="274" customFormat="false" ht="15" hidden="false" customHeight="false" outlineLevel="0" collapsed="false">
      <c r="A274" s="7"/>
      <c r="B274" s="25" t="n">
        <v>62</v>
      </c>
      <c r="C274" s="11" t="n">
        <f aca="false">(ABS(C66-E66)/C66)*100</f>
        <v>99.9246467817896</v>
      </c>
      <c r="D274" s="25" t="n">
        <f aca="false">(ABS(D66-F66)/D66)*100</f>
        <v>11.0449418705535</v>
      </c>
      <c r="E274" s="24"/>
      <c r="F274" s="25" t="n">
        <f aca="false">(ABS(C66-G66)/C66)*100</f>
        <v>0.0188383045525903</v>
      </c>
      <c r="G274" s="25" t="n">
        <f aca="false">(ABS(D66-H66)/D66)*100</f>
        <v>0.00208224882873503</v>
      </c>
      <c r="H274" s="24"/>
    </row>
    <row r="275" customFormat="false" ht="15" hidden="false" customHeight="false" outlineLevel="0" collapsed="false">
      <c r="A275" s="7"/>
      <c r="B275" s="25" t="n">
        <v>63</v>
      </c>
      <c r="C275" s="11" t="n">
        <f aca="false">(ABS(C67-E67)/C67)*100</f>
        <v>99.9750218558761</v>
      </c>
      <c r="D275" s="25" t="n">
        <f aca="false">(ABS(D67-F67)/D67)*100</f>
        <v>11.1191365827233</v>
      </c>
      <c r="E275" s="24"/>
      <c r="F275" s="25" t="n">
        <f aca="false">(ABS(C67-G67)/C67)*100</f>
        <v>0.0124890720619458</v>
      </c>
      <c r="G275" s="25" t="n">
        <f aca="false">(ABS(D67-H67)/D67)*100</f>
        <v>0.00138902393288236</v>
      </c>
      <c r="H275" s="24"/>
    </row>
    <row r="276" customFormat="false" ht="15" hidden="false" customHeight="false" outlineLevel="0" collapsed="false">
      <c r="A276" s="7"/>
      <c r="B276" s="25" t="n">
        <v>64</v>
      </c>
      <c r="C276" s="11" t="n">
        <f aca="false">(ABS(C68-E68)/C68)*100</f>
        <v>99.956043956044</v>
      </c>
      <c r="D276" s="25" t="n">
        <f aca="false">(ABS(D68-F68)/D68)*100</f>
        <v>11.0484122852681</v>
      </c>
      <c r="E276" s="24"/>
      <c r="F276" s="25" t="n">
        <f aca="false">(ABS(C68-G68)/C68)*100</f>
        <v>0.0251177394034537</v>
      </c>
      <c r="G276" s="25" t="n">
        <f aca="false">(ABS(D68-H68)/D68)*100</f>
        <v>0.00277633177164671</v>
      </c>
      <c r="H276" s="24"/>
    </row>
    <row r="277" customFormat="false" ht="15" hidden="false" customHeight="false" outlineLevel="0" collapsed="false">
      <c r="A277" s="7"/>
      <c r="B277" s="25" t="n">
        <v>65</v>
      </c>
      <c r="C277" s="11" t="n">
        <f aca="false">(ABS(C69-E69)/C69)*100</f>
        <v>94.1664050235479</v>
      </c>
      <c r="D277" s="25" t="n">
        <f aca="false">(ABS(D69-F69)/D69)*100</f>
        <v>10.4084678119035</v>
      </c>
      <c r="E277" s="24"/>
      <c r="F277" s="25" t="n">
        <f aca="false">(ABS(C69-G69)/C69)*100</f>
        <v>0.0251177394034537</v>
      </c>
      <c r="G277" s="25" t="n">
        <f aca="false">(ABS(D69-H69)/D69)*100</f>
        <v>0.00277633177164671</v>
      </c>
      <c r="H277" s="24"/>
    </row>
    <row r="278" customFormat="false" ht="15" hidden="false" customHeight="false" outlineLevel="0" collapsed="false">
      <c r="A278" s="7"/>
      <c r="B278" s="25" t="n">
        <v>66</v>
      </c>
      <c r="C278" s="11" t="n">
        <f aca="false">(ABS(C70-E70)/C70)*100</f>
        <v>99.9749058971142</v>
      </c>
      <c r="D278" s="25" t="n">
        <f aca="false">(ABS(D70-F70)/D70)*100</f>
        <v>11.0620574760516</v>
      </c>
      <c r="E278" s="24"/>
      <c r="F278" s="25" t="n">
        <f aca="false">(ABS(C70-G70)/C70)*100</f>
        <v>0.0125470514429109</v>
      </c>
      <c r="G278" s="25" t="n">
        <f aca="false">(ABS(D70-H70)/D70)*100</f>
        <v>0.0013883104262113</v>
      </c>
      <c r="H278" s="24"/>
    </row>
    <row r="279" customFormat="false" ht="15" hidden="false" customHeight="false" outlineLevel="0" collapsed="false">
      <c r="A279" s="7"/>
      <c r="B279" s="25" t="n">
        <v>67</v>
      </c>
      <c r="C279" s="11" t="n">
        <f aca="false">(ABS(C71-E71)/C71)*100</f>
        <v>99.956043956044</v>
      </c>
      <c r="D279" s="25" t="n">
        <f aca="false">(ABS(D71-F71)/D71)*100</f>
        <v>11.0484122852681</v>
      </c>
      <c r="E279" s="24"/>
      <c r="F279" s="25" t="n">
        <f aca="false">(ABS(C71-G71)/C71)*100</f>
        <v>0.0251177394034537</v>
      </c>
      <c r="G279" s="25" t="n">
        <f aca="false">(ABS(D71-H71)/D71)*100</f>
        <v>0.00277633177164671</v>
      </c>
      <c r="H279" s="24"/>
    </row>
    <row r="280" customFormat="false" ht="15" hidden="false" customHeight="false" outlineLevel="0" collapsed="false">
      <c r="A280" s="7"/>
      <c r="B280" s="25" t="n">
        <v>68</v>
      </c>
      <c r="C280" s="11" t="n">
        <f aca="false">(ABS(C72-E72)/C72)*100</f>
        <v>91.6295133437991</v>
      </c>
      <c r="D280" s="25" t="n">
        <f aca="false">(ABS(D72-F72)/D72)*100</f>
        <v>10.1280583029672</v>
      </c>
      <c r="E280" s="24"/>
      <c r="F280" s="25" t="n">
        <f aca="false">(ABS(C72-G72)/C72)*100</f>
        <v>0.0251177394034537</v>
      </c>
      <c r="G280" s="25" t="n">
        <f aca="false">(ABS(D72-H72)/D72)*100</f>
        <v>0.00277633177164671</v>
      </c>
      <c r="H280" s="24"/>
    </row>
    <row r="281" customFormat="false" ht="15" hidden="false" customHeight="false" outlineLevel="0" collapsed="false">
      <c r="A281" s="7"/>
      <c r="B281" s="25" t="n">
        <v>69</v>
      </c>
      <c r="C281" s="11" t="n">
        <f aca="false">(ABS(C73-E73)/C73)*100</f>
        <v>97.4945054945055</v>
      </c>
      <c r="D281" s="25" t="n">
        <f aca="false">(ABS(D73-F73)/D73)*100</f>
        <v>10.7763317716467</v>
      </c>
      <c r="E281" s="24"/>
      <c r="F281" s="25" t="n">
        <f aca="false">(ABS(C73-G73)/C73)*100</f>
        <v>0.0251177394034537</v>
      </c>
      <c r="G281" s="25" t="n">
        <f aca="false">(ABS(D73-H73)/D73)*100</f>
        <v>0.00277633177164671</v>
      </c>
      <c r="H281" s="24"/>
    </row>
    <row r="282" customFormat="false" ht="15" hidden="false" customHeight="false" outlineLevel="0" collapsed="false">
      <c r="A282" s="7"/>
      <c r="B282" s="25" t="n">
        <v>70</v>
      </c>
      <c r="C282" s="11" t="n">
        <f aca="false">(ABS(C74-E74)/C74)*100</f>
        <v>98.0094191522763</v>
      </c>
      <c r="D282" s="25" t="n">
        <f aca="false">(ABS(D74-F74)/D74)*100</f>
        <v>10.8332465729655</v>
      </c>
      <c r="E282" s="24"/>
      <c r="F282" s="25" t="n">
        <f aca="false">(ABS(C74-G74)/C74)*100</f>
        <v>0.0251177394034537</v>
      </c>
      <c r="G282" s="25" t="n">
        <f aca="false">(ABS(D74-H74)/D74)*100</f>
        <v>0.00277633177164671</v>
      </c>
      <c r="H282" s="24"/>
    </row>
    <row r="283" customFormat="false" ht="15" hidden="false" customHeight="false" outlineLevel="0" collapsed="false">
      <c r="A283" s="7"/>
      <c r="B283" s="25" t="n">
        <v>71</v>
      </c>
      <c r="C283" s="11" t="n">
        <f aca="false">(ABS(C75-E75)/C75)*100</f>
        <v>99.171114599686</v>
      </c>
      <c r="D283" s="25" t="n">
        <f aca="false">(ABS(D75-F75)/D75)*100</f>
        <v>10.9616519174041</v>
      </c>
      <c r="E283" s="24"/>
      <c r="F283" s="25" t="n">
        <f aca="false">(ABS(C75-G75)/C75)*100</f>
        <v>0.0251177394034537</v>
      </c>
      <c r="G283" s="25" t="n">
        <f aca="false">(ABS(D75-H75)/D75)*100</f>
        <v>0.00277633177164671</v>
      </c>
      <c r="H283" s="24"/>
    </row>
    <row r="284" customFormat="false" ht="15" hidden="false" customHeight="false" outlineLevel="0" collapsed="false">
      <c r="A284" s="7"/>
      <c r="B284" s="25" t="n">
        <v>72</v>
      </c>
      <c r="C284" s="11" t="n">
        <f aca="false">(ABS(C76-E76)/C76)*100</f>
        <v>99.9623233908948</v>
      </c>
      <c r="D284" s="25" t="n">
        <f aca="false">(ABS(D76-F76)/D76)*100</f>
        <v>11.049106368211</v>
      </c>
      <c r="E284" s="24"/>
      <c r="F284" s="25" t="n">
        <f aca="false">(ABS(C76-G76)/C76)*100</f>
        <v>0.0251177394034537</v>
      </c>
      <c r="G284" s="25" t="n">
        <f aca="false">(ABS(D76-H76)/D76)*100</f>
        <v>0.00277633177164671</v>
      </c>
      <c r="H284" s="24"/>
    </row>
    <row r="285" customFormat="false" ht="15" hidden="false" customHeight="false" outlineLevel="0" collapsed="false">
      <c r="A285" s="7"/>
      <c r="B285" s="25" t="n">
        <v>73</v>
      </c>
      <c r="C285" s="11" t="n">
        <f aca="false">(ABS(C77-E77)/C77)*100</f>
        <v>99.8430141287284</v>
      </c>
      <c r="D285" s="25" t="n">
        <f aca="false">(ABS(D77-F77)/D77)*100</f>
        <v>11.0359187922957</v>
      </c>
      <c r="E285" s="24"/>
      <c r="F285" s="25" t="n">
        <f aca="false">(ABS(C77-G77)/C77)*100</f>
        <v>0.0251177394034537</v>
      </c>
      <c r="G285" s="25" t="n">
        <f aca="false">(ABS(D77-H77)/D77)*100</f>
        <v>0.00277633177164671</v>
      </c>
      <c r="H285" s="24"/>
    </row>
    <row r="286" customFormat="false" ht="15" hidden="false" customHeight="false" outlineLevel="0" collapsed="false">
      <c r="A286" s="7"/>
      <c r="B286" s="25" t="n">
        <v>74</v>
      </c>
      <c r="C286" s="11" t="n">
        <f aca="false">(ABS(C78-E78)/C78)*100</f>
        <v>99.5981161695447</v>
      </c>
      <c r="D286" s="25" t="n">
        <f aca="false">(ABS(D78-F78)/D78)*100</f>
        <v>11.0088495575221</v>
      </c>
      <c r="E286" s="24"/>
      <c r="F286" s="25" t="n">
        <f aca="false">(ABS(C78-G78)/C78)*100</f>
        <v>0.0251177394034537</v>
      </c>
      <c r="G286" s="25" t="n">
        <f aca="false">(ABS(D78-H78)/D78)*100</f>
        <v>0.00277633177164671</v>
      </c>
      <c r="H286" s="24"/>
    </row>
    <row r="287" customFormat="false" ht="15" hidden="false" customHeight="false" outlineLevel="0" collapsed="false">
      <c r="A287" s="7"/>
      <c r="B287" s="25" t="n">
        <v>75</v>
      </c>
      <c r="C287" s="11" t="n">
        <f aca="false">(ABS(C79-E79)/C79)*100</f>
        <v>99.8995290423862</v>
      </c>
      <c r="D287" s="25" t="n">
        <f aca="false">(ABS(D79-F79)/D79)*100</f>
        <v>11.0421655387819</v>
      </c>
      <c r="E287" s="24"/>
      <c r="F287" s="25" t="n">
        <f aca="false">(ABS(C79-G79)/C79)*100</f>
        <v>0.0251177394034537</v>
      </c>
      <c r="G287" s="25" t="n">
        <f aca="false">(ABS(D79-H79)/D79)*100</f>
        <v>0.00277633177164671</v>
      </c>
      <c r="H287" s="24"/>
    </row>
    <row r="288" customFormat="false" ht="15" hidden="false" customHeight="false" outlineLevel="0" collapsed="false">
      <c r="A288" s="7"/>
      <c r="B288" s="25" t="n">
        <v>76</v>
      </c>
      <c r="C288" s="11" t="n">
        <f aca="false">(ABS(C80-E80)/C80)*100</f>
        <v>99.956043956044</v>
      </c>
      <c r="D288" s="25" t="n">
        <f aca="false">(ABS(D80-F80)/D80)*100</f>
        <v>11.0484122852681</v>
      </c>
      <c r="E288" s="24"/>
      <c r="F288" s="25" t="n">
        <f aca="false">(ABS(C80-G80)/C80)*100</f>
        <v>0.0251177394034537</v>
      </c>
      <c r="G288" s="25" t="n">
        <f aca="false">(ABS(D80-H80)/D80)*100</f>
        <v>0.00277633177164671</v>
      </c>
      <c r="H288" s="24"/>
    </row>
    <row r="289" customFormat="false" ht="15" hidden="false" customHeight="false" outlineLevel="0" collapsed="false">
      <c r="A289" s="7"/>
      <c r="B289" s="25" t="n">
        <v>77</v>
      </c>
      <c r="C289" s="11" t="n">
        <f aca="false">(ABS(C81-E81)/C81)*100</f>
        <v>99.8430042702839</v>
      </c>
      <c r="D289" s="25" t="n">
        <f aca="false">(ABS(D81-F81)/D81)*100</f>
        <v>11.035148116272</v>
      </c>
      <c r="E289" s="24"/>
      <c r="F289" s="25" t="n">
        <f aca="false">(ABS(C81-G81)/C81)*100</f>
        <v>0.0313991459432303</v>
      </c>
      <c r="G289" s="25" t="n">
        <f aca="false">(ABS(D81-H81)/D81)*100</f>
        <v>0.00347039062716899</v>
      </c>
      <c r="H289" s="24"/>
    </row>
    <row r="290" customFormat="false" ht="15" hidden="false" customHeight="false" outlineLevel="0" collapsed="false">
      <c r="A290" s="7"/>
      <c r="B290" s="25" t="n">
        <v>78</v>
      </c>
      <c r="C290" s="11" t="n">
        <f aca="false">(ABS(C82-E82)/C82)*100</f>
        <v>99.9309262166405</v>
      </c>
      <c r="D290" s="25" t="n">
        <f aca="false">(ABS(D82-F82)/D82)*100</f>
        <v>11.0456359534964</v>
      </c>
      <c r="E290" s="24"/>
      <c r="F290" s="25" t="n">
        <f aca="false">(ABS(C82-G82)/C82)*100</f>
        <v>0.0251177394034537</v>
      </c>
      <c r="G290" s="25" t="n">
        <f aca="false">(ABS(D82-H82)/D82)*100</f>
        <v>0.00277633177164671</v>
      </c>
      <c r="H290" s="24"/>
    </row>
    <row r="291" customFormat="false" ht="15" hidden="false" customHeight="false" outlineLevel="0" collapsed="false">
      <c r="A291" s="7"/>
      <c r="B291" s="25" t="n">
        <v>79</v>
      </c>
      <c r="C291" s="11" t="n">
        <f aca="false">(ABS(C83-E83)/C83)*100</f>
        <v>99.8869701726845</v>
      </c>
      <c r="D291" s="25" t="n">
        <f aca="false">(ABS(D83-F83)/D83)*100</f>
        <v>11.0407773728961</v>
      </c>
      <c r="E291" s="24"/>
      <c r="F291" s="25" t="n">
        <f aca="false">(ABS(C83-G83)/C83)*100</f>
        <v>0.0251177394034537</v>
      </c>
      <c r="G291" s="25" t="n">
        <f aca="false">(ABS(D83-H83)/D83)*100</f>
        <v>0.00277633177164671</v>
      </c>
      <c r="H291" s="24"/>
    </row>
    <row r="292" customFormat="false" ht="15" hidden="false" customHeight="false" outlineLevel="0" collapsed="false">
      <c r="A292" s="7"/>
      <c r="B292" s="25" t="n">
        <v>80</v>
      </c>
      <c r="C292" s="11" t="n">
        <f aca="false">(ABS(C84-E84)/C84)*100</f>
        <v>98.6309972368752</v>
      </c>
      <c r="D292" s="25" t="n">
        <f aca="false">(ABS(D84-F84)/D84)*100</f>
        <v>10.9011910380632</v>
      </c>
      <c r="E292" s="24"/>
      <c r="F292" s="25" t="n">
        <f aca="false">(ABS(C84-G84)/C84)*100</f>
        <v>0.0251193167545843</v>
      </c>
      <c r="G292" s="25" t="n">
        <f aca="false">(ABS(D84-H84)/D84)*100</f>
        <v>0.0027763125017352</v>
      </c>
      <c r="H292" s="24"/>
    </row>
    <row r="293" customFormat="false" ht="15" hidden="false" customHeight="false" outlineLevel="0" collapsed="false">
      <c r="A293" s="7"/>
      <c r="B293" s="25" t="n">
        <v>81</v>
      </c>
      <c r="C293" s="11" t="n">
        <f aca="false">(ABS(C85-E85)/C85)*100</f>
        <v>99.861852433281</v>
      </c>
      <c r="D293" s="25" t="n">
        <f aca="false">(ABS(D85-F85)/D85)*100</f>
        <v>11.0380010411244</v>
      </c>
      <c r="E293" s="24"/>
      <c r="F293" s="25" t="n">
        <f aca="false">(ABS(C85-G85)/C85)*100</f>
        <v>0.0251177394034537</v>
      </c>
      <c r="G293" s="25" t="n">
        <f aca="false">(ABS(D85-H85)/D85)*100</f>
        <v>0.00277633177164671</v>
      </c>
      <c r="H293" s="24"/>
    </row>
    <row r="294" customFormat="false" ht="15" hidden="false" customHeight="false" outlineLevel="0" collapsed="false">
      <c r="A294" s="7"/>
      <c r="B294" s="25" t="n">
        <v>82</v>
      </c>
      <c r="C294" s="11" t="n">
        <f aca="false">(ABS(C86-E86)/C86)*100</f>
        <v>99.9058025621703</v>
      </c>
      <c r="D294" s="25" t="n">
        <f aca="false">(ABS(D86-F86)/D86)*100</f>
        <v>11.0420888975263</v>
      </c>
      <c r="E294" s="24"/>
      <c r="F294" s="25" t="n">
        <f aca="false">(ABS(C86-G86)/C86)*100</f>
        <v>0.0313991459432303</v>
      </c>
      <c r="G294" s="25" t="n">
        <f aca="false">(ABS(D86-H86)/D86)*100</f>
        <v>0.00347039062716899</v>
      </c>
      <c r="H294" s="24"/>
    </row>
    <row r="295" customFormat="false" ht="15" hidden="false" customHeight="false" outlineLevel="0" collapsed="false">
      <c r="A295" s="7"/>
      <c r="B295" s="25" t="n">
        <v>83</v>
      </c>
      <c r="C295" s="11" t="n">
        <f aca="false">(ABS(C87-E87)/C87)*100</f>
        <v>99.9748822605965</v>
      </c>
      <c r="D295" s="25" t="n">
        <f aca="false">(ABS(D87-F87)/D87)*100</f>
        <v>11.0504945340968</v>
      </c>
      <c r="E295" s="24"/>
      <c r="F295" s="25" t="n">
        <f aca="false">(ABS(C87-G87)/C87)*100</f>
        <v>0.0188383045525903</v>
      </c>
      <c r="G295" s="25" t="n">
        <f aca="false">(ABS(D87-H87)/D87)*100</f>
        <v>0.00208224882873503</v>
      </c>
      <c r="H295" s="24"/>
    </row>
    <row r="296" customFormat="false" ht="15" hidden="false" customHeight="false" outlineLevel="0" collapsed="false">
      <c r="A296" s="7"/>
      <c r="B296" s="25" t="n">
        <v>84</v>
      </c>
      <c r="C296" s="11" t="n">
        <f aca="false">(ABS(C88-E88)/C88)*100</f>
        <v>99.9183673469388</v>
      </c>
      <c r="D296" s="25" t="n">
        <f aca="false">(ABS(D88-F88)/D88)*100</f>
        <v>11.0442477876106</v>
      </c>
      <c r="E296" s="24"/>
      <c r="F296" s="25" t="n">
        <f aca="false">(ABS(C88-G88)/C88)*100</f>
        <v>0.0188383045525903</v>
      </c>
      <c r="G296" s="25" t="n">
        <f aca="false">(ABS(D88-H88)/D88)*100</f>
        <v>0.00208224882873503</v>
      </c>
      <c r="H296" s="24"/>
    </row>
    <row r="297" customFormat="false" ht="15" hidden="false" customHeight="false" outlineLevel="0" collapsed="false">
      <c r="A297" s="7"/>
      <c r="B297" s="25" t="n">
        <v>85</v>
      </c>
      <c r="C297" s="11" t="n">
        <f aca="false">(ABS(C89-E89)/C89)*100</f>
        <v>97.7645211930926</v>
      </c>
      <c r="D297" s="25" t="n">
        <f aca="false">(ABS(D89-F89)/D89)*100</f>
        <v>10.8061773381919</v>
      </c>
      <c r="E297" s="24"/>
      <c r="F297" s="25" t="n">
        <f aca="false">(ABS(C89-G89)/C89)*100</f>
        <v>0.0188383045525903</v>
      </c>
      <c r="G297" s="25" t="n">
        <f aca="false">(ABS(D89-H89)/D89)*100</f>
        <v>0.00208224882873503</v>
      </c>
      <c r="H297" s="24"/>
    </row>
    <row r="298" customFormat="false" ht="15" hidden="false" customHeight="false" outlineLevel="0" collapsed="false">
      <c r="A298" s="7"/>
      <c r="B298" s="25" t="n">
        <v>86</v>
      </c>
      <c r="C298" s="11" t="n">
        <f aca="false">(ABS(C90-E90)/C90)*100</f>
        <v>99.9497897445553</v>
      </c>
      <c r="D298" s="25" t="n">
        <f aca="false">(ABS(D90-F90)/D90)*100</f>
        <v>11.0538846508916</v>
      </c>
      <c r="E298" s="24"/>
      <c r="F298" s="25" t="n">
        <f aca="false">(ABS(C90-G90)/C90)*100</f>
        <v>0.018828845791753</v>
      </c>
      <c r="G298" s="25" t="n">
        <f aca="false">(ABS(D90-H90)/D90)*100</f>
        <v>0.00208236445542699</v>
      </c>
      <c r="H298" s="24"/>
    </row>
    <row r="299" customFormat="false" ht="15" hidden="false" customHeight="false" outlineLevel="0" collapsed="false">
      <c r="A299" s="7"/>
      <c r="B299" s="25" t="n">
        <v>87</v>
      </c>
      <c r="C299" s="11" t="n">
        <f aca="false">(ABS(C91-E91)/C91)*100</f>
        <v>99.9623564840956</v>
      </c>
      <c r="D299" s="25" t="n">
        <f aca="false">(ABS(D91-F91)/D91)*100</f>
        <v>11.0598982375521</v>
      </c>
      <c r="E299" s="24"/>
      <c r="F299" s="25" t="n">
        <f aca="false">(ABS(C91-G91)/C91)*100</f>
        <v>0.00627391931739758</v>
      </c>
      <c r="G299" s="25" t="n">
        <f aca="false">(ABS(D91-H91)/D91)*100</f>
        <v>0.000694150394624499</v>
      </c>
      <c r="H299" s="24"/>
    </row>
    <row r="300" customFormat="false" ht="15" hidden="false" customHeight="false" outlineLevel="0" collapsed="false">
      <c r="A300" s="7"/>
      <c r="B300" s="25" t="n">
        <v>88</v>
      </c>
      <c r="C300" s="11" t="n">
        <f aca="false">(ABS(C92-E92)/C92)*100</f>
        <v>99.9434850863422</v>
      </c>
      <c r="D300" s="25" t="n">
        <f aca="false">(ABS(D92-F92)/D92)*100</f>
        <v>11.0470241193823</v>
      </c>
      <c r="E300" s="24"/>
      <c r="F300" s="25" t="n">
        <f aca="false">(ABS(C92-G92)/C92)*100</f>
        <v>0.0313971742543171</v>
      </c>
      <c r="G300" s="25" t="n">
        <f aca="false">(ABS(D92-H92)/D92)*100</f>
        <v>0.00347041471455839</v>
      </c>
      <c r="H300" s="24"/>
    </row>
    <row r="301" customFormat="false" ht="15" hidden="false" customHeight="false" outlineLevel="0" collapsed="false">
      <c r="A301" s="7"/>
      <c r="B301" s="25" t="n">
        <v>89</v>
      </c>
      <c r="C301" s="11" t="n">
        <f aca="false">(ABS(C93-E93)/C93)*100</f>
        <v>99.9686028257457</v>
      </c>
      <c r="D301" s="25" t="n">
        <f aca="false">(ABS(D93-F93)/D93)*100</f>
        <v>11.0498004511539</v>
      </c>
      <c r="E301" s="24"/>
      <c r="F301" s="25" t="n">
        <f aca="false">(ABS(C93-G93)/C93)*100</f>
        <v>0.0251177394034537</v>
      </c>
      <c r="G301" s="25" t="n">
        <f aca="false">(ABS(D93-H93)/D93)*100</f>
        <v>0.00277633177164671</v>
      </c>
      <c r="H301" s="24"/>
    </row>
    <row r="302" customFormat="false" ht="15" hidden="false" customHeight="false" outlineLevel="0" collapsed="false">
      <c r="A302" s="7"/>
      <c r="B302" s="25" t="n">
        <v>90</v>
      </c>
      <c r="C302" s="11" t="n">
        <f aca="false">(ABS(C94-E94)/C94)*100</f>
        <v>99.2213500784929</v>
      </c>
      <c r="D302" s="25" t="n">
        <f aca="false">(ABS(D94-F94)/D94)*100</f>
        <v>10.9672045809474</v>
      </c>
      <c r="E302" s="24"/>
      <c r="F302" s="25" t="n">
        <f aca="false">(ABS(C94-G94)/C94)*100</f>
        <v>0.0251177394034537</v>
      </c>
      <c r="G302" s="25" t="n">
        <f aca="false">(ABS(D94-H94)/D94)*100</f>
        <v>0.00277633177164671</v>
      </c>
      <c r="H302" s="24"/>
    </row>
    <row r="303" customFormat="false" ht="15" hidden="false" customHeight="false" outlineLevel="0" collapsed="false">
      <c r="A303" s="7"/>
      <c r="B303" s="25" t="n">
        <v>91</v>
      </c>
      <c r="C303" s="11" t="n">
        <f aca="false">(ABS(C95-E95)/C95)*100</f>
        <v>99.9686028257457</v>
      </c>
      <c r="D303" s="25" t="n">
        <f aca="false">(ABS(D95-F95)/D95)*100</f>
        <v>11.0498004511539</v>
      </c>
      <c r="E303" s="24"/>
      <c r="F303" s="25" t="n">
        <f aca="false">(ABS(C95-G95)/C95)*100</f>
        <v>0.0251177394034537</v>
      </c>
      <c r="G303" s="25" t="n">
        <f aca="false">(ABS(D95-H95)/D95)*100</f>
        <v>0.00277633177164671</v>
      </c>
      <c r="H303" s="24"/>
    </row>
    <row r="304" customFormat="false" ht="15" hidden="false" customHeight="false" outlineLevel="0" collapsed="false">
      <c r="A304" s="7"/>
      <c r="B304" s="25" t="n">
        <v>92</v>
      </c>
      <c r="C304" s="11" t="n">
        <f aca="false">(ABS(C96-E96)/C96)*100</f>
        <v>99.7927786499215</v>
      </c>
      <c r="D304" s="25" t="n">
        <f aca="false">(ABS(D96-F96)/D96)*100</f>
        <v>11.0303661287524</v>
      </c>
      <c r="E304" s="24"/>
      <c r="F304" s="25" t="n">
        <f aca="false">(ABS(C96-G96)/C96)*100</f>
        <v>0.0251177394034537</v>
      </c>
      <c r="G304" s="25" t="n">
        <f aca="false">(ABS(D96-H96)/D96)*100</f>
        <v>0.00277633177164671</v>
      </c>
      <c r="H304" s="24"/>
    </row>
    <row r="305" customFormat="false" ht="15" hidden="false" customHeight="false" outlineLevel="0" collapsed="false">
      <c r="A305" s="7"/>
      <c r="B305" s="25" t="n">
        <v>93</v>
      </c>
      <c r="C305" s="11" t="n">
        <f aca="false">(ABS(C97-E97)/C97)*100</f>
        <v>99.9309262166405</v>
      </c>
      <c r="D305" s="25" t="n">
        <f aca="false">(ABS(D97-F97)/D97)*100</f>
        <v>11.0456359534964</v>
      </c>
      <c r="E305" s="24"/>
      <c r="F305" s="25" t="n">
        <f aca="false">(ABS(C97-G97)/C97)*100</f>
        <v>0.0251177394034537</v>
      </c>
      <c r="G305" s="25" t="n">
        <f aca="false">(ABS(D97-H97)/D97)*100</f>
        <v>0.00277633177164671</v>
      </c>
      <c r="H305" s="24"/>
    </row>
    <row r="306" customFormat="false" ht="15" hidden="false" customHeight="false" outlineLevel="0" collapsed="false">
      <c r="A306" s="7"/>
      <c r="B306" s="25" t="n">
        <v>94</v>
      </c>
      <c r="C306" s="11" t="n">
        <f aca="false">(ABS(C98-E98)/C98)*100</f>
        <v>99.956043956044</v>
      </c>
      <c r="D306" s="25" t="n">
        <f aca="false">(ABS(D98-F98)/D98)*100</f>
        <v>11.0484122852681</v>
      </c>
      <c r="E306" s="24"/>
      <c r="F306" s="25" t="n">
        <f aca="false">(ABS(C98-G98)/C98)*100</f>
        <v>0.0251177394034537</v>
      </c>
      <c r="G306" s="25" t="n">
        <f aca="false">(ABS(D98-H98)/D98)*100</f>
        <v>0.00277633177164671</v>
      </c>
      <c r="H306" s="24"/>
    </row>
    <row r="307" customFormat="false" ht="15" hidden="false" customHeight="false" outlineLevel="0" collapsed="false">
      <c r="A307" s="7"/>
      <c r="B307" s="25" t="n">
        <v>95</v>
      </c>
      <c r="C307" s="11" t="n">
        <f aca="false">(ABS(C99-E99)/C99)*100</f>
        <v>99.9811616954474</v>
      </c>
      <c r="D307" s="25" t="n">
        <f aca="false">(ABS(D99-F99)/D99)*100</f>
        <v>11.0511886170397</v>
      </c>
      <c r="E307" s="24"/>
      <c r="F307" s="25" t="n">
        <f aca="false">(ABS(C99-G99)/C99)*100</f>
        <v>0.0251177394034537</v>
      </c>
      <c r="G307" s="25" t="n">
        <f aca="false">(ABS(D99-H99)/D99)*100</f>
        <v>0.00277633177164671</v>
      </c>
      <c r="H307" s="24"/>
    </row>
    <row r="308" customFormat="false" ht="15" hidden="false" customHeight="false" outlineLevel="0" collapsed="false">
      <c r="A308" s="7"/>
      <c r="B308" s="25" t="n">
        <v>96</v>
      </c>
      <c r="C308" s="11" t="n">
        <f aca="false">(ABS(C100-E100)/C100)*100</f>
        <v>99.9434850863422</v>
      </c>
      <c r="D308" s="25" t="n">
        <f aca="false">(ABS(D100-F100)/D100)*100</f>
        <v>11.0470241193823</v>
      </c>
      <c r="E308" s="24"/>
      <c r="F308" s="25" t="n">
        <f aca="false">(ABS(C100-G100)/C100)*100</f>
        <v>0.0313971742543171</v>
      </c>
      <c r="G308" s="25" t="n">
        <f aca="false">(ABS(D100-H100)/D100)*100</f>
        <v>0.00347041471455839</v>
      </c>
      <c r="H308" s="24"/>
    </row>
    <row r="309" customFormat="false" ht="15" hidden="false" customHeight="false" outlineLevel="0" collapsed="false">
      <c r="A309" s="7"/>
      <c r="B309" s="25" t="n">
        <v>97</v>
      </c>
      <c r="C309" s="11" t="n">
        <f aca="false">(ABS(C101-E101)/C101)*100</f>
        <v>100</v>
      </c>
      <c r="D309" s="25" t="n">
        <f aca="false">(ABS(D101-F101)/D101)*100</f>
        <v>11.0525000694078</v>
      </c>
      <c r="E309" s="24"/>
      <c r="F309" s="25" t="n">
        <f aca="false">(ABS(C101-G101)/C101)*100</f>
        <v>0.0376789751318764</v>
      </c>
      <c r="G309" s="25" t="n">
        <f aca="false">(ABS(D101-H101)/D101)*100</f>
        <v>0.00416446875260279</v>
      </c>
      <c r="H309" s="24"/>
    </row>
    <row r="310" customFormat="false" ht="15" hidden="false" customHeight="false" outlineLevel="0" collapsed="false">
      <c r="A310" s="7"/>
      <c r="B310" s="25" t="n">
        <v>98</v>
      </c>
      <c r="C310" s="11" t="n">
        <f aca="false">(ABS(C102-E102)/C102)*100</f>
        <v>100</v>
      </c>
      <c r="D310" s="25" t="n">
        <f aca="false">(ABS(D102-F102)/D102)*100</f>
        <v>11.0525000694078</v>
      </c>
      <c r="E310" s="24"/>
      <c r="F310" s="25" t="n">
        <f aca="false">(ABS(C102-G102)/C102)*100</f>
        <v>0.0376789751318764</v>
      </c>
      <c r="G310" s="25" t="n">
        <f aca="false">(ABS(D102-H102)/D102)*100</f>
        <v>0.00416446875260279</v>
      </c>
      <c r="H310" s="24"/>
    </row>
    <row r="311" customFormat="false" ht="15" hidden="false" customHeight="false" outlineLevel="0" collapsed="false">
      <c r="A311" s="7"/>
      <c r="B311" s="25" t="n">
        <v>99</v>
      </c>
      <c r="C311" s="11" t="n">
        <f aca="false">(ABS(C103-E103)/C103)*100</f>
        <v>99.9068207230712</v>
      </c>
      <c r="D311" s="25" t="n">
        <f aca="false">(ABS(D103-F103)/D103)*100</f>
        <v>11.176356131256</v>
      </c>
      <c r="E311" s="24"/>
      <c r="F311" s="25" t="n">
        <f aca="false">(ABS(C103-G103)/C103)*100</f>
        <v>0</v>
      </c>
      <c r="G311" s="25" t="n">
        <f aca="false">(ABS(D103-H103)/D103)*100</f>
        <v>0</v>
      </c>
      <c r="H311" s="24"/>
    </row>
    <row r="312" customFormat="false" ht="15" hidden="false" customHeight="false" outlineLevel="0" collapsed="false">
      <c r="A312" s="7"/>
      <c r="B312" s="25" t="n">
        <v>100</v>
      </c>
      <c r="C312" s="11" t="n">
        <f aca="false">(ABS(C104-E104)/C104)*100</f>
        <v>99.918428813453</v>
      </c>
      <c r="D312" s="25" t="n">
        <f aca="false">(ABS(D104-F104)/D104)*100</f>
        <v>11.0534974282085</v>
      </c>
      <c r="E312" s="24"/>
      <c r="F312" s="25" t="n">
        <f aca="false">(ABS(C104-G104)/C104)*100</f>
        <v>0.00627470665746376</v>
      </c>
      <c r="G312" s="25" t="n">
        <f aca="false">(ABS(D104-H104)/D104)*100</f>
        <v>0.000694140757862879</v>
      </c>
      <c r="H312" s="24"/>
    </row>
    <row r="313" customFormat="false" ht="15" hidden="false" customHeight="false" outlineLevel="0" collapsed="false">
      <c r="A313" s="7"/>
      <c r="B313" s="25" t="n">
        <v>101</v>
      </c>
      <c r="C313" s="11" t="n">
        <f aca="false">(ABS(C105-E105)/C105)*100</f>
        <v>99.9000874235044</v>
      </c>
      <c r="D313" s="25" t="n">
        <f aca="false">(ABS(D105-F105)/D105)*100</f>
        <v>11.110802439126</v>
      </c>
      <c r="E313" s="24"/>
      <c r="F313" s="25" t="n">
        <f aca="false">(ABS(C105-G105)/C105)*100</f>
        <v>0.0124890720619458</v>
      </c>
      <c r="G313" s="25" t="n">
        <f aca="false">(ABS(D105-H105)/D105)*100</f>
        <v>0.00138902393288236</v>
      </c>
      <c r="H313" s="24"/>
    </row>
    <row r="314" customFormat="false" ht="15" hidden="false" customHeight="false" outlineLevel="0" collapsed="false">
      <c r="A314" s="7"/>
      <c r="B314" s="25" t="n">
        <v>102</v>
      </c>
      <c r="C314" s="11" t="n">
        <f aca="false">(ABS(C106-E106)/C106)*100</f>
        <v>98.8634222919937</v>
      </c>
      <c r="D314" s="25" t="n">
        <f aca="false">(ABS(D106-F106)/D106)*100</f>
        <v>10.9276418532015</v>
      </c>
      <c r="E314" s="24"/>
      <c r="F314" s="25" t="n">
        <f aca="false">(ABS(C106-G106)/C106)*100</f>
        <v>0.0251177394034537</v>
      </c>
      <c r="G314" s="25" t="n">
        <f aca="false">(ABS(D106-H106)/D106)*100</f>
        <v>0.00277633177164671</v>
      </c>
      <c r="H314" s="24"/>
    </row>
    <row r="315" customFormat="false" ht="15" hidden="false" customHeight="false" outlineLevel="0" collapsed="false">
      <c r="A315" s="7"/>
      <c r="B315" s="25" t="n">
        <v>103</v>
      </c>
      <c r="C315" s="11" t="n">
        <f aca="false">(ABS(C107-E107)/C107)*100</f>
        <v>93.8335949764521</v>
      </c>
      <c r="D315" s="25" t="n">
        <f aca="false">(ABS(D107-F107)/D107)*100</f>
        <v>10.3716814159292</v>
      </c>
      <c r="E315" s="24"/>
      <c r="F315" s="25" t="n">
        <f aca="false">(ABS(C107-G107)/C107)*100</f>
        <v>0.0251177394034537</v>
      </c>
      <c r="G315" s="25" t="n">
        <f aca="false">(ABS(D107-H107)/D107)*100</f>
        <v>0.00277633177164671</v>
      </c>
      <c r="H315" s="24"/>
    </row>
    <row r="316" customFormat="false" ht="15" hidden="false" customHeight="false" outlineLevel="0" collapsed="false">
      <c r="A316" s="7"/>
      <c r="B316" s="25" t="n">
        <v>104</v>
      </c>
      <c r="C316" s="11" t="n">
        <f aca="false">(ABS(C108-E108)/C108)*100</f>
        <v>99.8806907378336</v>
      </c>
      <c r="D316" s="25" t="n">
        <f aca="false">(ABS(D108-F108)/D108)*100</f>
        <v>11.0400832899531</v>
      </c>
      <c r="E316" s="24"/>
      <c r="F316" s="25" t="n">
        <f aca="false">(ABS(C108-G108)/C108)*100</f>
        <v>0.0251177394034537</v>
      </c>
      <c r="G316" s="25" t="n">
        <f aca="false">(ABS(D108-H108)/D108)*100</f>
        <v>0.00277633177164671</v>
      </c>
      <c r="H316" s="24"/>
    </row>
    <row r="317" customFormat="false" ht="15" hidden="false" customHeight="false" outlineLevel="0" collapsed="false">
      <c r="A317" s="7"/>
      <c r="B317" s="25" t="n">
        <v>105</v>
      </c>
      <c r="C317" s="11" t="n">
        <f aca="false">(ABS(C109-E109)/C109)*100</f>
        <v>99.9434815373022</v>
      </c>
      <c r="D317" s="25" t="n">
        <f aca="false">(ABS(D109-F109)/D109)*100</f>
        <v>11.0462533662789</v>
      </c>
      <c r="E317" s="24"/>
      <c r="F317" s="25" t="n">
        <f aca="false">(ABS(C109-G109)/C109)*100</f>
        <v>0.0251193167545843</v>
      </c>
      <c r="G317" s="25" t="n">
        <f aca="false">(ABS(D109-H109)/D109)*100</f>
        <v>0.0027763125017352</v>
      </c>
      <c r="H317" s="24"/>
    </row>
    <row r="318" customFormat="false" ht="15" hidden="false" customHeight="false" outlineLevel="0" collapsed="false">
      <c r="A318" s="7"/>
      <c r="B318" s="25" t="n">
        <v>106</v>
      </c>
      <c r="C318" s="11" t="n">
        <f aca="false">(ABS(C110-E110)/C110)*100</f>
        <v>95.1208791208791</v>
      </c>
      <c r="D318" s="25" t="n">
        <f aca="false">(ABS(D110-F110)/D110)*100</f>
        <v>10.5139684192261</v>
      </c>
      <c r="E318" s="24"/>
      <c r="F318" s="25" t="n">
        <f aca="false">(ABS(C110-G110)/C110)*100</f>
        <v>0.0251177394034537</v>
      </c>
      <c r="G318" s="25" t="n">
        <f aca="false">(ABS(D110-H110)/D110)*100</f>
        <v>0.00277633177164671</v>
      </c>
      <c r="H318" s="24"/>
    </row>
    <row r="319" customFormat="false" ht="15" hidden="false" customHeight="false" outlineLevel="0" collapsed="false">
      <c r="A319" s="7"/>
      <c r="B319" s="25" t="n">
        <v>107</v>
      </c>
      <c r="C319" s="11" t="n">
        <f aca="false">(ABS(C111-E111)/C111)*100</f>
        <v>99.9686008540568</v>
      </c>
      <c r="D319" s="25" t="n">
        <f aca="false">(ABS(D111-F111)/D111)*100</f>
        <v>11.0490296787806</v>
      </c>
      <c r="E319" s="24"/>
      <c r="F319" s="25" t="n">
        <f aca="false">(ABS(C111-G111)/C111)*100</f>
        <v>0.0251193167545843</v>
      </c>
      <c r="G319" s="25" t="n">
        <f aca="false">(ABS(D111-H111)/D111)*100</f>
        <v>0.0027763125017352</v>
      </c>
      <c r="H319" s="24"/>
    </row>
    <row r="320" customFormat="false" ht="15" hidden="false" customHeight="false" outlineLevel="0" collapsed="false">
      <c r="A320" s="7"/>
      <c r="B320" s="25" t="n">
        <v>108</v>
      </c>
      <c r="C320" s="11" t="n">
        <f aca="false">(ABS(C112-E112)/C112)*100</f>
        <v>99.9623210248681</v>
      </c>
      <c r="D320" s="25" t="n">
        <f aca="false">(ABS(D112-F112)/D112)*100</f>
        <v>11.0483356006552</v>
      </c>
      <c r="E320" s="24"/>
      <c r="F320" s="25" t="n">
        <f aca="false">(ABS(C112-G112)/C112)*100</f>
        <v>0.0251193167545843</v>
      </c>
      <c r="G320" s="25" t="n">
        <f aca="false">(ABS(D112-H112)/D112)*100</f>
        <v>0.0027763125017352</v>
      </c>
      <c r="H320" s="24"/>
    </row>
    <row r="321" customFormat="false" ht="15" hidden="false" customHeight="false" outlineLevel="0" collapsed="false">
      <c r="A321" s="7"/>
      <c r="B321" s="25" t="n">
        <v>109</v>
      </c>
      <c r="C321" s="11" t="n">
        <f aca="false">(ABS(C113-E113)/C113)*100</f>
        <v>99.7613814756672</v>
      </c>
      <c r="D321" s="25" t="n">
        <f aca="false">(ABS(D113-F113)/D113)*100</f>
        <v>11.0268957140378</v>
      </c>
      <c r="E321" s="24"/>
      <c r="F321" s="25" t="n">
        <f aca="false">(ABS(C113-G113)/C113)*100</f>
        <v>0.0251177394034537</v>
      </c>
      <c r="G321" s="25" t="n">
        <f aca="false">(ABS(D113-H113)/D113)*100</f>
        <v>0.00277633177164671</v>
      </c>
      <c r="H321" s="24"/>
    </row>
    <row r="322" customFormat="false" ht="15" hidden="false" customHeight="false" outlineLevel="0" collapsed="false">
      <c r="A322" s="7"/>
      <c r="B322" s="25" t="n">
        <v>110</v>
      </c>
      <c r="C322" s="11" t="n">
        <f aca="false">(ABS(C114-E114)/C114)*100</f>
        <v>99.6423192771084</v>
      </c>
      <c r="D322" s="25" t="n">
        <f aca="false">(ABS(D114-F114)/D114)*100</f>
        <v>11.0221845846291</v>
      </c>
      <c r="E322" s="24"/>
      <c r="F322" s="25" t="n">
        <f aca="false">(ABS(C114-G114)/C114)*100</f>
        <v>0</v>
      </c>
      <c r="G322" s="25" t="n">
        <f aca="false">(ABS(D114-H114)/D114)*100</f>
        <v>0</v>
      </c>
      <c r="H322" s="24"/>
    </row>
    <row r="323" customFormat="false" ht="15" hidden="false" customHeight="false" outlineLevel="0" collapsed="false">
      <c r="A323" s="7"/>
      <c r="B323" s="25" t="n">
        <v>111</v>
      </c>
      <c r="C323" s="11" t="n">
        <f aca="false">(ABS(C115-E115)/C115)*100</f>
        <v>99.9309218789249</v>
      </c>
      <c r="D323" s="25" t="n">
        <f aca="false">(ABS(D115-F115)/D115)*100</f>
        <v>11.044865210028</v>
      </c>
      <c r="E323" s="24"/>
      <c r="F323" s="25" t="n">
        <f aca="false">(ABS(C115-G115)/C115)*100</f>
        <v>0.0251193167545843</v>
      </c>
      <c r="G323" s="25" t="n">
        <f aca="false">(ABS(D115-H115)/D115)*100</f>
        <v>0.0027763125017352</v>
      </c>
      <c r="H323" s="24"/>
    </row>
    <row r="324" customFormat="false" ht="15" hidden="false" customHeight="false" outlineLevel="0" collapsed="false">
      <c r="A324" s="7"/>
      <c r="B324" s="25" t="n">
        <v>112</v>
      </c>
      <c r="C324" s="11" t="n">
        <f aca="false">(ABS(C116-E116)/C116)*100</f>
        <v>99.7488226059655</v>
      </c>
      <c r="D324" s="25" t="n">
        <f aca="false">(ABS(D116-F116)/D116)*100</f>
        <v>11.025507548152</v>
      </c>
      <c r="E324" s="24"/>
      <c r="F324" s="25" t="n">
        <f aca="false">(ABS(C116-G116)/C116)*100</f>
        <v>0.0376766091051805</v>
      </c>
      <c r="G324" s="25" t="n">
        <f aca="false">(ABS(D116-H116)/D116)*100</f>
        <v>0.00416449765747007</v>
      </c>
      <c r="H324" s="24"/>
    </row>
    <row r="325" customFormat="false" ht="15" hidden="false" customHeight="false" outlineLevel="0" collapsed="false">
      <c r="A325" s="7"/>
      <c r="B325" s="25" t="n">
        <v>113</v>
      </c>
      <c r="C325" s="11" t="n">
        <f aca="false">(ABS(C117-E117)/C117)*100</f>
        <v>92.7656367746797</v>
      </c>
      <c r="D325" s="25" t="n">
        <f aca="false">(ABS(D117-F117)/D117)*100</f>
        <v>10.2529220689081</v>
      </c>
      <c r="E325" s="24"/>
      <c r="F325" s="25" t="n">
        <f aca="false">(ABS(C117-G117)/C117)*100</f>
        <v>0.0313991459432303</v>
      </c>
      <c r="G325" s="25" t="n">
        <f aca="false">(ABS(D117-H117)/D117)*100</f>
        <v>0.00347039062716899</v>
      </c>
      <c r="H325" s="24"/>
    </row>
    <row r="326" customFormat="false" ht="15" hidden="false" customHeight="false" outlineLevel="0" collapsed="false">
      <c r="A326" s="7"/>
      <c r="B326" s="25" t="n">
        <v>114</v>
      </c>
      <c r="C326" s="11" t="n">
        <f aca="false">(ABS(C118-E118)/C118)*100</f>
        <v>99.6106750392465</v>
      </c>
      <c r="D326" s="25" t="n">
        <f aca="false">(ABS(D118-F118)/D118)*100</f>
        <v>11.0102377234079</v>
      </c>
      <c r="E326" s="24"/>
      <c r="F326" s="25" t="n">
        <f aca="false">(ABS(C118-G118)/C118)*100</f>
        <v>0.0313971742543171</v>
      </c>
      <c r="G326" s="25" t="n">
        <f aca="false">(ABS(D118-H118)/D118)*100</f>
        <v>0.00347041471455839</v>
      </c>
      <c r="H326" s="24"/>
    </row>
    <row r="327" customFormat="false" ht="15" hidden="false" customHeight="false" outlineLevel="0" collapsed="false">
      <c r="A327" s="7"/>
      <c r="B327" s="25" t="n">
        <v>115</v>
      </c>
      <c r="C327" s="11" t="n">
        <f aca="false">(ABS(C119-E119)/C119)*100</f>
        <v>99.9811616954474</v>
      </c>
      <c r="D327" s="25" t="n">
        <f aca="false">(ABS(D119-F119)/D119)*100</f>
        <v>11.0511886170397</v>
      </c>
      <c r="E327" s="24"/>
      <c r="F327" s="25" t="n">
        <f aca="false">(ABS(C119-G119)/C119)*100</f>
        <v>0.0376766091051805</v>
      </c>
      <c r="G327" s="25" t="n">
        <f aca="false">(ABS(D119-H119)/D119)*100</f>
        <v>0.00416449765747007</v>
      </c>
      <c r="H327" s="24"/>
    </row>
    <row r="328" customFormat="false" ht="15" hidden="false" customHeight="false" outlineLevel="0" collapsed="false">
      <c r="A328" s="7"/>
      <c r="B328" s="25" t="n">
        <v>116</v>
      </c>
      <c r="C328" s="11" t="n">
        <f aca="false">(ABS(C120-E120)/C120)*100</f>
        <v>99.5545517284648</v>
      </c>
      <c r="D328" s="25" t="n">
        <f aca="false">(ABS(D120-F120)/D120)*100</f>
        <v>11.0147784619016</v>
      </c>
      <c r="E328" s="24"/>
      <c r="F328" s="25" t="n">
        <f aca="false">(ABS(C120-G120)/C120)*100</f>
        <v>0</v>
      </c>
      <c r="G328" s="25" t="n">
        <f aca="false">(ABS(D120-H120)/D120)*100</f>
        <v>0</v>
      </c>
      <c r="H328" s="24"/>
    </row>
    <row r="329" customFormat="false" ht="15" hidden="false" customHeight="false" outlineLevel="0" collapsed="false">
      <c r="A329" s="7"/>
      <c r="B329" s="25" t="n">
        <v>117</v>
      </c>
      <c r="C329" s="11" t="n">
        <f aca="false">(ABS(C121-E121)/C121)*100</f>
        <v>99.8869701726845</v>
      </c>
      <c r="D329" s="25" t="n">
        <f aca="false">(ABS(D121-F121)/D121)*100</f>
        <v>11.0407773728961</v>
      </c>
      <c r="E329" s="24"/>
      <c r="F329" s="25" t="n">
        <f aca="false">(ABS(C121-G121)/C121)*100</f>
        <v>0.0188383045525903</v>
      </c>
      <c r="G329" s="25" t="n">
        <f aca="false">(ABS(D121-H121)/D121)*100</f>
        <v>0.00208224882873503</v>
      </c>
      <c r="H329" s="24"/>
    </row>
    <row r="330" customFormat="false" ht="15" hidden="false" customHeight="false" outlineLevel="0" collapsed="false">
      <c r="A330" s="7"/>
      <c r="B330" s="25" t="n">
        <v>118</v>
      </c>
      <c r="C330" s="11" t="n">
        <f aca="false">(ABS(C122-E122)/C122)*100</f>
        <v>99.0204081632653</v>
      </c>
      <c r="D330" s="25" t="n">
        <f aca="false">(ABS(D122-F122)/D122)*100</f>
        <v>10.9449939267742</v>
      </c>
      <c r="E330" s="24"/>
      <c r="F330" s="25" t="n">
        <f aca="false">(ABS(C122-G122)/C122)*100</f>
        <v>0.0188383045525903</v>
      </c>
      <c r="G330" s="25" t="n">
        <f aca="false">(ABS(D122-H122)/D122)*100</f>
        <v>0.00208224882873503</v>
      </c>
      <c r="H330" s="24"/>
    </row>
    <row r="331" customFormat="false" ht="15" hidden="false" customHeight="false" outlineLevel="0" collapsed="false">
      <c r="A331" s="7"/>
      <c r="B331" s="25" t="n">
        <v>119</v>
      </c>
      <c r="C331" s="11" t="n">
        <f aca="false">(ABS(C123-E123)/C123)*100</f>
        <v>99.9309262166405</v>
      </c>
      <c r="D331" s="25" t="n">
        <f aca="false">(ABS(D123-F123)/D123)*100</f>
        <v>11.0456359534964</v>
      </c>
      <c r="E331" s="24"/>
      <c r="F331" s="25" t="n">
        <f aca="false">(ABS(C123-G123)/C123)*100</f>
        <v>0.0188383045525903</v>
      </c>
      <c r="G331" s="25" t="n">
        <f aca="false">(ABS(D123-H123)/D123)*100</f>
        <v>0.00208224882873503</v>
      </c>
      <c r="H331" s="24"/>
    </row>
    <row r="332" customFormat="false" ht="15" hidden="false" customHeight="false" outlineLevel="0" collapsed="false">
      <c r="A332" s="7"/>
      <c r="B332" s="25" t="n">
        <v>120</v>
      </c>
      <c r="C332" s="11" t="n">
        <f aca="false">(ABS(C124-E124)/C124)*100</f>
        <v>99.8053375196232</v>
      </c>
      <c r="D332" s="25" t="n">
        <f aca="false">(ABS(D124-F124)/D124)*100</f>
        <v>11.0317542946382</v>
      </c>
      <c r="E332" s="24"/>
      <c r="F332" s="25" t="n">
        <f aca="false">(ABS(C124-G124)/C124)*100</f>
        <v>0.0188383045525903</v>
      </c>
      <c r="G332" s="25" t="n">
        <f aca="false">(ABS(D124-H124)/D124)*100</f>
        <v>0.00208224882873503</v>
      </c>
      <c r="H332" s="24"/>
    </row>
    <row r="333" customFormat="false" ht="15" hidden="false" customHeight="false" outlineLevel="0" collapsed="false">
      <c r="A333" s="7"/>
      <c r="B333" s="25" t="n">
        <v>121</v>
      </c>
      <c r="C333" s="11" t="n">
        <f aca="false">(ABS(C125-E125)/C125)*100</f>
        <v>99.9372056514914</v>
      </c>
      <c r="D333" s="25" t="n">
        <f aca="false">(ABS(D125-F125)/D125)*100</f>
        <v>11.0463300364394</v>
      </c>
      <c r="E333" s="24"/>
      <c r="F333" s="25" t="n">
        <f aca="false">(ABS(C125-G125)/C125)*100</f>
        <v>0.0188383045525903</v>
      </c>
      <c r="G333" s="25" t="n">
        <f aca="false">(ABS(D125-H125)/D125)*100</f>
        <v>0.00208224882873503</v>
      </c>
      <c r="H333" s="24"/>
    </row>
    <row r="334" customFormat="false" ht="15" hidden="false" customHeight="false" outlineLevel="0" collapsed="false">
      <c r="A334" s="7"/>
      <c r="B334" s="25" t="n">
        <v>122</v>
      </c>
      <c r="C334" s="11" t="n">
        <f aca="false">(ABS(C126-E126)/C126)*100</f>
        <v>99.8430042702839</v>
      </c>
      <c r="D334" s="25" t="n">
        <f aca="false">(ABS(D126-F126)/D126)*100</f>
        <v>11.035148116272</v>
      </c>
      <c r="E334" s="24"/>
      <c r="F334" s="25" t="n">
        <f aca="false">(ABS(C126-G126)/C126)*100</f>
        <v>0.0125596583772921</v>
      </c>
      <c r="G334" s="25" t="n">
        <f aca="false">(ABS(D126-H126)/D126)*100</f>
        <v>0.0013881562508676</v>
      </c>
      <c r="H334" s="24"/>
    </row>
    <row r="335" customFormat="false" ht="15" hidden="false" customHeight="false" outlineLevel="0" collapsed="false">
      <c r="A335" s="7"/>
      <c r="B335" s="25" t="n">
        <v>123</v>
      </c>
      <c r="C335" s="11" t="n">
        <f aca="false">(ABS(C127-E127)/C127)*100</f>
        <v>99.5541601255887</v>
      </c>
      <c r="D335" s="25" t="n">
        <f aca="false">(ABS(D127-F127)/D127)*100</f>
        <v>11.0039909769217</v>
      </c>
      <c r="E335" s="24"/>
      <c r="F335" s="25" t="n">
        <f aca="false">(ABS(C127-G127)/C127)*100</f>
        <v>0.0125588697017268</v>
      </c>
      <c r="G335" s="25" t="n">
        <f aca="false">(ABS(D127-H127)/D127)*100</f>
        <v>0.00138816588582336</v>
      </c>
      <c r="H335" s="24"/>
    </row>
    <row r="336" customFormat="false" ht="15" hidden="false" customHeight="false" outlineLevel="0" collapsed="false">
      <c r="A336" s="7"/>
      <c r="B336" s="25" t="n">
        <v>124</v>
      </c>
      <c r="C336" s="11" t="n">
        <f aca="false">(ABS(C128-E128)/C128)*100</f>
        <v>99.887041104487</v>
      </c>
      <c r="D336" s="25" t="n">
        <f aca="false">(ABS(D128-F128)/D128)*100</f>
        <v>11.0484850588276</v>
      </c>
      <c r="E336" s="24"/>
      <c r="F336" s="25" t="n">
        <f aca="false">(ABS(C128-G128)/C128)*100</f>
        <v>0.0188264825855036</v>
      </c>
      <c r="G336" s="25" t="n">
        <f aca="false">(ABS(D128-H128)/D128)*100</f>
        <v>0.00208239336410648</v>
      </c>
      <c r="H336" s="24"/>
    </row>
    <row r="337" customFormat="false" ht="15" hidden="false" customHeight="false" outlineLevel="0" collapsed="false">
      <c r="A337" s="7"/>
      <c r="B337" s="25" t="n">
        <v>125</v>
      </c>
      <c r="C337" s="11" t="n">
        <f aca="false">(ABS(C129-E129)/C129)*100</f>
        <v>99.9246467817896</v>
      </c>
      <c r="D337" s="25" t="n">
        <f aca="false">(ABS(D129-F129)/D129)*100</f>
        <v>11.0449418705535</v>
      </c>
      <c r="E337" s="24"/>
      <c r="F337" s="25" t="n">
        <f aca="false">(ABS(C129-G129)/C129)*100</f>
        <v>0.0251177394034537</v>
      </c>
      <c r="G337" s="25" t="n">
        <f aca="false">(ABS(D129-H129)/D129)*100</f>
        <v>0.00277633177164671</v>
      </c>
      <c r="H337" s="24"/>
    </row>
    <row r="338" customFormat="false" ht="15" hidden="false" customHeight="false" outlineLevel="0" collapsed="false">
      <c r="A338" s="7"/>
      <c r="B338" s="25" t="n">
        <v>126</v>
      </c>
      <c r="C338" s="11" t="n">
        <f aca="false">(ABS(C130-E130)/C130)*100</f>
        <v>99.447409733124</v>
      </c>
      <c r="D338" s="25" t="n">
        <f aca="false">(ABS(D130-F130)/D130)*100</f>
        <v>10.9921915668922</v>
      </c>
      <c r="E338" s="24"/>
      <c r="F338" s="25" t="n">
        <f aca="false">(ABS(C130-G130)/C130)*100</f>
        <v>0.0251177394034537</v>
      </c>
      <c r="G338" s="25" t="n">
        <f aca="false">(ABS(D130-H130)/D130)*100</f>
        <v>0.00277633177164671</v>
      </c>
      <c r="H338" s="24"/>
    </row>
    <row r="339" customFormat="false" ht="15" hidden="false" customHeight="false" outlineLevel="0" collapsed="false">
      <c r="A339" s="7"/>
      <c r="B339" s="25" t="n">
        <v>127</v>
      </c>
      <c r="C339" s="11" t="n">
        <f aca="false">(ABS(C131-E131)/C131)*100</f>
        <v>98.4050235478807</v>
      </c>
      <c r="D339" s="25" t="n">
        <f aca="false">(ABS(D131-F131)/D131)*100</f>
        <v>10.8769737983689</v>
      </c>
      <c r="E339" s="24"/>
      <c r="F339" s="25" t="n">
        <f aca="false">(ABS(C131-G131)/C131)*100</f>
        <v>0.0251177394034537</v>
      </c>
      <c r="G339" s="25" t="n">
        <f aca="false">(ABS(D131-H131)/D131)*100</f>
        <v>0.00277633177164671</v>
      </c>
      <c r="H339" s="24"/>
    </row>
    <row r="340" customFormat="false" ht="15" hidden="false" customHeight="false" outlineLevel="0" collapsed="false">
      <c r="A340" s="7"/>
      <c r="B340" s="25" t="n">
        <v>128</v>
      </c>
      <c r="C340" s="11" t="n">
        <f aca="false">(ABS(C132-E132)/C132)*100</f>
        <v>99.8555639286611</v>
      </c>
      <c r="D340" s="25" t="n">
        <f aca="false">(ABS(D132-F132)/D132)*100</f>
        <v>11.0365362725228</v>
      </c>
      <c r="E340" s="24"/>
      <c r="F340" s="25" t="n">
        <f aca="false">(ABS(C132-G132)/C132)*100</f>
        <v>0.0188394875659382</v>
      </c>
      <c r="G340" s="25" t="n">
        <f aca="false">(ABS(D132-H132)/D132)*100</f>
        <v>0.0020822343763014</v>
      </c>
      <c r="H340" s="24"/>
    </row>
    <row r="341" customFormat="false" ht="15" hidden="false" customHeight="false" outlineLevel="0" collapsed="false">
      <c r="A341" s="7"/>
      <c r="B341" s="25" t="n">
        <v>129</v>
      </c>
      <c r="C341" s="11" t="n">
        <f aca="false">(ABS(C133-E133)/C133)*100</f>
        <v>99.9498054962982</v>
      </c>
      <c r="D341" s="25" t="n">
        <f aca="false">(ABS(D133-F133)/D133)*100</f>
        <v>11.0577390290292</v>
      </c>
      <c r="E341" s="24"/>
      <c r="F341" s="25" t="n">
        <f aca="false">(ABS(C133-G133)/C133)*100</f>
        <v>0.0188229388881917</v>
      </c>
      <c r="G341" s="25" t="n">
        <f aca="false">(ABS(D133-H133)/D133)*100</f>
        <v>0.00208243672863073</v>
      </c>
      <c r="H341" s="24"/>
    </row>
    <row r="342" customFormat="false" ht="15" hidden="false" customHeight="false" outlineLevel="0" collapsed="false">
      <c r="A342" s="7"/>
      <c r="B342" s="25" t="n">
        <v>130</v>
      </c>
      <c r="C342" s="11" t="n">
        <f aca="false">(ABS(C134-E134)/C134)*100</f>
        <v>98.9701080130621</v>
      </c>
      <c r="D342" s="25" t="n">
        <f aca="false">(ABS(D134-F134)/D134)*100</f>
        <v>10.9386712568367</v>
      </c>
      <c r="E342" s="24"/>
      <c r="F342" s="25" t="n">
        <f aca="false">(ABS(C134-G134)/C134)*100</f>
        <v>0.0313991459432303</v>
      </c>
      <c r="G342" s="25" t="n">
        <f aca="false">(ABS(D134-H134)/D134)*100</f>
        <v>0.00347039062716899</v>
      </c>
      <c r="H342" s="24"/>
    </row>
    <row r="343" customFormat="false" ht="15" hidden="false" customHeight="false" outlineLevel="0" collapsed="false">
      <c r="A343" s="7"/>
      <c r="B343" s="25" t="n">
        <v>131</v>
      </c>
      <c r="C343" s="11" t="n">
        <f aca="false">(ABS(C135-E135)/C135)*100</f>
        <v>99.8681318681319</v>
      </c>
      <c r="D343" s="25" t="n">
        <f aca="false">(ABS(D135-F135)/D135)*100</f>
        <v>11.0386951240673</v>
      </c>
      <c r="E343" s="24"/>
      <c r="F343" s="25" t="n">
        <f aca="false">(ABS(C135-G135)/C135)*100</f>
        <v>0.0251177394034537</v>
      </c>
      <c r="G343" s="25" t="n">
        <f aca="false">(ABS(D135-H135)/D135)*100</f>
        <v>0.00277633177164671</v>
      </c>
      <c r="H343" s="24"/>
    </row>
    <row r="344" customFormat="false" ht="15" hidden="false" customHeight="false" outlineLevel="0" collapsed="false">
      <c r="A344" s="7"/>
      <c r="B344" s="25" t="n">
        <v>132</v>
      </c>
      <c r="C344" s="11" t="n">
        <f aca="false">(ABS(C136-E136)/C136)*100</f>
        <v>99.9623233908948</v>
      </c>
      <c r="D344" s="25" t="n">
        <f aca="false">(ABS(D136-F136)/D136)*100</f>
        <v>11.049106368211</v>
      </c>
      <c r="E344" s="24"/>
      <c r="F344" s="25" t="n">
        <f aca="false">(ABS(C136-G136)/C136)*100</f>
        <v>0.0251177394034537</v>
      </c>
      <c r="G344" s="25" t="n">
        <f aca="false">(ABS(D136-H136)/D136)*100</f>
        <v>0.00277633177164671</v>
      </c>
      <c r="H344" s="24"/>
    </row>
    <row r="345" customFormat="false" ht="15" hidden="false" customHeight="false" outlineLevel="0" collapsed="false">
      <c r="A345" s="7"/>
      <c r="B345" s="25" t="n">
        <v>133</v>
      </c>
      <c r="C345" s="11" t="n">
        <f aca="false">(ABS(C137-E137)/C137)*100</f>
        <v>99.8995227329817</v>
      </c>
      <c r="D345" s="25" t="n">
        <f aca="false">(ABS(D137-F137)/D137)*100</f>
        <v>11.0413948194009</v>
      </c>
      <c r="E345" s="24"/>
      <c r="F345" s="25" t="n">
        <f aca="false">(ABS(C137-G137)/C137)*100</f>
        <v>0.0313991459432303</v>
      </c>
      <c r="G345" s="25" t="n">
        <f aca="false">(ABS(D137-H137)/D137)*100</f>
        <v>0.00347039062716899</v>
      </c>
      <c r="H345" s="24"/>
    </row>
    <row r="346" customFormat="false" ht="15" hidden="false" customHeight="false" outlineLevel="0" collapsed="false">
      <c r="A346" s="7"/>
      <c r="B346" s="25" t="n">
        <v>134</v>
      </c>
      <c r="C346" s="11" t="n">
        <f aca="false">(ABS(C138-E138)/C138)*100</f>
        <v>99.9623233908948</v>
      </c>
      <c r="D346" s="25" t="n">
        <f aca="false">(ABS(D138-F138)/D138)*100</f>
        <v>11.049106368211</v>
      </c>
      <c r="E346" s="24"/>
      <c r="F346" s="25" t="n">
        <f aca="false">(ABS(C138-G138)/C138)*100</f>
        <v>0.0313971742543171</v>
      </c>
      <c r="G346" s="25" t="n">
        <f aca="false">(ABS(D138-H138)/D138)*100</f>
        <v>0.00347041471455839</v>
      </c>
      <c r="H346" s="24"/>
    </row>
    <row r="347" customFormat="false" ht="15" hidden="false" customHeight="false" outlineLevel="0" collapsed="false">
      <c r="A347" s="7"/>
      <c r="B347" s="25" t="n">
        <v>135</v>
      </c>
      <c r="C347" s="11" t="n">
        <f aca="false">(ABS(C139-E139)/C139)*100</f>
        <v>99.9434815373022</v>
      </c>
      <c r="D347" s="25" t="n">
        <f aca="false">(ABS(D139-F139)/D139)*100</f>
        <v>11.0462533662789</v>
      </c>
      <c r="E347" s="24"/>
      <c r="F347" s="25" t="n">
        <f aca="false">(ABS(C139-G139)/C139)*100</f>
        <v>0.0188394875659382</v>
      </c>
      <c r="G347" s="25" t="n">
        <f aca="false">(ABS(D139-H139)/D139)*100</f>
        <v>0.0020822343763014</v>
      </c>
      <c r="H347" s="24"/>
    </row>
    <row r="348" customFormat="false" ht="15" hidden="false" customHeight="false" outlineLevel="0" collapsed="false">
      <c r="A348" s="7"/>
      <c r="B348" s="25" t="n">
        <v>136</v>
      </c>
      <c r="C348" s="11" t="n">
        <f aca="false">(ABS(C140-E140)/C140)*100</f>
        <v>99.8368473895582</v>
      </c>
      <c r="D348" s="25" t="n">
        <f aca="false">(ABS(D140-F140)/D140)*100</f>
        <v>11.0437027987561</v>
      </c>
      <c r="E348" s="24"/>
      <c r="F348" s="25" t="n">
        <f aca="false">(ABS(C140-G140)/C140)*100</f>
        <v>0.00627510040160643</v>
      </c>
      <c r="G348" s="25" t="n">
        <f aca="false">(ABS(D140-H140)/D140)*100</f>
        <v>0.000694135939582408</v>
      </c>
      <c r="H348" s="24"/>
    </row>
    <row r="349" customFormat="false" ht="15" hidden="false" customHeight="false" outlineLevel="0" collapsed="false">
      <c r="A349" s="7"/>
      <c r="B349" s="25" t="n">
        <v>137</v>
      </c>
      <c r="C349" s="11" t="n">
        <f aca="false">(ABS(C141-E141)/C141)*100</f>
        <v>99.9687773198451</v>
      </c>
      <c r="D349" s="25" t="n">
        <f aca="false">(ABS(D141-F141)/D141)*100</f>
        <v>11.1184420707569</v>
      </c>
      <c r="E349" s="24"/>
      <c r="F349" s="25" t="n">
        <f aca="false">(ABS(C141-G141)/C141)*100</f>
        <v>0.0187336080929187</v>
      </c>
      <c r="G349" s="25" t="n">
        <f aca="false">(ABS(D141-H141)/D141)*100</f>
        <v>0.00208353589932355</v>
      </c>
      <c r="H349" s="24"/>
    </row>
    <row r="350" customFormat="false" ht="15" hidden="false" customHeight="false" outlineLevel="0" collapsed="false">
      <c r="A350" s="7"/>
      <c r="B350" s="25" t="n">
        <v>138</v>
      </c>
      <c r="C350" s="11" t="n">
        <f aca="false">(ABS(C142-E142)/C142)*100</f>
        <v>99.9874411302983</v>
      </c>
      <c r="D350" s="25" t="n">
        <f aca="false">(ABS(D142-F142)/D142)*100</f>
        <v>11.0518826999826</v>
      </c>
      <c r="E350" s="24"/>
      <c r="F350" s="25" t="n">
        <f aca="false">(ABS(C142-G142)/C142)*100</f>
        <v>0.0251177394034537</v>
      </c>
      <c r="G350" s="25" t="n">
        <f aca="false">(ABS(D142-H142)/D142)*100</f>
        <v>0.00277633177164671</v>
      </c>
      <c r="H350" s="24"/>
    </row>
    <row r="351" customFormat="false" ht="15" hidden="false" customHeight="false" outlineLevel="0" collapsed="false">
      <c r="A351" s="7"/>
      <c r="B351" s="25" t="n">
        <v>139</v>
      </c>
      <c r="C351" s="11" t="n">
        <f aca="false">(ABS(C143-E143)/C143)*100</f>
        <v>99.9623233908948</v>
      </c>
      <c r="D351" s="25" t="n">
        <f aca="false">(ABS(D143-F143)/D143)*100</f>
        <v>11.049106368211</v>
      </c>
      <c r="E351" s="24"/>
      <c r="F351" s="25" t="n">
        <f aca="false">(ABS(C143-G143)/C143)*100</f>
        <v>0.0251177394034537</v>
      </c>
      <c r="G351" s="25" t="n">
        <f aca="false">(ABS(D143-H143)/D143)*100</f>
        <v>0.00277633177164671</v>
      </c>
      <c r="H351" s="24"/>
    </row>
    <row r="352" customFormat="false" ht="15" hidden="false" customHeight="false" outlineLevel="0" collapsed="false">
      <c r="A352" s="7"/>
      <c r="B352" s="25" t="n">
        <v>140</v>
      </c>
      <c r="C352" s="11" t="n">
        <f aca="false">(ABS(C144-E144)/C144)*100</f>
        <v>99.8368985634527</v>
      </c>
      <c r="D352" s="25" t="n">
        <f aca="false">(ABS(D144-F144)/D144)*100</f>
        <v>11.0475569037686</v>
      </c>
      <c r="E352" s="24"/>
      <c r="F352" s="25" t="n">
        <f aca="false">(ABS(C144-G144)/C144)*100</f>
        <v>0.0313656608744746</v>
      </c>
      <c r="G352" s="25" t="n">
        <f aca="false">(ABS(D144-H144)/D144)*100</f>
        <v>0.00347080015826849</v>
      </c>
      <c r="H352" s="24"/>
    </row>
    <row r="353" customFormat="false" ht="15" hidden="false" customHeight="false" outlineLevel="0" collapsed="false">
      <c r="A353" s="7"/>
      <c r="B353" s="25" t="n">
        <v>141</v>
      </c>
      <c r="C353" s="11" t="n">
        <f aca="false">(ABS(C145-E145)/C145)*100</f>
        <v>93.0486656200942</v>
      </c>
      <c r="D353" s="25" t="n">
        <f aca="false">(ABS(D145-F145)/D145)*100</f>
        <v>10.2849210480652</v>
      </c>
      <c r="E353" s="24"/>
      <c r="F353" s="25" t="n">
        <f aca="false">(ABS(C145-G145)/C145)*100</f>
        <v>0.0188383045525903</v>
      </c>
      <c r="G353" s="25" t="n">
        <f aca="false">(ABS(D145-H145)/D145)*100</f>
        <v>0.00208224882873503</v>
      </c>
      <c r="H353" s="24"/>
    </row>
    <row r="354" customFormat="false" ht="15" hidden="false" customHeight="false" outlineLevel="0" collapsed="false">
      <c r="A354" s="7"/>
      <c r="B354" s="25" t="n">
        <v>142</v>
      </c>
      <c r="C354" s="11" t="n">
        <f aca="false">(ABS(C146-E146)/C146)*100</f>
        <v>99.9874411302983</v>
      </c>
      <c r="D354" s="25" t="n">
        <f aca="false">(ABS(D146-F146)/D146)*100</f>
        <v>11.0518826999826</v>
      </c>
      <c r="E354" s="24"/>
      <c r="F354" s="25" t="n">
        <f aca="false">(ABS(C146-G146)/C146)*100</f>
        <v>0.0125588697017268</v>
      </c>
      <c r="G354" s="25" t="n">
        <f aca="false">(ABS(D146-H146)/D146)*100</f>
        <v>0.00138816588582336</v>
      </c>
      <c r="H354" s="24"/>
    </row>
    <row r="355" customFormat="false" ht="15" hidden="false" customHeight="false" outlineLevel="0" collapsed="false">
      <c r="A355" s="7"/>
      <c r="B355" s="25" t="n">
        <v>143</v>
      </c>
      <c r="C355" s="11" t="n">
        <f aca="false">(ABS(C147-E147)/C147)*100</f>
        <v>99.956043956044</v>
      </c>
      <c r="D355" s="25" t="n">
        <f aca="false">(ABS(D147-F147)/D147)*100</f>
        <v>11.0484122852681</v>
      </c>
      <c r="E355" s="24"/>
      <c r="F355" s="25" t="n">
        <f aca="false">(ABS(C147-G147)/C147)*100</f>
        <v>0.0125588697017268</v>
      </c>
      <c r="G355" s="25" t="n">
        <f aca="false">(ABS(D147-H147)/D147)*100</f>
        <v>0.00138816588582336</v>
      </c>
      <c r="H355" s="24"/>
    </row>
    <row r="356" customFormat="false" ht="15" hidden="false" customHeight="false" outlineLevel="0" collapsed="false">
      <c r="A356" s="7"/>
      <c r="B356" s="25" t="n">
        <v>144</v>
      </c>
      <c r="C356" s="11" t="n">
        <f aca="false">(ABS(C148-E148)/C148)*100</f>
        <v>99.956043956044</v>
      </c>
      <c r="D356" s="25" t="n">
        <f aca="false">(ABS(D148-F148)/D148)*100</f>
        <v>11.0484122852681</v>
      </c>
      <c r="E356" s="24"/>
      <c r="F356" s="25" t="n">
        <f aca="false">(ABS(C148-G148)/C148)*100</f>
        <v>0.0125588697017268</v>
      </c>
      <c r="G356" s="25" t="n">
        <f aca="false">(ABS(D148-H148)/D148)*100</f>
        <v>0.00138816588582336</v>
      </c>
      <c r="H356" s="24"/>
    </row>
    <row r="357" customFormat="false" ht="15" hidden="false" customHeight="false" outlineLevel="0" collapsed="false">
      <c r="A357" s="7"/>
      <c r="B357" s="25" t="n">
        <v>145</v>
      </c>
      <c r="C357" s="11" t="n">
        <f aca="false">(ABS(C149-E149)/C149)*100</f>
        <v>99.4159758854559</v>
      </c>
      <c r="D357" s="25" t="n">
        <f aca="false">(ABS(D149-F149)/D149)*100</f>
        <v>10.9879508037425</v>
      </c>
      <c r="E357" s="24"/>
      <c r="F357" s="25" t="n">
        <f aca="false">(ABS(C149-G149)/C149)*100</f>
        <v>0.0125596583772921</v>
      </c>
      <c r="G357" s="25" t="n">
        <f aca="false">(ABS(D149-H149)/D149)*100</f>
        <v>0.0013881562508676</v>
      </c>
      <c r="H357" s="24"/>
    </row>
    <row r="358" customFormat="false" ht="15" hidden="false" customHeight="false" outlineLevel="0" collapsed="false">
      <c r="A358" s="7"/>
      <c r="B358" s="25" t="n">
        <v>146</v>
      </c>
      <c r="C358" s="11" t="n">
        <f aca="false">(ABS(C150-E150)/C150)*100</f>
        <v>99.9811616954474</v>
      </c>
      <c r="D358" s="25" t="n">
        <f aca="false">(ABS(D150-F150)/D150)*100</f>
        <v>11.0511886170397</v>
      </c>
      <c r="E358" s="24"/>
      <c r="F358" s="25" t="n">
        <f aca="false">(ABS(C150-G150)/C150)*100</f>
        <v>0.0188383045525903</v>
      </c>
      <c r="G358" s="25" t="n">
        <f aca="false">(ABS(D150-H150)/D150)*100</f>
        <v>0.00208224882873503</v>
      </c>
      <c r="H358" s="24"/>
    </row>
    <row r="359" customFormat="false" ht="15" hidden="false" customHeight="false" outlineLevel="0" collapsed="false">
      <c r="A359" s="7"/>
      <c r="B359" s="25" t="n">
        <v>147</v>
      </c>
      <c r="C359" s="11" t="n">
        <f aca="false">(ABS(C151-E151)/C151)*100</f>
        <v>99.9623233908948</v>
      </c>
      <c r="D359" s="25" t="n">
        <f aca="false">(ABS(D151-F151)/D151)*100</f>
        <v>11.049106368211</v>
      </c>
      <c r="E359" s="24"/>
      <c r="F359" s="25" t="n">
        <f aca="false">(ABS(C151-G151)/C151)*100</f>
        <v>0.0188383045525903</v>
      </c>
      <c r="G359" s="25" t="n">
        <f aca="false">(ABS(D151-H151)/D151)*100</f>
        <v>0.00208224882873503</v>
      </c>
      <c r="H359" s="24"/>
    </row>
    <row r="360" customFormat="false" ht="15" hidden="false" customHeight="false" outlineLevel="0" collapsed="false">
      <c r="A360" s="7"/>
      <c r="B360" s="25" t="n">
        <v>148</v>
      </c>
      <c r="C360" s="11" t="n">
        <f aca="false">(ABS(C152-E152)/C152)*100</f>
        <v>99.9748822605965</v>
      </c>
      <c r="D360" s="25" t="n">
        <f aca="false">(ABS(D152-F152)/D152)*100</f>
        <v>11.0504945340968</v>
      </c>
      <c r="E360" s="24"/>
      <c r="F360" s="25" t="n">
        <f aca="false">(ABS(C152-G152)/C152)*100</f>
        <v>0.0188383045525903</v>
      </c>
      <c r="G360" s="25" t="n">
        <f aca="false">(ABS(D152-H152)/D152)*100</f>
        <v>0.00208224882873503</v>
      </c>
      <c r="H360" s="24"/>
    </row>
    <row r="361" customFormat="false" ht="15" hidden="false" customHeight="false" outlineLevel="0" collapsed="false">
      <c r="A361" s="7"/>
      <c r="B361" s="25" t="n">
        <v>149</v>
      </c>
      <c r="C361" s="11" t="n">
        <f aca="false">(ABS(C153-E153)/C153)*100</f>
        <v>99.9497645211931</v>
      </c>
      <c r="D361" s="25" t="n">
        <f aca="false">(ABS(D153-F153)/D153)*100</f>
        <v>11.0477182023252</v>
      </c>
      <c r="E361" s="24"/>
      <c r="F361" s="25" t="n">
        <f aca="false">(ABS(C153-G153)/C153)*100</f>
        <v>0.0251177394034537</v>
      </c>
      <c r="G361" s="25" t="n">
        <f aca="false">(ABS(D153-H153)/D153)*100</f>
        <v>0.00277633177164671</v>
      </c>
      <c r="H361" s="24"/>
    </row>
    <row r="362" customFormat="false" ht="15" hidden="false" customHeight="false" outlineLevel="0" collapsed="false">
      <c r="A362" s="7"/>
      <c r="B362" s="25" t="n">
        <v>150</v>
      </c>
      <c r="C362" s="11" t="n">
        <f aca="false">(ABS(C154-E154)/C154)*100</f>
        <v>99.9686028257457</v>
      </c>
      <c r="D362" s="25" t="n">
        <f aca="false">(ABS(D154-F154)/D154)*100</f>
        <v>11.0498004511539</v>
      </c>
      <c r="E362" s="24"/>
      <c r="F362" s="25" t="n">
        <f aca="false">(ABS(C154-G154)/C154)*100</f>
        <v>0.0188383045525903</v>
      </c>
      <c r="G362" s="25" t="n">
        <f aca="false">(ABS(D154-H154)/D154)*100</f>
        <v>0.00208224882873503</v>
      </c>
      <c r="H362" s="24"/>
    </row>
    <row r="363" customFormat="false" ht="15" hidden="false" customHeight="false" outlineLevel="0" collapsed="false">
      <c r="A363" s="7"/>
      <c r="B363" s="25" t="n">
        <v>151</v>
      </c>
      <c r="C363" s="11" t="n">
        <f aca="false">(ABS(C155-E155)/C155)*100</f>
        <v>99.9560798092609</v>
      </c>
      <c r="D363" s="25" t="n">
        <f aca="false">(ABS(D155-F155)/D155)*100</f>
        <v>11.0584331746054</v>
      </c>
      <c r="E363" s="24"/>
      <c r="F363" s="25" t="n">
        <f aca="false">(ABS(C155-G155)/C155)*100</f>
        <v>0.0125486259254612</v>
      </c>
      <c r="G363" s="25" t="n">
        <f aca="false">(ABS(D155-H155)/D155)*100</f>
        <v>0.00138829115242049</v>
      </c>
      <c r="H363" s="24"/>
    </row>
    <row r="364" customFormat="false" ht="15" hidden="false" customHeight="false" outlineLevel="0" collapsed="false">
      <c r="A364" s="7"/>
      <c r="B364" s="25" t="n">
        <v>152</v>
      </c>
      <c r="C364" s="11" t="n">
        <f aca="false">(ABS(C156-E156)/C156)*100</f>
        <v>90.8006279434851</v>
      </c>
      <c r="D364" s="25" t="n">
        <f aca="false">(ABS(D156-F156)/D156)*100</f>
        <v>10.0364393545029</v>
      </c>
      <c r="E364" s="24"/>
      <c r="F364" s="25" t="n">
        <f aca="false">(ABS(C156-G156)/C156)*100</f>
        <v>0.0251177394034537</v>
      </c>
      <c r="G364" s="25" t="n">
        <f aca="false">(ABS(D156-H156)/D156)*100</f>
        <v>0.00277633177164671</v>
      </c>
      <c r="H364" s="24"/>
    </row>
    <row r="365" customFormat="false" ht="15" hidden="false" customHeight="false" outlineLevel="0" collapsed="false">
      <c r="A365" s="7"/>
      <c r="B365" s="25" t="n">
        <v>153</v>
      </c>
      <c r="C365" s="11" t="n">
        <f aca="false">(ABS(C157-E157)/C157)*100</f>
        <v>99.7990580847724</v>
      </c>
      <c r="D365" s="25" t="n">
        <f aca="false">(ABS(D157-F157)/D157)*100</f>
        <v>11.0310602116953</v>
      </c>
      <c r="E365" s="24"/>
      <c r="F365" s="25" t="n">
        <f aca="false">(ABS(C157-G157)/C157)*100</f>
        <v>0.0251177394034537</v>
      </c>
      <c r="G365" s="25" t="n">
        <f aca="false">(ABS(D157-H157)/D157)*100</f>
        <v>0.00277633177164671</v>
      </c>
      <c r="H365" s="24"/>
    </row>
    <row r="366" customFormat="false" ht="15" hidden="false" customHeight="false" outlineLevel="0" collapsed="false">
      <c r="A366" s="7"/>
      <c r="B366" s="25" t="n">
        <v>154</v>
      </c>
      <c r="C366" s="11" t="n">
        <f aca="false">(ABS(C158-E158)/C158)*100</f>
        <v>99.5981161695447</v>
      </c>
      <c r="D366" s="25" t="n">
        <f aca="false">(ABS(D158-F158)/D158)*100</f>
        <v>11.0088495575221</v>
      </c>
      <c r="E366" s="24"/>
      <c r="F366" s="25" t="n">
        <f aca="false">(ABS(C158-G158)/C158)*100</f>
        <v>0.0251177394034537</v>
      </c>
      <c r="G366" s="25" t="n">
        <f aca="false">(ABS(D158-H158)/D158)*100</f>
        <v>0.00277633177164671</v>
      </c>
      <c r="H366" s="24"/>
    </row>
    <row r="367" customFormat="false" ht="15" hidden="false" customHeight="false" outlineLevel="0" collapsed="false">
      <c r="A367" s="7"/>
      <c r="B367" s="25" t="n">
        <v>155</v>
      </c>
      <c r="C367" s="11" t="n">
        <f aca="false">(ABS(C159-E159)/C159)*100</f>
        <v>97.7080062794349</v>
      </c>
      <c r="D367" s="25" t="n">
        <f aca="false">(ABS(D159-F159)/D159)*100</f>
        <v>10.7999305917057</v>
      </c>
      <c r="E367" s="24"/>
      <c r="F367" s="25" t="n">
        <f aca="false">(ABS(C159-G159)/C159)*100</f>
        <v>0.0188383045525903</v>
      </c>
      <c r="G367" s="25" t="n">
        <f aca="false">(ABS(D159-H159)/D159)*100</f>
        <v>0.00208224882873503</v>
      </c>
      <c r="H367" s="24"/>
    </row>
    <row r="368" customFormat="false" ht="15" hidden="false" customHeight="false" outlineLevel="0" collapsed="false">
      <c r="A368" s="7"/>
      <c r="B368" s="25" t="n">
        <v>156</v>
      </c>
      <c r="C368" s="11" t="n">
        <f aca="false">(ABS(C160-E160)/C160)*100</f>
        <v>99.9686028257457</v>
      </c>
      <c r="D368" s="25" t="n">
        <f aca="false">(ABS(D160-F160)/D160)*100</f>
        <v>11.0498004511539</v>
      </c>
      <c r="E368" s="24"/>
      <c r="F368" s="25" t="n">
        <f aca="false">(ABS(C160-G160)/C160)*100</f>
        <v>0.0188383045525903</v>
      </c>
      <c r="G368" s="25" t="n">
        <f aca="false">(ABS(D160-H160)/D160)*100</f>
        <v>0.00208224882873503</v>
      </c>
      <c r="H368" s="24"/>
    </row>
    <row r="369" customFormat="false" ht="15" hidden="false" customHeight="false" outlineLevel="0" collapsed="false">
      <c r="A369" s="7"/>
      <c r="B369" s="25" t="n">
        <v>157</v>
      </c>
      <c r="C369" s="11" t="n">
        <f aca="false">(ABS(C161-E161)/C161)*100</f>
        <v>94.9827315541601</v>
      </c>
      <c r="D369" s="25" t="n">
        <f aca="false">(ABS(D161-F161)/D161)*100</f>
        <v>10.498698594482</v>
      </c>
      <c r="E369" s="24"/>
      <c r="F369" s="25" t="n">
        <f aca="false">(ABS(C161-G161)/C161)*100</f>
        <v>0.0188383045525903</v>
      </c>
      <c r="G369" s="25" t="n">
        <f aca="false">(ABS(D161-H161)/D161)*100</f>
        <v>0.00208224882873503</v>
      </c>
      <c r="H369" s="24"/>
    </row>
    <row r="370" customFormat="false" ht="15" hidden="false" customHeight="false" outlineLevel="0" collapsed="false">
      <c r="A370" s="7"/>
      <c r="B370" s="25" t="n">
        <v>158</v>
      </c>
      <c r="C370" s="11" t="n">
        <f aca="false">(ABS(C162-E162)/C162)*100</f>
        <v>99.9246420497363</v>
      </c>
      <c r="D370" s="25" t="n">
        <f aca="false">(ABS(D162-F162)/D162)*100</f>
        <v>11.0441711319026</v>
      </c>
      <c r="E370" s="24"/>
      <c r="F370" s="25" t="n">
        <f aca="false">(ABS(C162-G162)/C162)*100</f>
        <v>0.0251193167545843</v>
      </c>
      <c r="G370" s="25" t="n">
        <f aca="false">(ABS(D162-H162)/D162)*100</f>
        <v>0.0027763125017352</v>
      </c>
      <c r="H370" s="24"/>
    </row>
    <row r="371" customFormat="false" ht="15" hidden="false" customHeight="false" outlineLevel="0" collapsed="false">
      <c r="A371" s="7"/>
      <c r="B371" s="25" t="n">
        <v>159</v>
      </c>
      <c r="C371" s="11" t="n">
        <f aca="false">(ABS(C163-E163)/C163)*100</f>
        <v>99.4536548605878</v>
      </c>
      <c r="D371" s="25" t="n">
        <f aca="false">(ABS(D163-F163)/D163)*100</f>
        <v>10.9921152724951</v>
      </c>
      <c r="E371" s="24"/>
      <c r="F371" s="25" t="n">
        <f aca="false">(ABS(C163-G163)/C163)*100</f>
        <v>0.0188394875659382</v>
      </c>
      <c r="G371" s="25" t="n">
        <f aca="false">(ABS(D163-H163)/D163)*100</f>
        <v>0.0020822343763014</v>
      </c>
      <c r="H371" s="24"/>
    </row>
    <row r="372" customFormat="false" ht="15" hidden="false" customHeight="false" outlineLevel="0" collapsed="false">
      <c r="A372" s="7"/>
      <c r="B372" s="25" t="n">
        <v>160</v>
      </c>
      <c r="C372" s="11" t="n">
        <f aca="false">(ABS(C164-E164)/C164)*100</f>
        <v>99.8367346938776</v>
      </c>
      <c r="D372" s="25" t="n">
        <f aca="false">(ABS(D164-F164)/D164)*100</f>
        <v>11.0352247093528</v>
      </c>
      <c r="E372" s="24"/>
      <c r="F372" s="25" t="n">
        <f aca="false">(ABS(C164-G164)/C164)*100</f>
        <v>0.0251177394034537</v>
      </c>
      <c r="G372" s="25" t="n">
        <f aca="false">(ABS(D164-H164)/D164)*100</f>
        <v>0.00277633177164671</v>
      </c>
      <c r="H372" s="24"/>
    </row>
    <row r="373" customFormat="false" ht="15" hidden="false" customHeight="false" outlineLevel="0" collapsed="false">
      <c r="A373" s="7"/>
      <c r="B373" s="25" t="n">
        <v>161</v>
      </c>
      <c r="C373" s="11" t="n">
        <f aca="false">(ABS(C165-E165)/C165)*100</f>
        <v>97.3186813186813</v>
      </c>
      <c r="D373" s="25" t="n">
        <f aca="false">(ABS(D165-F165)/D165)*100</f>
        <v>10.7568974492452</v>
      </c>
      <c r="E373" s="24"/>
      <c r="F373" s="25" t="n">
        <f aca="false">(ABS(C165-G165)/C165)*100</f>
        <v>0.0188383045525903</v>
      </c>
      <c r="G373" s="25" t="n">
        <f aca="false">(ABS(D165-H165)/D165)*100</f>
        <v>0.00208224882873503</v>
      </c>
      <c r="H373" s="24"/>
    </row>
    <row r="374" customFormat="false" ht="15" hidden="false" customHeight="false" outlineLevel="0" collapsed="false">
      <c r="A374" s="7"/>
      <c r="B374" s="25" t="n">
        <v>162</v>
      </c>
      <c r="C374" s="11" t="n">
        <f aca="false">(ABS(C166-E166)/C166)*100</f>
        <v>98.2165285104245</v>
      </c>
      <c r="D374" s="25" t="n">
        <f aca="false">(ABS(D166-F166)/D166)*100</f>
        <v>10.8553818817846</v>
      </c>
      <c r="E374" s="24"/>
      <c r="F374" s="25" t="n">
        <f aca="false">(ABS(C166-G166)/C166)*100</f>
        <v>0.0188394875659382</v>
      </c>
      <c r="G374" s="25" t="n">
        <f aca="false">(ABS(D166-H166)/D166)*100</f>
        <v>0.0020822343763014</v>
      </c>
      <c r="H374" s="24"/>
    </row>
    <row r="375" customFormat="false" ht="15" hidden="false" customHeight="false" outlineLevel="0" collapsed="false">
      <c r="A375" s="7"/>
      <c r="B375" s="25" t="n">
        <v>163</v>
      </c>
      <c r="C375" s="11" t="n">
        <f aca="false">(ABS(C167-E167)/C167)*100</f>
        <v>99.9874411302983</v>
      </c>
      <c r="D375" s="25" t="n">
        <f aca="false">(ABS(D167-F167)/D167)*100</f>
        <v>11.0518826999826</v>
      </c>
      <c r="E375" s="24"/>
      <c r="F375" s="25" t="n">
        <f aca="false">(ABS(C167-G167)/C167)*100</f>
        <v>0.0188383045525903</v>
      </c>
      <c r="G375" s="25" t="n">
        <f aca="false">(ABS(D167-H167)/D167)*100</f>
        <v>0.00208224882873503</v>
      </c>
      <c r="H375" s="24"/>
    </row>
    <row r="376" customFormat="false" ht="15" hidden="false" customHeight="false" outlineLevel="0" collapsed="false">
      <c r="A376" s="7"/>
      <c r="B376" s="25" t="n">
        <v>164</v>
      </c>
      <c r="C376" s="11" t="n">
        <f aca="false">(ABS(C168-E168)/C168)*100</f>
        <v>99.8744113029827</v>
      </c>
      <c r="D376" s="25" t="n">
        <f aca="false">(ABS(D168-F168)/D168)*100</f>
        <v>11.0393892070102</v>
      </c>
      <c r="E376" s="24"/>
      <c r="F376" s="25" t="n">
        <f aca="false">(ABS(C168-G168)/C168)*100</f>
        <v>0.0188383045525903</v>
      </c>
      <c r="G376" s="25" t="n">
        <f aca="false">(ABS(D168-H168)/D168)*100</f>
        <v>0.00208224882873503</v>
      </c>
      <c r="H376" s="24"/>
    </row>
    <row r="377" customFormat="false" ht="15" hidden="false" customHeight="false" outlineLevel="0" collapsed="false">
      <c r="A377" s="7"/>
      <c r="B377" s="25" t="n">
        <v>165</v>
      </c>
      <c r="C377" s="11" t="n">
        <f aca="false">(ABS(C169-E169)/C169)*100</f>
        <v>99.9372056514914</v>
      </c>
      <c r="D377" s="25" t="n">
        <f aca="false">(ABS(D169-F169)/D169)*100</f>
        <v>11.0463300364394</v>
      </c>
      <c r="E377" s="24"/>
      <c r="F377" s="25" t="n">
        <f aca="false">(ABS(C169-G169)/C169)*100</f>
        <v>0.0188383045525903</v>
      </c>
      <c r="G377" s="25" t="n">
        <f aca="false">(ABS(D169-H169)/D169)*100</f>
        <v>0.00208224882873503</v>
      </c>
      <c r="H377" s="24"/>
    </row>
    <row r="378" customFormat="false" ht="15" hidden="false" customHeight="false" outlineLevel="0" collapsed="false">
      <c r="A378" s="7"/>
      <c r="B378" s="25" t="n">
        <v>166</v>
      </c>
      <c r="C378" s="11" t="n">
        <f aca="false">(ABS(C170-E170)/C170)*100</f>
        <v>99.9748822605965</v>
      </c>
      <c r="D378" s="25" t="n">
        <f aca="false">(ABS(D170-F170)/D170)*100</f>
        <v>11.0504945340968</v>
      </c>
      <c r="E378" s="24"/>
      <c r="F378" s="25" t="n">
        <f aca="false">(ABS(C170-G170)/C170)*100</f>
        <v>0.0188383045525903</v>
      </c>
      <c r="G378" s="25" t="n">
        <f aca="false">(ABS(D170-H170)/D170)*100</f>
        <v>0.00208224882873503</v>
      </c>
      <c r="H378" s="24"/>
    </row>
    <row r="379" customFormat="false" ht="15" hidden="false" customHeight="false" outlineLevel="0" collapsed="false">
      <c r="A379" s="7"/>
      <c r="B379" s="25" t="n">
        <v>167</v>
      </c>
      <c r="C379" s="11" t="n">
        <f aca="false">(ABS(C171-E171)/C171)*100</f>
        <v>99.9686284351864</v>
      </c>
      <c r="D379" s="25" t="n">
        <f aca="false">(ABS(D171-F171)/D171)*100</f>
        <v>11.0598214657578</v>
      </c>
      <c r="E379" s="24"/>
      <c r="F379" s="25" t="n">
        <f aca="false">(ABS(C171-G171)/C171)*100</f>
        <v>0</v>
      </c>
      <c r="G379" s="25" t="n">
        <f aca="false">(ABS(D171-H171)/D171)*100</f>
        <v>0</v>
      </c>
      <c r="H379" s="24"/>
    </row>
    <row r="380" customFormat="false" ht="15" hidden="false" customHeight="false" outlineLevel="0" collapsed="false">
      <c r="A380" s="7"/>
      <c r="B380" s="25" t="n">
        <v>168</v>
      </c>
      <c r="C380" s="11" t="n">
        <f aca="false">(ABS(C172-E172)/C172)*100</f>
        <v>99.956043956044</v>
      </c>
      <c r="D380" s="25" t="n">
        <f aca="false">(ABS(D172-F172)/D172)*100</f>
        <v>11.0484122852681</v>
      </c>
      <c r="E380" s="24"/>
      <c r="F380" s="25" t="n">
        <f aca="false">(ABS(C172-G172)/C172)*100</f>
        <v>0.0251177394034537</v>
      </c>
      <c r="G380" s="25" t="n">
        <f aca="false">(ABS(D172-H172)/D172)*100</f>
        <v>0.00277633177164671</v>
      </c>
      <c r="H380" s="24"/>
    </row>
    <row r="381" customFormat="false" ht="15" hidden="false" customHeight="false" outlineLevel="0" collapsed="false">
      <c r="A381" s="7"/>
      <c r="B381" s="25" t="n">
        <v>169</v>
      </c>
      <c r="C381" s="11" t="n">
        <f aca="false">(ABS(C173-E173)/C173)*100</f>
        <v>99.6234939759036</v>
      </c>
      <c r="D381" s="25" t="n">
        <f aca="false">(ABS(D173-F173)/D173)*100</f>
        <v>11.0201021768103</v>
      </c>
      <c r="E381" s="24"/>
      <c r="F381" s="25" t="n">
        <f aca="false">(ABS(C173-G173)/C173)*100</f>
        <v>0.0376506024096386</v>
      </c>
      <c r="G381" s="25" t="n">
        <f aca="false">(ABS(D173-H173)/D173)*100</f>
        <v>0.00416481563749445</v>
      </c>
      <c r="H381" s="24"/>
    </row>
    <row r="382" customFormat="false" ht="15" hidden="false" customHeight="false" outlineLevel="0" collapsed="false">
      <c r="A382" s="7"/>
      <c r="B382" s="25" t="n">
        <v>170</v>
      </c>
      <c r="C382" s="11" t="n">
        <f aca="false">(ABS(C174-E174)/C174)*100</f>
        <v>99.9497645211931</v>
      </c>
      <c r="D382" s="25" t="n">
        <f aca="false">(ABS(D174-F174)/D174)*100</f>
        <v>11.0477182023252</v>
      </c>
      <c r="E382" s="24"/>
      <c r="F382" s="25" t="n">
        <f aca="false">(ABS(C174-G174)/C174)*100</f>
        <v>0.0188383045525903</v>
      </c>
      <c r="G382" s="25" t="n">
        <f aca="false">(ABS(D174-H174)/D174)*100</f>
        <v>0.00208224882873503</v>
      </c>
      <c r="H382" s="24"/>
    </row>
    <row r="383" customFormat="false" ht="15" hidden="false" customHeight="false" outlineLevel="0" collapsed="false">
      <c r="A383" s="7"/>
      <c r="B383" s="25" t="n">
        <v>171</v>
      </c>
      <c r="C383" s="11" t="n">
        <f aca="false">(ABS(C175-E175)/C175)*100</f>
        <v>99.9497645211931</v>
      </c>
      <c r="D383" s="25" t="n">
        <f aca="false">(ABS(D175-F175)/D175)*100</f>
        <v>11.0477182023252</v>
      </c>
      <c r="E383" s="24"/>
      <c r="F383" s="25" t="n">
        <f aca="false">(ABS(C175-G175)/C175)*100</f>
        <v>0.0188383045525903</v>
      </c>
      <c r="G383" s="25" t="n">
        <f aca="false">(ABS(D175-H175)/D175)*100</f>
        <v>0.00208224882873503</v>
      </c>
      <c r="H383" s="24"/>
    </row>
    <row r="384" customFormat="false" ht="15" hidden="false" customHeight="false" outlineLevel="0" collapsed="false">
      <c r="A384" s="7"/>
      <c r="B384" s="25" t="n">
        <v>172</v>
      </c>
      <c r="C384" s="11" t="n">
        <f aca="false">(ABS(C176-E176)/C176)*100</f>
        <v>99.8178849535293</v>
      </c>
      <c r="D384" s="25" t="n">
        <f aca="false">(ABS(D176-F176)/D176)*100</f>
        <v>11.0323718037702</v>
      </c>
      <c r="E384" s="24"/>
      <c r="F384" s="25" t="n">
        <f aca="false">(ABS(C176-G176)/C176)*100</f>
        <v>0.00627982918864607</v>
      </c>
      <c r="G384" s="25" t="n">
        <f aca="false">(ABS(D176-H176)/D176)*100</f>
        <v>0.000694078125433799</v>
      </c>
      <c r="H384" s="24"/>
    </row>
    <row r="385" customFormat="false" ht="15" hidden="false" customHeight="false" outlineLevel="0" collapsed="false">
      <c r="A385" s="7"/>
      <c r="B385" s="25" t="n">
        <v>173</v>
      </c>
      <c r="C385" s="11" t="n">
        <f aca="false">(ABS(C177-E177)/C177)*100</f>
        <v>99.9623233908948</v>
      </c>
      <c r="D385" s="25" t="n">
        <f aca="false">(ABS(D177-F177)/D177)*100</f>
        <v>11.049106368211</v>
      </c>
      <c r="E385" s="24"/>
      <c r="F385" s="25" t="n">
        <f aca="false">(ABS(C177-G177)/C177)*100</f>
        <v>0.0188383045525903</v>
      </c>
      <c r="G385" s="25" t="n">
        <f aca="false">(ABS(D177-H177)/D177)*100</f>
        <v>0.00208224882873503</v>
      </c>
      <c r="H385" s="24"/>
    </row>
    <row r="386" customFormat="false" ht="15" hidden="false" customHeight="false" outlineLevel="0" collapsed="false">
      <c r="A386" s="7"/>
      <c r="B386" s="25" t="n">
        <v>174</v>
      </c>
      <c r="C386" s="11" t="n">
        <f aca="false">(ABS(C178-E178)/C178)*100</f>
        <v>99.9748822605965</v>
      </c>
      <c r="D386" s="25" t="n">
        <f aca="false">(ABS(D178-F178)/D178)*100</f>
        <v>11.0504945340968</v>
      </c>
      <c r="E386" s="24"/>
      <c r="F386" s="25" t="n">
        <f aca="false">(ABS(C178-G178)/C178)*100</f>
        <v>0.0188383045525903</v>
      </c>
      <c r="G386" s="25" t="n">
        <f aca="false">(ABS(D178-H178)/D178)*100</f>
        <v>0.00208224882873503</v>
      </c>
      <c r="H386" s="24"/>
    </row>
    <row r="387" customFormat="false" ht="15" hidden="false" customHeight="false" outlineLevel="0" collapsed="false">
      <c r="A387" s="7"/>
      <c r="B387" s="25" t="n">
        <v>175</v>
      </c>
      <c r="C387" s="11" t="n">
        <f aca="false">(ABS(C179-E179)/C179)*100</f>
        <v>99.956043956044</v>
      </c>
      <c r="D387" s="25" t="n">
        <f aca="false">(ABS(D179-F179)/D179)*100</f>
        <v>11.0484122852681</v>
      </c>
      <c r="E387" s="24"/>
      <c r="F387" s="25" t="n">
        <f aca="false">(ABS(C179-G179)/C179)*100</f>
        <v>0.0188383045525903</v>
      </c>
      <c r="G387" s="25" t="n">
        <f aca="false">(ABS(D179-H179)/D179)*100</f>
        <v>0.00208224882873503</v>
      </c>
      <c r="H387" s="24"/>
    </row>
    <row r="388" customFormat="false" ht="15" hidden="false" customHeight="false" outlineLevel="0" collapsed="false">
      <c r="A388" s="7"/>
      <c r="B388" s="25" t="n">
        <v>176</v>
      </c>
      <c r="C388" s="11" t="n">
        <f aca="false">(ABS(C180-E180)/C180)*100</f>
        <v>99.9686028257457</v>
      </c>
      <c r="D388" s="25" t="n">
        <f aca="false">(ABS(D180-F180)/D180)*100</f>
        <v>11.0498004511539</v>
      </c>
      <c r="E388" s="24"/>
      <c r="F388" s="25" t="n">
        <f aca="false">(ABS(C180-G180)/C180)*100</f>
        <v>0.0251177394034537</v>
      </c>
      <c r="G388" s="25" t="n">
        <f aca="false">(ABS(D180-H180)/D180)*100</f>
        <v>0.00277633177164671</v>
      </c>
      <c r="H388" s="24"/>
    </row>
    <row r="389" customFormat="false" ht="15" hidden="false" customHeight="false" outlineLevel="0" collapsed="false">
      <c r="A389" s="7"/>
      <c r="B389" s="25" t="n">
        <v>177</v>
      </c>
      <c r="C389" s="11" t="n">
        <f aca="false">(ABS(C181-E181)/C181)*100</f>
        <v>99.9434850863422</v>
      </c>
      <c r="D389" s="25" t="n">
        <f aca="false">(ABS(D181-F181)/D181)*100</f>
        <v>11.0470241193823</v>
      </c>
      <c r="E389" s="24"/>
      <c r="F389" s="25" t="n">
        <f aca="false">(ABS(C181-G181)/C181)*100</f>
        <v>0.0251177394034537</v>
      </c>
      <c r="G389" s="25" t="n">
        <f aca="false">(ABS(D181-H181)/D181)*100</f>
        <v>0.00277633177164671</v>
      </c>
      <c r="H389" s="24"/>
    </row>
    <row r="390" customFormat="false" ht="15" hidden="false" customHeight="false" outlineLevel="0" collapsed="false">
      <c r="A390" s="7"/>
      <c r="B390" s="25" t="n">
        <v>178</v>
      </c>
      <c r="C390" s="11" t="n">
        <f aca="false">(ABS(C182-E182)/C182)*100</f>
        <v>99.9246467817896</v>
      </c>
      <c r="D390" s="25" t="n">
        <f aca="false">(ABS(D182-F182)/D182)*100</f>
        <v>11.0449418705535</v>
      </c>
      <c r="E390" s="24"/>
      <c r="F390" s="25" t="n">
        <f aca="false">(ABS(C182-G182)/C182)*100</f>
        <v>0.0251177394034537</v>
      </c>
      <c r="G390" s="25" t="n">
        <f aca="false">(ABS(D182-H182)/D182)*100</f>
        <v>0.00277633177164671</v>
      </c>
      <c r="H390" s="24"/>
    </row>
    <row r="391" customFormat="false" ht="15" hidden="false" customHeight="false" outlineLevel="0" collapsed="false">
      <c r="A391" s="7"/>
      <c r="B391" s="25" t="n">
        <v>179</v>
      </c>
      <c r="C391" s="11" t="n">
        <f aca="false">(ABS(C183-E183)/C183)*100</f>
        <v>99.7252404146372</v>
      </c>
      <c r="D391" s="25" t="n">
        <f aca="false">(ABS(D183-F183)/D183)*100</f>
        <v>11.0913561040657</v>
      </c>
      <c r="E391" s="24"/>
      <c r="F391" s="25" t="n">
        <f aca="false">(ABS(C183-G183)/C183)*100</f>
        <v>0.0124890720619458</v>
      </c>
      <c r="G391" s="25" t="n">
        <f aca="false">(ABS(D183-H183)/D183)*100</f>
        <v>0.00138902393288236</v>
      </c>
      <c r="H391" s="24"/>
    </row>
    <row r="392" customFormat="false" ht="15" hidden="false" customHeight="false" outlineLevel="0" collapsed="false">
      <c r="A392" s="7"/>
      <c r="B392" s="25" t="n">
        <v>180</v>
      </c>
      <c r="C392" s="11" t="n">
        <f aca="false">(ABS(C184-E184)/C184)*100</f>
        <v>99.9372056514914</v>
      </c>
      <c r="D392" s="25" t="n">
        <f aca="false">(ABS(D184-F184)/D184)*100</f>
        <v>11.0463300364394</v>
      </c>
      <c r="E392" s="24"/>
      <c r="F392" s="25" t="n">
        <f aca="false">(ABS(C184-G184)/C184)*100</f>
        <v>0.0251177394034537</v>
      </c>
      <c r="G392" s="25" t="n">
        <f aca="false">(ABS(D184-H184)/D184)*100</f>
        <v>0.00277633177164671</v>
      </c>
      <c r="H392" s="24"/>
    </row>
    <row r="393" customFormat="false" ht="15" hidden="false" customHeight="false" outlineLevel="0" collapsed="false">
      <c r="A393" s="7"/>
      <c r="B393" s="25" t="n">
        <v>181</v>
      </c>
      <c r="C393" s="11" t="n">
        <f aca="false">(ABS(C185-E185)/C185)*100</f>
        <v>99.8053375196232</v>
      </c>
      <c r="D393" s="25" t="n">
        <f aca="false">(ABS(D185-F185)/D185)*100</f>
        <v>11.0317542946382</v>
      </c>
      <c r="E393" s="24"/>
      <c r="F393" s="25" t="n">
        <f aca="false">(ABS(C185-G185)/C185)*100</f>
        <v>0.0251177394034537</v>
      </c>
      <c r="G393" s="25" t="n">
        <f aca="false">(ABS(D185-H185)/D185)*100</f>
        <v>0.00277633177164671</v>
      </c>
      <c r="H393" s="24"/>
    </row>
    <row r="394" customFormat="false" ht="15" hidden="false" customHeight="false" outlineLevel="0" collapsed="false">
      <c r="A394" s="7"/>
      <c r="B394" s="25" t="n">
        <v>182</v>
      </c>
      <c r="C394" s="11" t="n">
        <f aca="false">(ABS(C186-E186)/C186)*100</f>
        <v>99.8116051243406</v>
      </c>
      <c r="D394" s="25" t="n">
        <f aca="false">(ABS(D186-F186)/D186)*100</f>
        <v>11.0316777256448</v>
      </c>
      <c r="E394" s="24"/>
      <c r="F394" s="25" t="n">
        <f aca="false">(ABS(C186-G186)/C186)*100</f>
        <v>0.0251193167545843</v>
      </c>
      <c r="G394" s="25" t="n">
        <f aca="false">(ABS(D186-H186)/D186)*100</f>
        <v>0.0027763125017352</v>
      </c>
      <c r="H394" s="24"/>
    </row>
    <row r="395" customFormat="false" ht="15" hidden="false" customHeight="false" outlineLevel="0" collapsed="false">
      <c r="A395" s="7"/>
      <c r="B395" s="25" t="n">
        <v>183</v>
      </c>
      <c r="C395" s="11" t="n">
        <f aca="false">(ABS(C187-E187)/C187)*100</f>
        <v>99.956043956044</v>
      </c>
      <c r="D395" s="25" t="n">
        <f aca="false">(ABS(D187-F187)/D187)*100</f>
        <v>11.0484122852681</v>
      </c>
      <c r="E395" s="24"/>
      <c r="F395" s="25" t="n">
        <f aca="false">(ABS(C187-G187)/C187)*100</f>
        <v>0.0251177394034537</v>
      </c>
      <c r="G395" s="25" t="n">
        <f aca="false">(ABS(D187-H187)/D187)*100</f>
        <v>0.00277633177164671</v>
      </c>
      <c r="H395" s="24"/>
    </row>
    <row r="396" customFormat="false" ht="15" hidden="false" customHeight="false" outlineLevel="0" collapsed="false">
      <c r="A396" s="7"/>
      <c r="B396" s="25" t="n">
        <v>184</v>
      </c>
      <c r="C396" s="11" t="n">
        <f aca="false">(ABS(C188-E188)/C188)*100</f>
        <v>95.4157246922884</v>
      </c>
      <c r="D396" s="25" t="n">
        <f aca="false">(ABS(D188-F188)/D188)*100</f>
        <v>10.5458230378411</v>
      </c>
      <c r="E396" s="24"/>
      <c r="F396" s="25" t="n">
        <f aca="false">(ABS(C188-G188)/C188)*100</f>
        <v>0.0251193167545843</v>
      </c>
      <c r="G396" s="25" t="n">
        <f aca="false">(ABS(D188-H188)/D188)*100</f>
        <v>0.0027763125017352</v>
      </c>
      <c r="H396" s="24"/>
    </row>
    <row r="397" customFormat="false" ht="15" hidden="false" customHeight="false" outlineLevel="0" collapsed="false">
      <c r="A397" s="7"/>
      <c r="B397" s="25" t="n">
        <v>185</v>
      </c>
      <c r="C397" s="11" t="n">
        <f aca="false">(ABS(C189-E189)/C189)*100</f>
        <v>99.9309868875086</v>
      </c>
      <c r="D397" s="25" t="n">
        <f aca="false">(ABS(D189-F189)/D189)*100</f>
        <v>11.056427485579</v>
      </c>
      <c r="E397" s="24"/>
      <c r="F397" s="25" t="n">
        <f aca="false">(ABS(C189-G189)/C189)*100</f>
        <v>0</v>
      </c>
      <c r="G397" s="25" t="n">
        <f aca="false">(ABS(D189-H189)/D189)*100</f>
        <v>0</v>
      </c>
      <c r="H397" s="24"/>
    </row>
    <row r="398" customFormat="false" ht="15" hidden="false" customHeight="false" outlineLevel="0" collapsed="false">
      <c r="A398" s="7"/>
      <c r="B398" s="25" t="n">
        <v>186</v>
      </c>
      <c r="C398" s="11" t="n">
        <f aca="false">(ABS(C190-E190)/C190)*100</f>
        <v>99.8744034162271</v>
      </c>
      <c r="D398" s="25" t="n">
        <f aca="false">(ABS(D190-F190)/D190)*100</f>
        <v>11.0386185068991</v>
      </c>
      <c r="E398" s="24"/>
      <c r="F398" s="25" t="n">
        <f aca="false">(ABS(C190-G190)/C190)*100</f>
        <v>0.0125596583772921</v>
      </c>
      <c r="G398" s="25" t="n">
        <f aca="false">(ABS(D190-H190)/D190)*100</f>
        <v>0.0013881562508676</v>
      </c>
      <c r="H398" s="24"/>
    </row>
    <row r="399" customFormat="false" ht="15" hidden="false" customHeight="false" outlineLevel="0" collapsed="false">
      <c r="A399" s="7"/>
      <c r="B399" s="25" t="n">
        <v>187</v>
      </c>
      <c r="C399" s="11" t="n">
        <f aca="false">(ABS(C191-E191)/C191)*100</f>
        <v>99.9309262166405</v>
      </c>
      <c r="D399" s="25" t="n">
        <f aca="false">(ABS(D191-F191)/D191)*100</f>
        <v>11.0456359534964</v>
      </c>
      <c r="E399" s="24"/>
      <c r="F399" s="25" t="n">
        <f aca="false">(ABS(C191-G191)/C191)*100</f>
        <v>0.0188383045525903</v>
      </c>
      <c r="G399" s="25" t="n">
        <f aca="false">(ABS(D191-H191)/D191)*100</f>
        <v>0.00208224882873503</v>
      </c>
      <c r="H399" s="24"/>
    </row>
    <row r="400" customFormat="false" ht="15" hidden="false" customHeight="false" outlineLevel="0" collapsed="false">
      <c r="A400" s="7"/>
      <c r="B400" s="25" t="n">
        <v>188</v>
      </c>
      <c r="C400" s="11" t="n">
        <f aca="false">(ABS(C192-E192)/C192)*100</f>
        <v>99.5792778649922</v>
      </c>
      <c r="D400" s="25" t="n">
        <f aca="false">(ABS(D192-F192)/D192)*100</f>
        <v>11.0067673086934</v>
      </c>
      <c r="E400" s="24"/>
      <c r="F400" s="25" t="n">
        <f aca="false">(ABS(C192-G192)/C192)*100</f>
        <v>0.0188383045525903</v>
      </c>
      <c r="G400" s="25" t="n">
        <f aca="false">(ABS(D192-H192)/D192)*100</f>
        <v>0.00208224882873503</v>
      </c>
      <c r="H400" s="24"/>
    </row>
    <row r="401" customFormat="false" ht="15" hidden="false" customHeight="false" outlineLevel="0" collapsed="false">
      <c r="A401" s="7"/>
      <c r="B401" s="25" t="n">
        <v>189</v>
      </c>
      <c r="C401" s="11" t="n">
        <f aca="false">(ABS(C193-E193)/C193)*100</f>
        <v>93.0675039246468</v>
      </c>
      <c r="D401" s="25" t="n">
        <f aca="false">(ABS(D193-F193)/D193)*100</f>
        <v>10.287003296894</v>
      </c>
      <c r="E401" s="24"/>
      <c r="F401" s="25" t="n">
        <f aca="false">(ABS(C193-G193)/C193)*100</f>
        <v>0.0251177394034537</v>
      </c>
      <c r="G401" s="25" t="n">
        <f aca="false">(ABS(D193-H193)/D193)*100</f>
        <v>0.00277633177164671</v>
      </c>
      <c r="H401" s="24"/>
    </row>
    <row r="402" customFormat="false" ht="15" hidden="false" customHeight="false" outlineLevel="0" collapsed="false">
      <c r="A402" s="7"/>
      <c r="B402" s="25" t="n">
        <v>190</v>
      </c>
      <c r="C402" s="11" t="n">
        <f aca="false">(ABS(C194-E194)/C194)*100</f>
        <v>99.4976136649083</v>
      </c>
      <c r="D402" s="25" t="n">
        <f aca="false">(ABS(D194-F194)/D194)*100</f>
        <v>10.9969738193731</v>
      </c>
      <c r="E402" s="24"/>
      <c r="F402" s="25" t="n">
        <f aca="false">(ABS(C194-G194)/C194)*100</f>
        <v>0.0188394875659382</v>
      </c>
      <c r="G402" s="25" t="n">
        <f aca="false">(ABS(D194-H194)/D194)*100</f>
        <v>0.0020822343763014</v>
      </c>
      <c r="H402" s="24"/>
    </row>
    <row r="403" customFormat="false" ht="15" hidden="false" customHeight="false" outlineLevel="0" collapsed="false">
      <c r="A403" s="7"/>
      <c r="B403" s="25" t="n">
        <v>191</v>
      </c>
      <c r="C403" s="11" t="n">
        <f aca="false">(ABS(C195-E195)/C195)*100</f>
        <v>99.9623233908948</v>
      </c>
      <c r="D403" s="25" t="n">
        <f aca="false">(ABS(D195-F195)/D195)*100</f>
        <v>11.049106368211</v>
      </c>
      <c r="E403" s="24"/>
      <c r="F403" s="25" t="n">
        <f aca="false">(ABS(C195-G195)/C195)*100</f>
        <v>0.0125588697017268</v>
      </c>
      <c r="G403" s="25" t="n">
        <f aca="false">(ABS(D195-H195)/D195)*100</f>
        <v>0.00138816588582336</v>
      </c>
      <c r="H403" s="24"/>
    </row>
    <row r="404" customFormat="false" ht="15" hidden="false" customHeight="false" outlineLevel="0" collapsed="false">
      <c r="A404" s="7"/>
      <c r="B404" s="25" t="n">
        <v>192</v>
      </c>
      <c r="C404" s="11" t="n">
        <f aca="false">(ABS(C196-E196)/C196)*100</f>
        <v>91.1522762951334</v>
      </c>
      <c r="D404" s="25" t="n">
        <f aca="false">(ABS(D196-F196)/D196)*100</f>
        <v>10.0753079993059</v>
      </c>
      <c r="E404" s="24"/>
      <c r="F404" s="25" t="n">
        <f aca="false">(ABS(C196-G196)/C196)*100</f>
        <v>0.0125588697017268</v>
      </c>
      <c r="G404" s="25" t="n">
        <f aca="false">(ABS(D196-H196)/D196)*100</f>
        <v>0.00138816588582336</v>
      </c>
      <c r="H404" s="24"/>
    </row>
    <row r="405" customFormat="false" ht="15" hidden="false" customHeight="false" outlineLevel="0" collapsed="false">
      <c r="A405" s="7"/>
      <c r="B405" s="25" t="n">
        <v>193</v>
      </c>
      <c r="C405" s="11" t="n">
        <f aca="false">(ABS(C197-E197)/C197)*100</f>
        <v>95.3089675960814</v>
      </c>
      <c r="D405" s="25" t="n">
        <f aca="false">(ABS(D197-F197)/D197)*100</f>
        <v>10.5340237097088</v>
      </c>
      <c r="E405" s="24"/>
      <c r="F405" s="25" t="n">
        <f aca="false">(ABS(C197-G197)/C197)*100</f>
        <v>0.0188394875659382</v>
      </c>
      <c r="G405" s="25" t="n">
        <f aca="false">(ABS(D197-H197)/D197)*100</f>
        <v>0.0020822343763014</v>
      </c>
      <c r="H405" s="24"/>
    </row>
    <row r="406" customFormat="false" ht="15" hidden="false" customHeight="false" outlineLevel="0" collapsed="false">
      <c r="A406" s="7"/>
      <c r="B406" s="25" t="n">
        <v>194</v>
      </c>
      <c r="C406" s="11" t="n">
        <f aca="false">(ABS(C198-E198)/C198)*100</f>
        <v>99.9686028257457</v>
      </c>
      <c r="D406" s="25" t="n">
        <f aca="false">(ABS(D198-F198)/D198)*100</f>
        <v>11.0498004511539</v>
      </c>
      <c r="E406" s="24"/>
      <c r="F406" s="25" t="n">
        <f aca="false">(ABS(C198-G198)/C198)*100</f>
        <v>0.0125588697017268</v>
      </c>
      <c r="G406" s="25" t="n">
        <f aca="false">(ABS(D198-H198)/D198)*100</f>
        <v>0.00138816588582336</v>
      </c>
      <c r="H406" s="24"/>
    </row>
    <row r="407" customFormat="false" ht="15" hidden="false" customHeight="false" outlineLevel="0" collapsed="false">
      <c r="A407" s="7"/>
      <c r="B407" s="25" t="n">
        <v>195</v>
      </c>
      <c r="C407" s="11" t="n">
        <f aca="false">(ABS(C199-E199)/C199)*100</f>
        <v>99.8869630746044</v>
      </c>
      <c r="D407" s="25" t="n">
        <f aca="false">(ABS(D199-F199)/D199)*100</f>
        <v>11.04000666315</v>
      </c>
      <c r="E407" s="24"/>
      <c r="F407" s="25" t="n">
        <f aca="false">(ABS(C199-G199)/C199)*100</f>
        <v>0.0251193167545843</v>
      </c>
      <c r="G407" s="25" t="n">
        <f aca="false">(ABS(D199-H199)/D199)*100</f>
        <v>0.0027763125017352</v>
      </c>
      <c r="H407" s="24"/>
    </row>
    <row r="408" customFormat="false" ht="15" hidden="false" customHeight="false" outlineLevel="0" collapsed="false">
      <c r="A408" s="7"/>
      <c r="B408" s="25" t="n">
        <v>196</v>
      </c>
      <c r="C408" s="11" t="n">
        <f aca="false">(ABS(C200-E200)/C200)*100</f>
        <v>95.7174254317112</v>
      </c>
      <c r="D408" s="25" t="n">
        <f aca="false">(ABS(D200-F200)/D200)*100</f>
        <v>10.5799062988027</v>
      </c>
      <c r="E408" s="24"/>
      <c r="F408" s="25" t="n">
        <f aca="false">(ABS(C200-G200)/C200)*100</f>
        <v>0.0313971742543171</v>
      </c>
      <c r="G408" s="25" t="n">
        <f aca="false">(ABS(D200-H200)/D200)*100</f>
        <v>0.00347041471455839</v>
      </c>
      <c r="H408" s="24"/>
    </row>
    <row r="409" customFormat="false" ht="15" hidden="false" customHeight="false" outlineLevel="0" collapsed="false">
      <c r="A409" s="7"/>
      <c r="B409" s="25" t="n">
        <v>197</v>
      </c>
      <c r="C409" s="11" t="n">
        <f aca="false">(ABS(C201-E201)/C201)*100</f>
        <v>99.9120879120879</v>
      </c>
      <c r="D409" s="25" t="n">
        <f aca="false">(ABS(D201-F201)/D201)*100</f>
        <v>11.0435537046677</v>
      </c>
      <c r="E409" s="24"/>
      <c r="F409" s="25" t="n">
        <f aca="false">(ABS(C201-G201)/C201)*100</f>
        <v>0.0188383045525903</v>
      </c>
      <c r="G409" s="25" t="n">
        <f aca="false">(ABS(D201-H201)/D201)*100</f>
        <v>0.00208224882873503</v>
      </c>
      <c r="H409" s="24"/>
    </row>
    <row r="410" customFormat="false" ht="15" hidden="false" customHeight="false" outlineLevel="0" collapsed="false">
      <c r="A410" s="7"/>
      <c r="B410" s="25" t="n">
        <v>198</v>
      </c>
      <c r="C410" s="11" t="n">
        <f aca="false">(ABS(C202-E202)/C202)*100</f>
        <v>99.8492840994725</v>
      </c>
      <c r="D410" s="25" t="n">
        <f aca="false">(ABS(D202-F202)/D202)*100</f>
        <v>11.0358421943974</v>
      </c>
      <c r="E410" s="24"/>
      <c r="F410" s="25" t="n">
        <f aca="false">(ABS(C202-G202)/C202)*100</f>
        <v>0.0313991459432303</v>
      </c>
      <c r="G410" s="25" t="n">
        <f aca="false">(ABS(D202-H202)/D202)*100</f>
        <v>0.00347039062716899</v>
      </c>
      <c r="H410" s="24"/>
    </row>
    <row r="411" customFormat="false" ht="15" hidden="false" customHeight="false" outlineLevel="0" collapsed="false">
      <c r="A411" s="7"/>
      <c r="B411" s="25" t="n">
        <v>199</v>
      </c>
      <c r="C411" s="11" t="n">
        <f aca="false">(ABS(C203-E203)/C203)*100</f>
        <v>99.0266875981162</v>
      </c>
      <c r="D411" s="25" t="n">
        <f aca="false">(ABS(D203-F203)/D203)*100</f>
        <v>10.9456880097172</v>
      </c>
      <c r="E411" s="26" t="s">
        <v>10</v>
      </c>
      <c r="F411" s="25" t="n">
        <f aca="false">(ABS(C203-G203)/C203)*100</f>
        <v>0.0188383045525903</v>
      </c>
      <c r="G411" s="25" t="n">
        <f aca="false">(ABS(D203-H203)/D203)*100</f>
        <v>0.00208224882873503</v>
      </c>
      <c r="H411" s="26" t="s">
        <v>10</v>
      </c>
    </row>
    <row r="412" customFormat="false" ht="15" hidden="false" customHeight="false" outlineLevel="0" collapsed="false">
      <c r="A412" s="7"/>
      <c r="B412" s="14" t="s">
        <v>8</v>
      </c>
      <c r="C412" s="15" t="n">
        <f aca="false">(ABS(SUM(C4:C144)-SUM(E4:E144))/SUM(C4:C144))*100</f>
        <v>98.5971551408342</v>
      </c>
      <c r="D412" s="17" t="n">
        <f aca="false">(ABS(SUM(D4:D144)-SUM(F4:F144))/SUM(D4:D144))*100</f>
        <v>10.9048083696284</v>
      </c>
      <c r="E412" s="27" t="n">
        <f aca="false">SUM(C212:D411)/(200*2)</f>
        <v>54.8019525988873</v>
      </c>
      <c r="F412" s="17" t="n">
        <f aca="false">(ABS(SUM(C4:C144)-SUM(G4:G144))/SUM(C4:C144))*100</f>
        <v>0.0149556072176829</v>
      </c>
      <c r="G412" s="17" t="n">
        <f aca="false">(ABS(SUM(D4:D144)-SUM(H4:H144))/SUM(D4:D144))*100</f>
        <v>0.00165408454764554</v>
      </c>
      <c r="H412" s="27" t="n">
        <f aca="false">SUM(F212:G411)/(200*2)</f>
        <v>0.00991723994966906</v>
      </c>
    </row>
  </sheetData>
  <mergeCells count="11">
    <mergeCell ref="B1:B3"/>
    <mergeCell ref="C1:D2"/>
    <mergeCell ref="E1:H1"/>
    <mergeCell ref="E2:F2"/>
    <mergeCell ref="G2:H2"/>
    <mergeCell ref="A3:A204"/>
    <mergeCell ref="B209:B211"/>
    <mergeCell ref="C209:H209"/>
    <mergeCell ref="C210:E210"/>
    <mergeCell ref="F210:H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2"/>
  <sheetViews>
    <sheetView showFormulas="false" showGridLines="true" showRowColHeaders="true" showZeros="true" rightToLeft="false" tabSelected="false" showOutlineSymbols="true" defaultGridColor="true" view="normal" topLeftCell="A395" colorId="64" zoomScale="100" zoomScaleNormal="100" zoomScalePageLayoutView="100" workbookViewId="0">
      <selection pane="topLeft" activeCell="F212" activeCellId="0" sqref="F212"/>
    </sheetView>
  </sheetViews>
  <sheetFormatPr defaultColWidth="8.68359375" defaultRowHeight="15" zeroHeight="false" outlineLevelRow="0" outlineLevelCol="0"/>
  <cols>
    <col collapsed="false" customWidth="true" hidden="false" outlineLevel="0" max="6" min="6" style="1" width="21.84"/>
    <col collapsed="false" customWidth="true" hidden="false" outlineLevel="0" max="7" min="7" style="1" width="30.05"/>
    <col collapsed="false" customWidth="true" hidden="false" outlineLevel="0" max="8" min="8" style="1" width="20.03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11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15927</v>
      </c>
      <c r="D4" s="12" t="n">
        <v>144073</v>
      </c>
      <c r="E4" s="2" t="n">
        <v>15927</v>
      </c>
      <c r="F4" s="13" t="n">
        <v>144073</v>
      </c>
      <c r="G4" s="2" t="n">
        <v>15927</v>
      </c>
      <c r="H4" s="12" t="n">
        <v>144073</v>
      </c>
    </row>
    <row r="5" customFormat="false" ht="15" hidden="false" customHeight="false" outlineLevel="0" collapsed="false">
      <c r="A5" s="7"/>
      <c r="B5" s="2" t="n">
        <v>1</v>
      </c>
      <c r="C5" s="11" t="n">
        <v>15924</v>
      </c>
      <c r="D5" s="12" t="n">
        <v>144076</v>
      </c>
      <c r="E5" s="2" t="n">
        <v>23</v>
      </c>
      <c r="F5" s="13" t="n">
        <v>159977</v>
      </c>
      <c r="G5" s="2" t="n">
        <v>15927</v>
      </c>
      <c r="H5" s="12" t="n">
        <v>144073</v>
      </c>
    </row>
    <row r="6" customFormat="false" ht="15" hidden="false" customHeight="false" outlineLevel="0" collapsed="false">
      <c r="A6" s="7"/>
      <c r="B6" s="2" t="n">
        <v>2</v>
      </c>
      <c r="C6" s="11" t="n">
        <v>15924</v>
      </c>
      <c r="D6" s="12" t="n">
        <v>144076</v>
      </c>
      <c r="E6" s="2" t="n">
        <v>16</v>
      </c>
      <c r="F6" s="13" t="n">
        <v>159984</v>
      </c>
      <c r="G6" s="2" t="n">
        <v>15928</v>
      </c>
      <c r="H6" s="12" t="n">
        <v>144072</v>
      </c>
    </row>
    <row r="7" customFormat="false" ht="15" hidden="false" customHeight="false" outlineLevel="0" collapsed="false">
      <c r="A7" s="7"/>
      <c r="B7" s="2" t="n">
        <v>3</v>
      </c>
      <c r="C7" s="11" t="n">
        <v>15925</v>
      </c>
      <c r="D7" s="12" t="n">
        <v>144075</v>
      </c>
      <c r="E7" s="2" t="n">
        <v>0</v>
      </c>
      <c r="F7" s="13" t="n">
        <v>160000</v>
      </c>
      <c r="G7" s="2" t="n">
        <v>15929</v>
      </c>
      <c r="H7" s="12" t="n">
        <v>144071</v>
      </c>
    </row>
    <row r="8" customFormat="false" ht="15" hidden="false" customHeight="false" outlineLevel="0" collapsed="false">
      <c r="A8" s="7"/>
      <c r="B8" s="2" t="n">
        <v>4</v>
      </c>
      <c r="C8" s="11" t="n">
        <v>15924</v>
      </c>
      <c r="D8" s="12" t="n">
        <v>144076</v>
      </c>
      <c r="E8" s="2" t="n">
        <v>8</v>
      </c>
      <c r="F8" s="13" t="n">
        <v>159992</v>
      </c>
      <c r="G8" s="2" t="n">
        <v>15926</v>
      </c>
      <c r="H8" s="12" t="n">
        <v>144074</v>
      </c>
    </row>
    <row r="9" customFormat="false" ht="15" hidden="false" customHeight="false" outlineLevel="0" collapsed="false">
      <c r="A9" s="7"/>
      <c r="B9" s="2" t="n">
        <v>5</v>
      </c>
      <c r="C9" s="11" t="n">
        <v>15925</v>
      </c>
      <c r="D9" s="12" t="n">
        <v>144075</v>
      </c>
      <c r="E9" s="2" t="n">
        <v>5</v>
      </c>
      <c r="F9" s="13" t="n">
        <v>159995</v>
      </c>
      <c r="G9" s="2" t="n">
        <v>15929</v>
      </c>
      <c r="H9" s="12" t="n">
        <v>144071</v>
      </c>
    </row>
    <row r="10" customFormat="false" ht="15" hidden="false" customHeight="false" outlineLevel="0" collapsed="false">
      <c r="A10" s="7"/>
      <c r="B10" s="2" t="n">
        <v>6</v>
      </c>
      <c r="C10" s="11" t="n">
        <v>15925</v>
      </c>
      <c r="D10" s="12" t="n">
        <v>144075</v>
      </c>
      <c r="E10" s="2" t="n">
        <v>10</v>
      </c>
      <c r="F10" s="13" t="n">
        <v>159990</v>
      </c>
      <c r="G10" s="2" t="n">
        <v>15928</v>
      </c>
      <c r="H10" s="12" t="n">
        <v>144072</v>
      </c>
    </row>
    <row r="11" customFormat="false" ht="15" hidden="false" customHeight="false" outlineLevel="0" collapsed="false">
      <c r="A11" s="7"/>
      <c r="B11" s="2" t="n">
        <v>7</v>
      </c>
      <c r="C11" s="11" t="n">
        <v>15925</v>
      </c>
      <c r="D11" s="12" t="n">
        <v>144075</v>
      </c>
      <c r="E11" s="2" t="n">
        <v>1</v>
      </c>
      <c r="F11" s="13" t="n">
        <v>159999</v>
      </c>
      <c r="G11" s="2" t="n">
        <v>15929</v>
      </c>
      <c r="H11" s="12" t="n">
        <v>144071</v>
      </c>
    </row>
    <row r="12" customFormat="false" ht="15" hidden="false" customHeight="false" outlineLevel="0" collapsed="false">
      <c r="A12" s="7"/>
      <c r="B12" s="2" t="n">
        <v>8</v>
      </c>
      <c r="C12" s="11" t="n">
        <v>15925</v>
      </c>
      <c r="D12" s="12" t="n">
        <v>144075</v>
      </c>
      <c r="E12" s="2" t="n">
        <v>7</v>
      </c>
      <c r="F12" s="13" t="n">
        <v>159993</v>
      </c>
      <c r="G12" s="2" t="n">
        <v>15927</v>
      </c>
      <c r="H12" s="12" t="n">
        <v>144073</v>
      </c>
    </row>
    <row r="13" customFormat="false" ht="15" hidden="false" customHeight="false" outlineLevel="0" collapsed="false">
      <c r="A13" s="7"/>
      <c r="B13" s="2" t="n">
        <v>9</v>
      </c>
      <c r="C13" s="11" t="n">
        <v>15925</v>
      </c>
      <c r="D13" s="12" t="n">
        <v>144075</v>
      </c>
      <c r="E13" s="2" t="n">
        <v>0</v>
      </c>
      <c r="F13" s="13" t="n">
        <v>160000</v>
      </c>
      <c r="G13" s="2" t="n">
        <v>15927</v>
      </c>
      <c r="H13" s="12" t="n">
        <v>144073</v>
      </c>
    </row>
    <row r="14" customFormat="false" ht="15" hidden="false" customHeight="false" outlineLevel="0" collapsed="false">
      <c r="A14" s="7"/>
      <c r="B14" s="2" t="n">
        <v>10</v>
      </c>
      <c r="C14" s="11" t="n">
        <v>15924</v>
      </c>
      <c r="D14" s="12" t="n">
        <v>144076</v>
      </c>
      <c r="E14" s="2" t="n">
        <v>27</v>
      </c>
      <c r="F14" s="13" t="n">
        <v>159973</v>
      </c>
      <c r="G14" s="2" t="n">
        <v>15927</v>
      </c>
      <c r="H14" s="12" t="n">
        <v>144073</v>
      </c>
    </row>
    <row r="15" customFormat="false" ht="15" hidden="false" customHeight="false" outlineLevel="0" collapsed="false">
      <c r="A15" s="7"/>
      <c r="B15" s="2" t="n">
        <v>11</v>
      </c>
      <c r="C15" s="11" t="n">
        <v>15925</v>
      </c>
      <c r="D15" s="12" t="n">
        <v>144075</v>
      </c>
      <c r="E15" s="2" t="n">
        <v>26</v>
      </c>
      <c r="F15" s="13" t="n">
        <v>159974</v>
      </c>
      <c r="G15" s="2" t="n">
        <v>15928</v>
      </c>
      <c r="H15" s="12" t="n">
        <v>144072</v>
      </c>
    </row>
    <row r="16" customFormat="false" ht="15" hidden="false" customHeight="false" outlineLevel="0" collapsed="false">
      <c r="A16" s="7"/>
      <c r="B16" s="2" t="n">
        <v>12</v>
      </c>
      <c r="C16" s="11" t="n">
        <v>15924</v>
      </c>
      <c r="D16" s="12" t="n">
        <v>144076</v>
      </c>
      <c r="E16" s="2" t="n">
        <v>78</v>
      </c>
      <c r="F16" s="13" t="n">
        <v>159922</v>
      </c>
      <c r="G16" s="2" t="n">
        <v>15927</v>
      </c>
      <c r="H16" s="12" t="n">
        <v>144073</v>
      </c>
    </row>
    <row r="17" customFormat="false" ht="15" hidden="false" customHeight="false" outlineLevel="0" collapsed="false">
      <c r="A17" s="7"/>
      <c r="B17" s="2" t="n">
        <v>13</v>
      </c>
      <c r="C17" s="11" t="n">
        <v>15925</v>
      </c>
      <c r="D17" s="12" t="n">
        <v>144075</v>
      </c>
      <c r="E17" s="2" t="n">
        <v>108</v>
      </c>
      <c r="F17" s="13" t="n">
        <v>159892</v>
      </c>
      <c r="G17" s="2" t="n">
        <v>15927</v>
      </c>
      <c r="H17" s="12" t="n">
        <v>144073</v>
      </c>
    </row>
    <row r="18" customFormat="false" ht="15" hidden="false" customHeight="false" outlineLevel="0" collapsed="false">
      <c r="A18" s="7"/>
      <c r="B18" s="2" t="n">
        <v>14</v>
      </c>
      <c r="C18" s="11" t="n">
        <v>15925</v>
      </c>
      <c r="D18" s="12" t="n">
        <v>144075</v>
      </c>
      <c r="E18" s="2" t="n">
        <v>28</v>
      </c>
      <c r="F18" s="13" t="n">
        <v>159972</v>
      </c>
      <c r="G18" s="2" t="n">
        <v>15927</v>
      </c>
      <c r="H18" s="12" t="n">
        <v>144073</v>
      </c>
    </row>
    <row r="19" customFormat="false" ht="15" hidden="false" customHeight="false" outlineLevel="0" collapsed="false">
      <c r="A19" s="7"/>
      <c r="B19" s="2" t="n">
        <v>15</v>
      </c>
      <c r="C19" s="11" t="n">
        <v>15924</v>
      </c>
      <c r="D19" s="12" t="n">
        <v>144076</v>
      </c>
      <c r="E19" s="2" t="n">
        <v>7</v>
      </c>
      <c r="F19" s="13" t="n">
        <v>159993</v>
      </c>
      <c r="G19" s="2" t="n">
        <v>15925</v>
      </c>
      <c r="H19" s="12" t="n">
        <v>144075</v>
      </c>
    </row>
    <row r="20" customFormat="false" ht="15" hidden="false" customHeight="false" outlineLevel="0" collapsed="false">
      <c r="A20" s="7"/>
      <c r="B20" s="2" t="n">
        <v>16</v>
      </c>
      <c r="C20" s="11" t="n">
        <v>15924</v>
      </c>
      <c r="D20" s="12" t="n">
        <v>144076</v>
      </c>
      <c r="E20" s="2" t="n">
        <v>710</v>
      </c>
      <c r="F20" s="13" t="n">
        <v>159290</v>
      </c>
      <c r="G20" s="2" t="n">
        <v>15924</v>
      </c>
      <c r="H20" s="12" t="n">
        <v>144076</v>
      </c>
    </row>
    <row r="21" customFormat="false" ht="15" hidden="false" customHeight="false" outlineLevel="0" collapsed="false">
      <c r="A21" s="7"/>
      <c r="B21" s="2" t="n">
        <v>17</v>
      </c>
      <c r="C21" s="11" t="n">
        <v>15925</v>
      </c>
      <c r="D21" s="12" t="n">
        <v>144075</v>
      </c>
      <c r="E21" s="2" t="n">
        <v>375</v>
      </c>
      <c r="F21" s="13" t="n">
        <v>159625</v>
      </c>
      <c r="G21" s="2" t="n">
        <v>15925</v>
      </c>
      <c r="H21" s="12" t="n">
        <v>144075</v>
      </c>
    </row>
    <row r="22" customFormat="false" ht="15" hidden="false" customHeight="false" outlineLevel="0" collapsed="false">
      <c r="A22" s="7"/>
      <c r="B22" s="2" t="n">
        <v>18</v>
      </c>
      <c r="C22" s="11" t="n">
        <v>15924</v>
      </c>
      <c r="D22" s="12" t="n">
        <v>144076</v>
      </c>
      <c r="E22" s="2" t="n">
        <v>34</v>
      </c>
      <c r="F22" s="13" t="n">
        <v>159966</v>
      </c>
      <c r="G22" s="2" t="n">
        <v>15924</v>
      </c>
      <c r="H22" s="12" t="n">
        <v>144076</v>
      </c>
    </row>
    <row r="23" customFormat="false" ht="15" hidden="false" customHeight="false" outlineLevel="0" collapsed="false">
      <c r="A23" s="7"/>
      <c r="B23" s="2" t="n">
        <v>19</v>
      </c>
      <c r="C23" s="11" t="n">
        <v>15924</v>
      </c>
      <c r="D23" s="12" t="n">
        <v>144076</v>
      </c>
      <c r="E23" s="2" t="n">
        <v>57</v>
      </c>
      <c r="F23" s="13" t="n">
        <v>159943</v>
      </c>
      <c r="G23" s="2" t="n">
        <v>15924</v>
      </c>
      <c r="H23" s="12" t="n">
        <v>144076</v>
      </c>
    </row>
    <row r="24" customFormat="false" ht="15" hidden="false" customHeight="false" outlineLevel="0" collapsed="false">
      <c r="A24" s="7"/>
      <c r="B24" s="2" t="n">
        <v>20</v>
      </c>
      <c r="C24" s="11" t="n">
        <v>15925</v>
      </c>
      <c r="D24" s="12" t="n">
        <v>144075</v>
      </c>
      <c r="E24" s="2" t="n">
        <v>5</v>
      </c>
      <c r="F24" s="13" t="n">
        <v>159995</v>
      </c>
      <c r="G24" s="2" t="n">
        <v>15925</v>
      </c>
      <c r="H24" s="12" t="n">
        <v>144075</v>
      </c>
    </row>
    <row r="25" customFormat="false" ht="15" hidden="false" customHeight="false" outlineLevel="0" collapsed="false">
      <c r="A25" s="7"/>
      <c r="B25" s="2" t="n">
        <v>21</v>
      </c>
      <c r="C25" s="11" t="n">
        <v>15925</v>
      </c>
      <c r="D25" s="12" t="n">
        <v>144075</v>
      </c>
      <c r="E25" s="2" t="n">
        <v>1201</v>
      </c>
      <c r="F25" s="13" t="n">
        <v>158799</v>
      </c>
      <c r="G25" s="2" t="n">
        <v>15925</v>
      </c>
      <c r="H25" s="12" t="n">
        <v>144075</v>
      </c>
    </row>
    <row r="26" customFormat="false" ht="15" hidden="false" customHeight="false" outlineLevel="0" collapsed="false">
      <c r="A26" s="7"/>
      <c r="B26" s="2" t="n">
        <v>22</v>
      </c>
      <c r="C26" s="11" t="n">
        <v>15925</v>
      </c>
      <c r="D26" s="12" t="n">
        <v>144075</v>
      </c>
      <c r="E26" s="2" t="n">
        <v>1489</v>
      </c>
      <c r="F26" s="13" t="n">
        <v>158511</v>
      </c>
      <c r="G26" s="2" t="n">
        <v>15929</v>
      </c>
      <c r="H26" s="12" t="n">
        <v>144071</v>
      </c>
    </row>
    <row r="27" customFormat="false" ht="15" hidden="false" customHeight="false" outlineLevel="0" collapsed="false">
      <c r="A27" s="7"/>
      <c r="B27" s="2" t="n">
        <v>23</v>
      </c>
      <c r="C27" s="11" t="n">
        <v>15925</v>
      </c>
      <c r="D27" s="12" t="n">
        <v>144075</v>
      </c>
      <c r="E27" s="2" t="n">
        <v>701</v>
      </c>
      <c r="F27" s="13" t="n">
        <v>159299</v>
      </c>
      <c r="G27" s="2" t="n">
        <v>15925</v>
      </c>
      <c r="H27" s="12" t="n">
        <v>144075</v>
      </c>
    </row>
    <row r="28" customFormat="false" ht="15" hidden="false" customHeight="false" outlineLevel="0" collapsed="false">
      <c r="A28" s="7"/>
      <c r="B28" s="2" t="n">
        <v>24</v>
      </c>
      <c r="C28" s="11" t="n">
        <v>15925</v>
      </c>
      <c r="D28" s="12" t="n">
        <v>144075</v>
      </c>
      <c r="E28" s="2" t="n">
        <v>1574</v>
      </c>
      <c r="F28" s="13" t="n">
        <v>158426</v>
      </c>
      <c r="G28" s="2" t="n">
        <v>15925</v>
      </c>
      <c r="H28" s="12" t="n">
        <v>144075</v>
      </c>
    </row>
    <row r="29" customFormat="false" ht="15" hidden="false" customHeight="false" outlineLevel="0" collapsed="false">
      <c r="A29" s="7"/>
      <c r="B29" s="2" t="n">
        <v>25</v>
      </c>
      <c r="C29" s="11" t="n">
        <v>15925</v>
      </c>
      <c r="D29" s="12" t="n">
        <v>144075</v>
      </c>
      <c r="E29" s="2" t="n">
        <v>2351</v>
      </c>
      <c r="F29" s="13" t="n">
        <v>157649</v>
      </c>
      <c r="G29" s="2" t="n">
        <v>15925</v>
      </c>
      <c r="H29" s="12" t="n">
        <v>144075</v>
      </c>
    </row>
    <row r="30" customFormat="false" ht="15" hidden="false" customHeight="false" outlineLevel="0" collapsed="false">
      <c r="A30" s="7"/>
      <c r="B30" s="2" t="n">
        <v>26</v>
      </c>
      <c r="C30" s="11" t="n">
        <v>15925</v>
      </c>
      <c r="D30" s="12" t="n">
        <v>144075</v>
      </c>
      <c r="E30" s="2" t="n">
        <v>64</v>
      </c>
      <c r="F30" s="13" t="n">
        <v>159936</v>
      </c>
      <c r="G30" s="2" t="n">
        <v>15925</v>
      </c>
      <c r="H30" s="12" t="n">
        <v>144075</v>
      </c>
    </row>
    <row r="31" customFormat="false" ht="15" hidden="false" customHeight="false" outlineLevel="0" collapsed="false">
      <c r="A31" s="7"/>
      <c r="B31" s="2" t="n">
        <v>27</v>
      </c>
      <c r="C31" s="11" t="n">
        <v>15925</v>
      </c>
      <c r="D31" s="12" t="n">
        <v>144075</v>
      </c>
      <c r="E31" s="2" t="n">
        <v>176</v>
      </c>
      <c r="F31" s="13" t="n">
        <v>159824</v>
      </c>
      <c r="G31" s="2" t="n">
        <v>15925</v>
      </c>
      <c r="H31" s="12" t="n">
        <v>144075</v>
      </c>
    </row>
    <row r="32" customFormat="false" ht="15" hidden="false" customHeight="false" outlineLevel="0" collapsed="false">
      <c r="A32" s="7"/>
      <c r="B32" s="2" t="n">
        <v>28</v>
      </c>
      <c r="C32" s="11" t="n">
        <v>15925</v>
      </c>
      <c r="D32" s="12" t="n">
        <v>144075</v>
      </c>
      <c r="E32" s="2" t="n">
        <v>11</v>
      </c>
      <c r="F32" s="13" t="n">
        <v>159989</v>
      </c>
      <c r="G32" s="2" t="n">
        <v>15925</v>
      </c>
      <c r="H32" s="12" t="n">
        <v>144075</v>
      </c>
    </row>
    <row r="33" customFormat="false" ht="15" hidden="false" customHeight="false" outlineLevel="0" collapsed="false">
      <c r="A33" s="7"/>
      <c r="B33" s="2" t="n">
        <v>29</v>
      </c>
      <c r="C33" s="11" t="n">
        <v>15924</v>
      </c>
      <c r="D33" s="12" t="n">
        <v>144076</v>
      </c>
      <c r="E33" s="2" t="n">
        <v>22</v>
      </c>
      <c r="F33" s="13" t="n">
        <v>159978</v>
      </c>
      <c r="G33" s="2" t="n">
        <v>15924</v>
      </c>
      <c r="H33" s="12" t="n">
        <v>144076</v>
      </c>
    </row>
    <row r="34" customFormat="false" ht="15" hidden="false" customHeight="false" outlineLevel="0" collapsed="false">
      <c r="A34" s="7"/>
      <c r="B34" s="2" t="n">
        <v>30</v>
      </c>
      <c r="C34" s="11" t="n">
        <v>15925</v>
      </c>
      <c r="D34" s="12" t="n">
        <v>144075</v>
      </c>
      <c r="E34" s="2" t="n">
        <v>193</v>
      </c>
      <c r="F34" s="13" t="n">
        <v>159807</v>
      </c>
      <c r="G34" s="2" t="n">
        <v>15927</v>
      </c>
      <c r="H34" s="12" t="n">
        <v>144073</v>
      </c>
    </row>
    <row r="35" customFormat="false" ht="15" hidden="false" customHeight="false" outlineLevel="0" collapsed="false">
      <c r="A35" s="7"/>
      <c r="B35" s="2" t="n">
        <v>31</v>
      </c>
      <c r="C35" s="11" t="n">
        <v>15925</v>
      </c>
      <c r="D35" s="12" t="n">
        <v>144075</v>
      </c>
      <c r="E35" s="2" t="n">
        <v>15</v>
      </c>
      <c r="F35" s="13" t="n">
        <v>159985</v>
      </c>
      <c r="G35" s="2" t="n">
        <v>15926</v>
      </c>
      <c r="H35" s="12" t="n">
        <v>144074</v>
      </c>
    </row>
    <row r="36" customFormat="false" ht="15" hidden="false" customHeight="false" outlineLevel="0" collapsed="false">
      <c r="A36" s="7"/>
      <c r="B36" s="2" t="n">
        <v>32</v>
      </c>
      <c r="C36" s="11" t="n">
        <v>15925</v>
      </c>
      <c r="D36" s="12" t="n">
        <v>144075</v>
      </c>
      <c r="E36" s="2" t="n">
        <v>20</v>
      </c>
      <c r="F36" s="13" t="n">
        <v>159980</v>
      </c>
      <c r="G36" s="2" t="n">
        <v>15926</v>
      </c>
      <c r="H36" s="12" t="n">
        <v>144074</v>
      </c>
    </row>
    <row r="37" customFormat="false" ht="15" hidden="false" customHeight="false" outlineLevel="0" collapsed="false">
      <c r="A37" s="7"/>
      <c r="B37" s="2" t="n">
        <v>33</v>
      </c>
      <c r="C37" s="11" t="n">
        <v>15925</v>
      </c>
      <c r="D37" s="12" t="n">
        <v>144075</v>
      </c>
      <c r="E37" s="2" t="n">
        <v>1057</v>
      </c>
      <c r="F37" s="13" t="n">
        <v>158943</v>
      </c>
      <c r="G37" s="2" t="n">
        <v>15926</v>
      </c>
      <c r="H37" s="12" t="n">
        <v>144074</v>
      </c>
    </row>
    <row r="38" customFormat="false" ht="15" hidden="false" customHeight="false" outlineLevel="0" collapsed="false">
      <c r="A38" s="7"/>
      <c r="B38" s="2" t="n">
        <v>34</v>
      </c>
      <c r="C38" s="11" t="n">
        <v>15925</v>
      </c>
      <c r="D38" s="12" t="n">
        <v>144075</v>
      </c>
      <c r="E38" s="2" t="n">
        <v>205</v>
      </c>
      <c r="F38" s="13" t="n">
        <v>159795</v>
      </c>
      <c r="G38" s="2" t="n">
        <v>15926</v>
      </c>
      <c r="H38" s="12" t="n">
        <v>144074</v>
      </c>
    </row>
    <row r="39" customFormat="false" ht="15" hidden="false" customHeight="false" outlineLevel="0" collapsed="false">
      <c r="A39" s="7"/>
      <c r="B39" s="2" t="n">
        <v>35</v>
      </c>
      <c r="C39" s="11" t="n">
        <v>15925</v>
      </c>
      <c r="D39" s="12" t="n">
        <v>144075</v>
      </c>
      <c r="E39" s="2" t="n">
        <v>14</v>
      </c>
      <c r="F39" s="13" t="n">
        <v>159986</v>
      </c>
      <c r="G39" s="2" t="n">
        <v>15926</v>
      </c>
      <c r="H39" s="12" t="n">
        <v>144074</v>
      </c>
    </row>
    <row r="40" customFormat="false" ht="15" hidden="false" customHeight="false" outlineLevel="0" collapsed="false">
      <c r="A40" s="7"/>
      <c r="B40" s="2" t="n">
        <v>36</v>
      </c>
      <c r="C40" s="11" t="n">
        <v>15925</v>
      </c>
      <c r="D40" s="12" t="n">
        <v>144075</v>
      </c>
      <c r="E40" s="2" t="n">
        <v>681</v>
      </c>
      <c r="F40" s="13" t="n">
        <v>159319</v>
      </c>
      <c r="G40" s="2" t="n">
        <v>15926</v>
      </c>
      <c r="H40" s="12" t="n">
        <v>144074</v>
      </c>
    </row>
    <row r="41" customFormat="false" ht="15" hidden="false" customHeight="false" outlineLevel="0" collapsed="false">
      <c r="A41" s="7"/>
      <c r="B41" s="2" t="n">
        <v>37</v>
      </c>
      <c r="C41" s="11" t="n">
        <v>15927</v>
      </c>
      <c r="D41" s="12" t="n">
        <v>144073</v>
      </c>
      <c r="E41" s="2" t="n">
        <v>978</v>
      </c>
      <c r="F41" s="13" t="n">
        <v>159022</v>
      </c>
      <c r="G41" s="2" t="n">
        <v>15931</v>
      </c>
      <c r="H41" s="12" t="n">
        <v>144069</v>
      </c>
    </row>
    <row r="42" customFormat="false" ht="15" hidden="false" customHeight="false" outlineLevel="0" collapsed="false">
      <c r="A42" s="7"/>
      <c r="B42" s="2" t="n">
        <v>38</v>
      </c>
      <c r="C42" s="11" t="n">
        <v>15925</v>
      </c>
      <c r="D42" s="12" t="n">
        <v>144075</v>
      </c>
      <c r="E42" s="2" t="n">
        <v>70</v>
      </c>
      <c r="F42" s="13" t="n">
        <v>159930</v>
      </c>
      <c r="G42" s="2" t="n">
        <v>15926</v>
      </c>
      <c r="H42" s="12" t="n">
        <v>144074</v>
      </c>
    </row>
    <row r="43" customFormat="false" ht="15" hidden="false" customHeight="false" outlineLevel="0" collapsed="false">
      <c r="A43" s="7"/>
      <c r="B43" s="2" t="n">
        <v>39</v>
      </c>
      <c r="C43" s="11" t="n">
        <v>15925</v>
      </c>
      <c r="D43" s="12" t="n">
        <v>144075</v>
      </c>
      <c r="E43" s="2" t="n">
        <v>13</v>
      </c>
      <c r="F43" s="13" t="n">
        <v>159987</v>
      </c>
      <c r="G43" s="2" t="n">
        <v>15926</v>
      </c>
      <c r="H43" s="12" t="n">
        <v>144074</v>
      </c>
    </row>
    <row r="44" customFormat="false" ht="15" hidden="false" customHeight="false" outlineLevel="0" collapsed="false">
      <c r="A44" s="7"/>
      <c r="B44" s="2" t="n">
        <v>40</v>
      </c>
      <c r="C44" s="11" t="n">
        <v>15925</v>
      </c>
      <c r="D44" s="12" t="n">
        <v>144075</v>
      </c>
      <c r="E44" s="2" t="n">
        <v>155</v>
      </c>
      <c r="F44" s="13" t="n">
        <v>159845</v>
      </c>
      <c r="G44" s="2" t="n">
        <v>15926</v>
      </c>
      <c r="H44" s="12" t="n">
        <v>144074</v>
      </c>
    </row>
    <row r="45" customFormat="false" ht="15" hidden="false" customHeight="false" outlineLevel="0" collapsed="false">
      <c r="A45" s="7"/>
      <c r="B45" s="2" t="n">
        <v>41</v>
      </c>
      <c r="C45" s="11" t="n">
        <v>15924</v>
      </c>
      <c r="D45" s="12" t="n">
        <v>144076</v>
      </c>
      <c r="E45" s="2" t="n">
        <v>18</v>
      </c>
      <c r="F45" s="13" t="n">
        <v>159982</v>
      </c>
      <c r="G45" s="2" t="n">
        <v>15926</v>
      </c>
      <c r="H45" s="12" t="n">
        <v>144074</v>
      </c>
    </row>
    <row r="46" customFormat="false" ht="15" hidden="false" customHeight="false" outlineLevel="0" collapsed="false">
      <c r="A46" s="7"/>
      <c r="B46" s="2" t="n">
        <v>42</v>
      </c>
      <c r="C46" s="11" t="n">
        <v>15925</v>
      </c>
      <c r="D46" s="12" t="n">
        <v>144075</v>
      </c>
      <c r="E46" s="2" t="n">
        <v>3</v>
      </c>
      <c r="F46" s="13" t="n">
        <v>159997</v>
      </c>
      <c r="G46" s="2" t="n">
        <v>15928</v>
      </c>
      <c r="H46" s="12" t="n">
        <v>144072</v>
      </c>
    </row>
    <row r="47" customFormat="false" ht="15" hidden="false" customHeight="false" outlineLevel="0" collapsed="false">
      <c r="A47" s="7"/>
      <c r="B47" s="2" t="n">
        <v>43</v>
      </c>
      <c r="C47" s="11" t="n">
        <v>15925</v>
      </c>
      <c r="D47" s="12" t="n">
        <v>144075</v>
      </c>
      <c r="E47" s="2" t="n">
        <v>9</v>
      </c>
      <c r="F47" s="13" t="n">
        <v>159991</v>
      </c>
      <c r="G47" s="2" t="n">
        <v>15928</v>
      </c>
      <c r="H47" s="12" t="n">
        <v>144072</v>
      </c>
    </row>
    <row r="48" customFormat="false" ht="15" hidden="false" customHeight="false" outlineLevel="0" collapsed="false">
      <c r="A48" s="7"/>
      <c r="B48" s="2" t="n">
        <v>44</v>
      </c>
      <c r="C48" s="11" t="n">
        <v>15925</v>
      </c>
      <c r="D48" s="12" t="n">
        <v>144075</v>
      </c>
      <c r="E48" s="2" t="n">
        <v>4</v>
      </c>
      <c r="F48" s="13" t="n">
        <v>159996</v>
      </c>
      <c r="G48" s="2" t="n">
        <v>15928</v>
      </c>
      <c r="H48" s="12" t="n">
        <v>144072</v>
      </c>
    </row>
    <row r="49" customFormat="false" ht="15" hidden="false" customHeight="false" outlineLevel="0" collapsed="false">
      <c r="A49" s="7"/>
      <c r="B49" s="2" t="n">
        <v>45</v>
      </c>
      <c r="C49" s="11" t="n">
        <v>15924</v>
      </c>
      <c r="D49" s="12" t="n">
        <v>144076</v>
      </c>
      <c r="E49" s="2" t="n">
        <v>721</v>
      </c>
      <c r="F49" s="13" t="n">
        <v>159279</v>
      </c>
      <c r="G49" s="2" t="n">
        <v>15929</v>
      </c>
      <c r="H49" s="12" t="n">
        <v>144071</v>
      </c>
    </row>
    <row r="50" customFormat="false" ht="15" hidden="false" customHeight="false" outlineLevel="0" collapsed="false">
      <c r="A50" s="7"/>
      <c r="B50" s="2" t="n">
        <v>46</v>
      </c>
      <c r="C50" s="11" t="n">
        <v>15925</v>
      </c>
      <c r="D50" s="12" t="n">
        <v>144075</v>
      </c>
      <c r="E50" s="2" t="n">
        <v>61</v>
      </c>
      <c r="F50" s="13" t="n">
        <v>159939</v>
      </c>
      <c r="G50" s="2" t="n">
        <v>15929</v>
      </c>
      <c r="H50" s="12" t="n">
        <v>144071</v>
      </c>
    </row>
    <row r="51" customFormat="false" ht="15" hidden="false" customHeight="false" outlineLevel="0" collapsed="false">
      <c r="A51" s="7"/>
      <c r="B51" s="2" t="n">
        <v>47</v>
      </c>
      <c r="C51" s="11" t="n">
        <v>15925</v>
      </c>
      <c r="D51" s="12" t="n">
        <v>144075</v>
      </c>
      <c r="E51" s="2" t="n">
        <v>5</v>
      </c>
      <c r="F51" s="13" t="n">
        <v>159995</v>
      </c>
      <c r="G51" s="2" t="n">
        <v>15929</v>
      </c>
      <c r="H51" s="12" t="n">
        <v>144071</v>
      </c>
    </row>
    <row r="52" customFormat="false" ht="15" hidden="false" customHeight="false" outlineLevel="0" collapsed="false">
      <c r="A52" s="7"/>
      <c r="B52" s="2" t="n">
        <v>48</v>
      </c>
      <c r="C52" s="11" t="n">
        <v>15925</v>
      </c>
      <c r="D52" s="12" t="n">
        <v>144075</v>
      </c>
      <c r="E52" s="2" t="n">
        <v>28</v>
      </c>
      <c r="F52" s="13" t="n">
        <v>159972</v>
      </c>
      <c r="G52" s="2" t="n">
        <v>15929</v>
      </c>
      <c r="H52" s="12" t="n">
        <v>144071</v>
      </c>
    </row>
    <row r="53" customFormat="false" ht="15" hidden="false" customHeight="false" outlineLevel="0" collapsed="false">
      <c r="A53" s="7"/>
      <c r="B53" s="2" t="n">
        <v>49</v>
      </c>
      <c r="C53" s="11" t="n">
        <v>15925</v>
      </c>
      <c r="D53" s="12" t="n">
        <v>144075</v>
      </c>
      <c r="E53" s="2" t="n">
        <v>1215</v>
      </c>
      <c r="F53" s="13" t="n">
        <v>158785</v>
      </c>
      <c r="G53" s="2" t="n">
        <v>15929</v>
      </c>
      <c r="H53" s="12" t="n">
        <v>144071</v>
      </c>
    </row>
    <row r="54" customFormat="false" ht="15" hidden="false" customHeight="false" outlineLevel="0" collapsed="false">
      <c r="A54" s="7"/>
      <c r="B54" s="2" t="n">
        <v>50</v>
      </c>
      <c r="C54" s="11" t="n">
        <v>15925</v>
      </c>
      <c r="D54" s="12" t="n">
        <v>144075</v>
      </c>
      <c r="E54" s="2" t="n">
        <v>13</v>
      </c>
      <c r="F54" s="13" t="n">
        <v>159987</v>
      </c>
      <c r="G54" s="2" t="n">
        <v>15929</v>
      </c>
      <c r="H54" s="12" t="n">
        <v>144071</v>
      </c>
    </row>
    <row r="55" customFormat="false" ht="15" hidden="false" customHeight="false" outlineLevel="0" collapsed="false">
      <c r="A55" s="7"/>
      <c r="B55" s="2" t="n">
        <v>51</v>
      </c>
      <c r="C55" s="11" t="n">
        <v>15924</v>
      </c>
      <c r="D55" s="12" t="n">
        <v>144076</v>
      </c>
      <c r="E55" s="2" t="n">
        <v>6</v>
      </c>
      <c r="F55" s="13" t="n">
        <v>159994</v>
      </c>
      <c r="G55" s="2" t="n">
        <v>15927</v>
      </c>
      <c r="H55" s="12" t="n">
        <v>144073</v>
      </c>
    </row>
    <row r="56" customFormat="false" ht="15" hidden="false" customHeight="false" outlineLevel="0" collapsed="false">
      <c r="A56" s="7"/>
      <c r="B56" s="2" t="n">
        <v>52</v>
      </c>
      <c r="C56" s="11" t="n">
        <v>15928</v>
      </c>
      <c r="D56" s="12" t="n">
        <v>144072</v>
      </c>
      <c r="E56" s="2" t="n">
        <v>10</v>
      </c>
      <c r="F56" s="13" t="n">
        <v>159990</v>
      </c>
      <c r="G56" s="2" t="n">
        <v>15929</v>
      </c>
      <c r="H56" s="12" t="n">
        <v>144071</v>
      </c>
    </row>
    <row r="57" customFormat="false" ht="15" hidden="false" customHeight="false" outlineLevel="0" collapsed="false">
      <c r="A57" s="7"/>
      <c r="B57" s="2" t="n">
        <v>53</v>
      </c>
      <c r="C57" s="11" t="n">
        <v>15931</v>
      </c>
      <c r="D57" s="12" t="n">
        <v>144069</v>
      </c>
      <c r="E57" s="2" t="n">
        <v>322</v>
      </c>
      <c r="F57" s="13" t="n">
        <v>159678</v>
      </c>
      <c r="G57" s="2" t="n">
        <v>15932</v>
      </c>
      <c r="H57" s="12" t="n">
        <v>144068</v>
      </c>
    </row>
    <row r="58" customFormat="false" ht="15" hidden="false" customHeight="false" outlineLevel="0" collapsed="false">
      <c r="A58" s="7"/>
      <c r="B58" s="2" t="n">
        <v>54</v>
      </c>
      <c r="C58" s="11" t="n">
        <v>15925</v>
      </c>
      <c r="D58" s="12" t="n">
        <v>144075</v>
      </c>
      <c r="E58" s="2" t="n">
        <v>14</v>
      </c>
      <c r="F58" s="13" t="n">
        <v>159986</v>
      </c>
      <c r="G58" s="2" t="n">
        <v>15931</v>
      </c>
      <c r="H58" s="12" t="n">
        <v>144069</v>
      </c>
    </row>
    <row r="59" customFormat="false" ht="15" hidden="false" customHeight="false" outlineLevel="0" collapsed="false">
      <c r="A59" s="7"/>
      <c r="B59" s="2" t="n">
        <v>55</v>
      </c>
      <c r="C59" s="11" t="n">
        <v>15924</v>
      </c>
      <c r="D59" s="12" t="n">
        <v>144076</v>
      </c>
      <c r="E59" s="2" t="n">
        <v>143</v>
      </c>
      <c r="F59" s="13" t="n">
        <v>159857</v>
      </c>
      <c r="G59" s="2" t="n">
        <v>15930</v>
      </c>
      <c r="H59" s="12" t="n">
        <v>144070</v>
      </c>
    </row>
    <row r="60" customFormat="false" ht="15" hidden="false" customHeight="false" outlineLevel="0" collapsed="false">
      <c r="A60" s="7"/>
      <c r="B60" s="2" t="n">
        <v>56</v>
      </c>
      <c r="C60" s="11" t="n">
        <v>15925</v>
      </c>
      <c r="D60" s="12" t="n">
        <v>144075</v>
      </c>
      <c r="E60" s="2" t="n">
        <v>11</v>
      </c>
      <c r="F60" s="13" t="n">
        <v>159989</v>
      </c>
      <c r="G60" s="2" t="n">
        <v>15931</v>
      </c>
      <c r="H60" s="12" t="n">
        <v>144069</v>
      </c>
    </row>
    <row r="61" customFormat="false" ht="15" hidden="false" customHeight="false" outlineLevel="0" collapsed="false">
      <c r="A61" s="7"/>
      <c r="B61" s="2" t="n">
        <v>57</v>
      </c>
      <c r="C61" s="11" t="n">
        <v>15925</v>
      </c>
      <c r="D61" s="12" t="n">
        <v>144075</v>
      </c>
      <c r="E61" s="2" t="n">
        <v>1483</v>
      </c>
      <c r="F61" s="13" t="n">
        <v>158517</v>
      </c>
      <c r="G61" s="2" t="n">
        <v>15931</v>
      </c>
      <c r="H61" s="12" t="n">
        <v>144069</v>
      </c>
    </row>
    <row r="62" customFormat="false" ht="15" hidden="false" customHeight="false" outlineLevel="0" collapsed="false">
      <c r="A62" s="7"/>
      <c r="B62" s="2" t="n">
        <v>58</v>
      </c>
      <c r="C62" s="11" t="n">
        <v>15930</v>
      </c>
      <c r="D62" s="12" t="n">
        <v>144070</v>
      </c>
      <c r="E62" s="2" t="n">
        <v>0</v>
      </c>
      <c r="F62" s="13" t="n">
        <v>160000</v>
      </c>
      <c r="G62" s="2" t="n">
        <v>15930</v>
      </c>
      <c r="H62" s="12" t="n">
        <v>144070</v>
      </c>
    </row>
    <row r="63" customFormat="false" ht="15" hidden="false" customHeight="false" outlineLevel="0" collapsed="false">
      <c r="A63" s="7"/>
      <c r="B63" s="2" t="n">
        <v>59</v>
      </c>
      <c r="C63" s="11" t="n">
        <v>16098</v>
      </c>
      <c r="D63" s="12" t="n">
        <v>143902</v>
      </c>
      <c r="E63" s="2" t="n">
        <v>21</v>
      </c>
      <c r="F63" s="13" t="n">
        <v>159979</v>
      </c>
      <c r="G63" s="2" t="n">
        <v>16097</v>
      </c>
      <c r="H63" s="12" t="n">
        <v>143903</v>
      </c>
    </row>
    <row r="64" customFormat="false" ht="15" hidden="false" customHeight="false" outlineLevel="0" collapsed="false">
      <c r="A64" s="7"/>
      <c r="B64" s="2" t="n">
        <v>60</v>
      </c>
      <c r="C64" s="11" t="n">
        <v>15925</v>
      </c>
      <c r="D64" s="12" t="n">
        <v>144075</v>
      </c>
      <c r="E64" s="2" t="n">
        <v>94</v>
      </c>
      <c r="F64" s="13" t="n">
        <v>159906</v>
      </c>
      <c r="G64" s="2" t="n">
        <v>15929</v>
      </c>
      <c r="H64" s="12" t="n">
        <v>144071</v>
      </c>
    </row>
    <row r="65" customFormat="false" ht="15" hidden="false" customHeight="false" outlineLevel="0" collapsed="false">
      <c r="A65" s="7"/>
      <c r="B65" s="2" t="n">
        <v>61</v>
      </c>
      <c r="C65" s="11" t="n">
        <v>15925</v>
      </c>
      <c r="D65" s="12" t="n">
        <v>144075</v>
      </c>
      <c r="E65" s="2" t="n">
        <v>10</v>
      </c>
      <c r="F65" s="13" t="n">
        <v>159990</v>
      </c>
      <c r="G65" s="2" t="n">
        <v>15924</v>
      </c>
      <c r="H65" s="12" t="n">
        <v>144076</v>
      </c>
    </row>
    <row r="66" customFormat="false" ht="15" hidden="false" customHeight="false" outlineLevel="0" collapsed="false">
      <c r="A66" s="7"/>
      <c r="B66" s="2" t="n">
        <v>62</v>
      </c>
      <c r="C66" s="11" t="n">
        <v>15925</v>
      </c>
      <c r="D66" s="12" t="n">
        <v>144075</v>
      </c>
      <c r="E66" s="2" t="n">
        <v>4</v>
      </c>
      <c r="F66" s="13" t="n">
        <v>159996</v>
      </c>
      <c r="G66" s="2" t="n">
        <v>15928</v>
      </c>
      <c r="H66" s="12" t="n">
        <v>144072</v>
      </c>
    </row>
    <row r="67" customFormat="false" ht="15" hidden="false" customHeight="false" outlineLevel="0" collapsed="false">
      <c r="A67" s="7"/>
      <c r="B67" s="2" t="n">
        <v>63</v>
      </c>
      <c r="C67" s="11" t="n">
        <v>15924</v>
      </c>
      <c r="D67" s="12" t="n">
        <v>144076</v>
      </c>
      <c r="E67" s="2" t="n">
        <v>18</v>
      </c>
      <c r="F67" s="13" t="n">
        <v>159982</v>
      </c>
      <c r="G67" s="2" t="n">
        <v>15928</v>
      </c>
      <c r="H67" s="12" t="n">
        <v>144072</v>
      </c>
    </row>
    <row r="68" customFormat="false" ht="15" hidden="false" customHeight="false" outlineLevel="0" collapsed="false">
      <c r="A68" s="7"/>
      <c r="B68" s="2" t="n">
        <v>64</v>
      </c>
      <c r="C68" s="11" t="n">
        <v>15925</v>
      </c>
      <c r="D68" s="12" t="n">
        <v>144075</v>
      </c>
      <c r="E68" s="2" t="n">
        <v>36</v>
      </c>
      <c r="F68" s="13" t="n">
        <v>159964</v>
      </c>
      <c r="G68" s="2" t="n">
        <v>15929</v>
      </c>
      <c r="H68" s="12" t="n">
        <v>144071</v>
      </c>
    </row>
    <row r="69" customFormat="false" ht="15" hidden="false" customHeight="false" outlineLevel="0" collapsed="false">
      <c r="A69" s="7"/>
      <c r="B69" s="2" t="n">
        <v>65</v>
      </c>
      <c r="C69" s="11" t="n">
        <v>15925</v>
      </c>
      <c r="D69" s="12" t="n">
        <v>144075</v>
      </c>
      <c r="E69" s="2" t="n">
        <v>38</v>
      </c>
      <c r="F69" s="13" t="n">
        <v>159962</v>
      </c>
      <c r="G69" s="2" t="n">
        <v>15929</v>
      </c>
      <c r="H69" s="12" t="n">
        <v>144071</v>
      </c>
    </row>
    <row r="70" customFormat="false" ht="15" hidden="false" customHeight="false" outlineLevel="0" collapsed="false">
      <c r="A70" s="7"/>
      <c r="B70" s="2" t="n">
        <v>66</v>
      </c>
      <c r="C70" s="11" t="n">
        <v>15930</v>
      </c>
      <c r="D70" s="12" t="n">
        <v>144070</v>
      </c>
      <c r="E70" s="2" t="n">
        <v>2</v>
      </c>
      <c r="F70" s="13" t="n">
        <v>159998</v>
      </c>
      <c r="G70" s="2" t="n">
        <v>15930</v>
      </c>
      <c r="H70" s="12" t="n">
        <v>144070</v>
      </c>
    </row>
    <row r="71" customFormat="false" ht="15" hidden="false" customHeight="false" outlineLevel="0" collapsed="false">
      <c r="A71" s="7"/>
      <c r="B71" s="2" t="n">
        <v>67</v>
      </c>
      <c r="C71" s="11" t="n">
        <v>15925</v>
      </c>
      <c r="D71" s="12" t="n">
        <v>144075</v>
      </c>
      <c r="E71" s="2" t="n">
        <v>69</v>
      </c>
      <c r="F71" s="13" t="n">
        <v>159931</v>
      </c>
      <c r="G71" s="2" t="n">
        <v>15929</v>
      </c>
      <c r="H71" s="12" t="n">
        <v>144071</v>
      </c>
    </row>
    <row r="72" customFormat="false" ht="15" hidden="false" customHeight="false" outlineLevel="0" collapsed="false">
      <c r="A72" s="7"/>
      <c r="B72" s="2" t="n">
        <v>68</v>
      </c>
      <c r="C72" s="11" t="n">
        <v>15925</v>
      </c>
      <c r="D72" s="12" t="n">
        <v>144075</v>
      </c>
      <c r="E72" s="2" t="n">
        <v>33</v>
      </c>
      <c r="F72" s="13" t="n">
        <v>159967</v>
      </c>
      <c r="G72" s="2" t="n">
        <v>15929</v>
      </c>
      <c r="H72" s="12" t="n">
        <v>144071</v>
      </c>
    </row>
    <row r="73" customFormat="false" ht="15" hidden="false" customHeight="false" outlineLevel="0" collapsed="false">
      <c r="A73" s="7"/>
      <c r="B73" s="2" t="n">
        <v>69</v>
      </c>
      <c r="C73" s="11" t="n">
        <v>15925</v>
      </c>
      <c r="D73" s="12" t="n">
        <v>144075</v>
      </c>
      <c r="E73" s="2" t="n">
        <v>5</v>
      </c>
      <c r="F73" s="13" t="n">
        <v>159995</v>
      </c>
      <c r="G73" s="2" t="n">
        <v>15929</v>
      </c>
      <c r="H73" s="12" t="n">
        <v>144071</v>
      </c>
    </row>
    <row r="74" customFormat="false" ht="15" hidden="false" customHeight="false" outlineLevel="0" collapsed="false">
      <c r="A74" s="7"/>
      <c r="B74" s="2" t="n">
        <v>70</v>
      </c>
      <c r="C74" s="11" t="n">
        <v>15925</v>
      </c>
      <c r="D74" s="12" t="n">
        <v>144075</v>
      </c>
      <c r="E74" s="2" t="n">
        <v>22</v>
      </c>
      <c r="F74" s="13" t="n">
        <v>159978</v>
      </c>
      <c r="G74" s="2" t="n">
        <v>15929</v>
      </c>
      <c r="H74" s="12" t="n">
        <v>144071</v>
      </c>
    </row>
    <row r="75" customFormat="false" ht="15" hidden="false" customHeight="false" outlineLevel="0" collapsed="false">
      <c r="A75" s="7"/>
      <c r="B75" s="2" t="n">
        <v>71</v>
      </c>
      <c r="C75" s="11" t="n">
        <v>15925</v>
      </c>
      <c r="D75" s="12" t="n">
        <v>144075</v>
      </c>
      <c r="E75" s="2" t="n">
        <v>2</v>
      </c>
      <c r="F75" s="13" t="n">
        <v>159998</v>
      </c>
      <c r="G75" s="2" t="n">
        <v>15929</v>
      </c>
      <c r="H75" s="12" t="n">
        <v>144071</v>
      </c>
    </row>
    <row r="76" customFormat="false" ht="15" hidden="false" customHeight="false" outlineLevel="0" collapsed="false">
      <c r="A76" s="7"/>
      <c r="B76" s="2" t="n">
        <v>72</v>
      </c>
      <c r="C76" s="11" t="n">
        <v>15925</v>
      </c>
      <c r="D76" s="12" t="n">
        <v>144075</v>
      </c>
      <c r="E76" s="2" t="n">
        <v>2</v>
      </c>
      <c r="F76" s="13" t="n">
        <v>159998</v>
      </c>
      <c r="G76" s="2" t="n">
        <v>15929</v>
      </c>
      <c r="H76" s="12" t="n">
        <v>144071</v>
      </c>
    </row>
    <row r="77" customFormat="false" ht="15" hidden="false" customHeight="false" outlineLevel="0" collapsed="false">
      <c r="A77" s="7"/>
      <c r="B77" s="2" t="n">
        <v>73</v>
      </c>
      <c r="C77" s="11" t="n">
        <v>15925</v>
      </c>
      <c r="D77" s="12" t="n">
        <v>144075</v>
      </c>
      <c r="E77" s="2" t="n">
        <v>2</v>
      </c>
      <c r="F77" s="13" t="n">
        <v>159998</v>
      </c>
      <c r="G77" s="2" t="n">
        <v>15930</v>
      </c>
      <c r="H77" s="12" t="n">
        <v>144070</v>
      </c>
    </row>
    <row r="78" customFormat="false" ht="15" hidden="false" customHeight="false" outlineLevel="0" collapsed="false">
      <c r="A78" s="7"/>
      <c r="B78" s="2" t="n">
        <v>74</v>
      </c>
      <c r="C78" s="11" t="n">
        <v>15925</v>
      </c>
      <c r="D78" s="12" t="n">
        <v>144075</v>
      </c>
      <c r="E78" s="2" t="n">
        <v>2</v>
      </c>
      <c r="F78" s="13" t="n">
        <v>159998</v>
      </c>
      <c r="G78" s="2" t="n">
        <v>15930</v>
      </c>
      <c r="H78" s="12" t="n">
        <v>144070</v>
      </c>
    </row>
    <row r="79" customFormat="false" ht="15" hidden="false" customHeight="false" outlineLevel="0" collapsed="false">
      <c r="A79" s="7"/>
      <c r="B79" s="2" t="n">
        <v>75</v>
      </c>
      <c r="C79" s="11" t="n">
        <v>15925</v>
      </c>
      <c r="D79" s="12" t="n">
        <v>144075</v>
      </c>
      <c r="E79" s="2" t="n">
        <v>2</v>
      </c>
      <c r="F79" s="13" t="n">
        <v>159998</v>
      </c>
      <c r="G79" s="2" t="n">
        <v>15930</v>
      </c>
      <c r="H79" s="12" t="n">
        <v>144070</v>
      </c>
    </row>
    <row r="80" customFormat="false" ht="15" hidden="false" customHeight="false" outlineLevel="0" collapsed="false">
      <c r="A80" s="7"/>
      <c r="B80" s="2" t="n">
        <v>76</v>
      </c>
      <c r="C80" s="11" t="n">
        <v>15925</v>
      </c>
      <c r="D80" s="12" t="n">
        <v>144075</v>
      </c>
      <c r="E80" s="2" t="n">
        <v>10</v>
      </c>
      <c r="F80" s="13" t="n">
        <v>159990</v>
      </c>
      <c r="G80" s="2" t="n">
        <v>15929</v>
      </c>
      <c r="H80" s="12" t="n">
        <v>144071</v>
      </c>
    </row>
    <row r="81" customFormat="false" ht="15" hidden="false" customHeight="false" outlineLevel="0" collapsed="false">
      <c r="A81" s="7"/>
      <c r="B81" s="2" t="n">
        <v>77</v>
      </c>
      <c r="C81" s="11" t="n">
        <v>15924</v>
      </c>
      <c r="D81" s="12" t="n">
        <v>144076</v>
      </c>
      <c r="E81" s="2" t="n">
        <v>9</v>
      </c>
      <c r="F81" s="13" t="n">
        <v>159991</v>
      </c>
      <c r="G81" s="2" t="n">
        <v>15928</v>
      </c>
      <c r="H81" s="12" t="n">
        <v>144072</v>
      </c>
    </row>
    <row r="82" customFormat="false" ht="15" hidden="false" customHeight="false" outlineLevel="0" collapsed="false">
      <c r="A82" s="7"/>
      <c r="B82" s="2" t="n">
        <v>78</v>
      </c>
      <c r="C82" s="11" t="n">
        <v>15925</v>
      </c>
      <c r="D82" s="12" t="n">
        <v>144075</v>
      </c>
      <c r="E82" s="2" t="n">
        <v>1</v>
      </c>
      <c r="F82" s="13" t="n">
        <v>159999</v>
      </c>
      <c r="G82" s="2" t="n">
        <v>15930</v>
      </c>
      <c r="H82" s="12" t="n">
        <v>144070</v>
      </c>
    </row>
    <row r="83" customFormat="false" ht="15" hidden="false" customHeight="false" outlineLevel="0" collapsed="false">
      <c r="A83" s="7"/>
      <c r="B83" s="2" t="n">
        <v>79</v>
      </c>
      <c r="C83" s="11" t="n">
        <v>15925</v>
      </c>
      <c r="D83" s="12" t="n">
        <v>144075</v>
      </c>
      <c r="E83" s="2" t="n">
        <v>1</v>
      </c>
      <c r="F83" s="13" t="n">
        <v>159999</v>
      </c>
      <c r="G83" s="2" t="n">
        <v>15930</v>
      </c>
      <c r="H83" s="12" t="n">
        <v>144070</v>
      </c>
    </row>
    <row r="84" customFormat="false" ht="15" hidden="false" customHeight="false" outlineLevel="0" collapsed="false">
      <c r="A84" s="7"/>
      <c r="B84" s="2" t="n">
        <v>80</v>
      </c>
      <c r="C84" s="11" t="n">
        <v>15924</v>
      </c>
      <c r="D84" s="12" t="n">
        <v>144076</v>
      </c>
      <c r="E84" s="2" t="n">
        <v>22</v>
      </c>
      <c r="F84" s="13" t="n">
        <v>159978</v>
      </c>
      <c r="G84" s="2" t="n">
        <v>15928</v>
      </c>
      <c r="H84" s="12" t="n">
        <v>144072</v>
      </c>
    </row>
    <row r="85" customFormat="false" ht="15" hidden="false" customHeight="false" outlineLevel="0" collapsed="false">
      <c r="A85" s="7"/>
      <c r="B85" s="2" t="n">
        <v>81</v>
      </c>
      <c r="C85" s="11" t="n">
        <v>15925</v>
      </c>
      <c r="D85" s="12" t="n">
        <v>144075</v>
      </c>
      <c r="E85" s="2" t="n">
        <v>2</v>
      </c>
      <c r="F85" s="13" t="n">
        <v>159998</v>
      </c>
      <c r="G85" s="2" t="n">
        <v>15929</v>
      </c>
      <c r="H85" s="12" t="n">
        <v>144071</v>
      </c>
    </row>
    <row r="86" customFormat="false" ht="15" hidden="false" customHeight="false" outlineLevel="0" collapsed="false">
      <c r="A86" s="7"/>
      <c r="B86" s="2" t="n">
        <v>82</v>
      </c>
      <c r="C86" s="11" t="n">
        <v>15924</v>
      </c>
      <c r="D86" s="12" t="n">
        <v>144076</v>
      </c>
      <c r="E86" s="2" t="n">
        <v>6</v>
      </c>
      <c r="F86" s="13" t="n">
        <v>159994</v>
      </c>
      <c r="G86" s="2" t="n">
        <v>15929</v>
      </c>
      <c r="H86" s="12" t="n">
        <v>144071</v>
      </c>
    </row>
    <row r="87" customFormat="false" ht="15" hidden="false" customHeight="false" outlineLevel="0" collapsed="false">
      <c r="A87" s="7"/>
      <c r="B87" s="2" t="n">
        <v>83</v>
      </c>
      <c r="C87" s="11" t="n">
        <v>15925</v>
      </c>
      <c r="D87" s="12" t="n">
        <v>144075</v>
      </c>
      <c r="E87" s="2" t="n">
        <v>28</v>
      </c>
      <c r="F87" s="13" t="n">
        <v>159972</v>
      </c>
      <c r="G87" s="2" t="n">
        <v>15929</v>
      </c>
      <c r="H87" s="12" t="n">
        <v>144071</v>
      </c>
    </row>
    <row r="88" customFormat="false" ht="15" hidden="false" customHeight="false" outlineLevel="0" collapsed="false">
      <c r="A88" s="7"/>
      <c r="B88" s="2" t="n">
        <v>84</v>
      </c>
      <c r="C88" s="11" t="n">
        <v>15925</v>
      </c>
      <c r="D88" s="12" t="n">
        <v>144075</v>
      </c>
      <c r="E88" s="2" t="n">
        <v>2</v>
      </c>
      <c r="F88" s="13" t="n">
        <v>159998</v>
      </c>
      <c r="G88" s="2" t="n">
        <v>15928</v>
      </c>
      <c r="H88" s="12" t="n">
        <v>144072</v>
      </c>
    </row>
    <row r="89" customFormat="false" ht="15" hidden="false" customHeight="false" outlineLevel="0" collapsed="false">
      <c r="A89" s="7"/>
      <c r="B89" s="2" t="n">
        <v>85</v>
      </c>
      <c r="C89" s="11" t="n">
        <v>15925</v>
      </c>
      <c r="D89" s="12" t="n">
        <v>144075</v>
      </c>
      <c r="E89" s="2" t="n">
        <v>37</v>
      </c>
      <c r="F89" s="13" t="n">
        <v>159963</v>
      </c>
      <c r="G89" s="2" t="n">
        <v>15928</v>
      </c>
      <c r="H89" s="12" t="n">
        <v>144072</v>
      </c>
    </row>
    <row r="90" customFormat="false" ht="15" hidden="false" customHeight="false" outlineLevel="0" collapsed="false">
      <c r="A90" s="7"/>
      <c r="B90" s="2" t="n">
        <v>86</v>
      </c>
      <c r="C90" s="11" t="n">
        <v>15923</v>
      </c>
      <c r="D90" s="12" t="n">
        <v>144077</v>
      </c>
      <c r="E90" s="2" t="n">
        <v>3</v>
      </c>
      <c r="F90" s="13" t="n">
        <v>159997</v>
      </c>
      <c r="G90" s="2" t="n">
        <v>15917</v>
      </c>
      <c r="H90" s="12" t="n">
        <v>144083</v>
      </c>
    </row>
    <row r="91" customFormat="false" ht="15" hidden="false" customHeight="false" outlineLevel="0" collapsed="false">
      <c r="A91" s="7"/>
      <c r="B91" s="2" t="n">
        <v>87</v>
      </c>
      <c r="C91" s="11" t="n">
        <v>15928</v>
      </c>
      <c r="D91" s="12" t="n">
        <v>144072</v>
      </c>
      <c r="E91" s="2" t="n">
        <v>9</v>
      </c>
      <c r="F91" s="13" t="n">
        <v>159991</v>
      </c>
      <c r="G91" s="2" t="n">
        <v>15927</v>
      </c>
      <c r="H91" s="12" t="n">
        <v>144073</v>
      </c>
    </row>
    <row r="92" customFormat="false" ht="15" hidden="false" customHeight="false" outlineLevel="0" collapsed="false">
      <c r="A92" s="7"/>
      <c r="B92" s="2" t="n">
        <v>88</v>
      </c>
      <c r="C92" s="11" t="n">
        <v>15925</v>
      </c>
      <c r="D92" s="12" t="n">
        <v>144075</v>
      </c>
      <c r="E92" s="2" t="n">
        <v>6</v>
      </c>
      <c r="F92" s="13" t="n">
        <v>159994</v>
      </c>
      <c r="G92" s="2" t="n">
        <v>15929</v>
      </c>
      <c r="H92" s="12" t="n">
        <v>144071</v>
      </c>
    </row>
    <row r="93" customFormat="false" ht="15" hidden="false" customHeight="false" outlineLevel="0" collapsed="false">
      <c r="A93" s="7"/>
      <c r="B93" s="2" t="n">
        <v>89</v>
      </c>
      <c r="C93" s="11" t="n">
        <v>15925</v>
      </c>
      <c r="D93" s="12" t="n">
        <v>144075</v>
      </c>
      <c r="E93" s="2" t="n">
        <v>48</v>
      </c>
      <c r="F93" s="13" t="n">
        <v>159952</v>
      </c>
      <c r="G93" s="2" t="n">
        <v>15929</v>
      </c>
      <c r="H93" s="12" t="n">
        <v>144071</v>
      </c>
    </row>
    <row r="94" customFormat="false" ht="15" hidden="false" customHeight="false" outlineLevel="0" collapsed="false">
      <c r="A94" s="7"/>
      <c r="B94" s="2" t="n">
        <v>90</v>
      </c>
      <c r="C94" s="11" t="n">
        <v>15925</v>
      </c>
      <c r="D94" s="12" t="n">
        <v>144075</v>
      </c>
      <c r="E94" s="2" t="n">
        <v>9</v>
      </c>
      <c r="F94" s="13" t="n">
        <v>159991</v>
      </c>
      <c r="G94" s="2" t="n">
        <v>15929</v>
      </c>
      <c r="H94" s="12" t="n">
        <v>144071</v>
      </c>
    </row>
    <row r="95" customFormat="false" ht="15" hidden="false" customHeight="false" outlineLevel="0" collapsed="false">
      <c r="A95" s="7"/>
      <c r="B95" s="2" t="n">
        <v>91</v>
      </c>
      <c r="C95" s="11" t="n">
        <v>15925</v>
      </c>
      <c r="D95" s="12" t="n">
        <v>144075</v>
      </c>
      <c r="E95" s="2" t="n">
        <v>24</v>
      </c>
      <c r="F95" s="13" t="n">
        <v>159976</v>
      </c>
      <c r="G95" s="2" t="n">
        <v>15929</v>
      </c>
      <c r="H95" s="12" t="n">
        <v>144071</v>
      </c>
    </row>
    <row r="96" customFormat="false" ht="15" hidden="false" customHeight="false" outlineLevel="0" collapsed="false">
      <c r="A96" s="7"/>
      <c r="B96" s="2" t="n">
        <v>92</v>
      </c>
      <c r="C96" s="11" t="n">
        <v>15925</v>
      </c>
      <c r="D96" s="12" t="n">
        <v>144075</v>
      </c>
      <c r="E96" s="2" t="n">
        <v>1954</v>
      </c>
      <c r="F96" s="13" t="n">
        <v>158046</v>
      </c>
      <c r="G96" s="2" t="n">
        <v>15929</v>
      </c>
      <c r="H96" s="12" t="n">
        <v>144071</v>
      </c>
    </row>
    <row r="97" customFormat="false" ht="15" hidden="false" customHeight="false" outlineLevel="0" collapsed="false">
      <c r="A97" s="7"/>
      <c r="B97" s="2" t="n">
        <v>93</v>
      </c>
      <c r="C97" s="11" t="n">
        <v>15925</v>
      </c>
      <c r="D97" s="12" t="n">
        <v>144075</v>
      </c>
      <c r="E97" s="2" t="n">
        <v>18</v>
      </c>
      <c r="F97" s="13" t="n">
        <v>159982</v>
      </c>
      <c r="G97" s="2" t="n">
        <v>15929</v>
      </c>
      <c r="H97" s="12" t="n">
        <v>144071</v>
      </c>
    </row>
    <row r="98" customFormat="false" ht="15" hidden="false" customHeight="false" outlineLevel="0" collapsed="false">
      <c r="A98" s="7"/>
      <c r="B98" s="2" t="n">
        <v>94</v>
      </c>
      <c r="C98" s="11" t="n">
        <v>15925</v>
      </c>
      <c r="D98" s="12" t="n">
        <v>144075</v>
      </c>
      <c r="E98" s="2" t="n">
        <v>9</v>
      </c>
      <c r="F98" s="13" t="n">
        <v>159991</v>
      </c>
      <c r="G98" s="2" t="n">
        <v>15929</v>
      </c>
      <c r="H98" s="12" t="n">
        <v>144071</v>
      </c>
    </row>
    <row r="99" customFormat="false" ht="15" hidden="false" customHeight="false" outlineLevel="0" collapsed="false">
      <c r="A99" s="7"/>
      <c r="B99" s="2" t="n">
        <v>95</v>
      </c>
      <c r="C99" s="11" t="n">
        <v>15925</v>
      </c>
      <c r="D99" s="12" t="n">
        <v>144075</v>
      </c>
      <c r="E99" s="2" t="n">
        <v>6</v>
      </c>
      <c r="F99" s="13" t="n">
        <v>159994</v>
      </c>
      <c r="G99" s="2" t="n">
        <v>15929</v>
      </c>
      <c r="H99" s="12" t="n">
        <v>144071</v>
      </c>
    </row>
    <row r="100" customFormat="false" ht="15" hidden="false" customHeight="false" outlineLevel="0" collapsed="false">
      <c r="A100" s="7"/>
      <c r="B100" s="2" t="n">
        <v>96</v>
      </c>
      <c r="C100" s="11" t="n">
        <v>15925</v>
      </c>
      <c r="D100" s="12" t="n">
        <v>144075</v>
      </c>
      <c r="E100" s="2" t="n">
        <v>7</v>
      </c>
      <c r="F100" s="13" t="n">
        <v>159993</v>
      </c>
      <c r="G100" s="2" t="n">
        <v>15930</v>
      </c>
      <c r="H100" s="12" t="n">
        <v>144070</v>
      </c>
    </row>
    <row r="101" customFormat="false" ht="15" hidden="false" customHeight="false" outlineLevel="0" collapsed="false">
      <c r="A101" s="7"/>
      <c r="B101" s="2" t="n">
        <v>97</v>
      </c>
      <c r="C101" s="11" t="n">
        <v>15924</v>
      </c>
      <c r="D101" s="12" t="n">
        <v>144076</v>
      </c>
      <c r="E101" s="2" t="n">
        <v>28</v>
      </c>
      <c r="F101" s="13" t="n">
        <v>159972</v>
      </c>
      <c r="G101" s="2" t="n">
        <v>15929</v>
      </c>
      <c r="H101" s="12" t="n">
        <v>144071</v>
      </c>
    </row>
    <row r="102" customFormat="false" ht="15" hidden="false" customHeight="false" outlineLevel="0" collapsed="false">
      <c r="A102" s="7"/>
      <c r="B102" s="2" t="n">
        <v>98</v>
      </c>
      <c r="C102" s="11" t="n">
        <v>15924</v>
      </c>
      <c r="D102" s="12" t="n">
        <v>144076</v>
      </c>
      <c r="E102" s="2" t="n">
        <v>15</v>
      </c>
      <c r="F102" s="13" t="n">
        <v>159985</v>
      </c>
      <c r="G102" s="2" t="n">
        <v>15929</v>
      </c>
      <c r="H102" s="12" t="n">
        <v>144071</v>
      </c>
    </row>
    <row r="103" customFormat="false" ht="15" hidden="false" customHeight="false" outlineLevel="0" collapsed="false">
      <c r="A103" s="7"/>
      <c r="B103" s="2" t="n">
        <v>99</v>
      </c>
      <c r="C103" s="11" t="n">
        <v>15924</v>
      </c>
      <c r="D103" s="12" t="n">
        <v>144076</v>
      </c>
      <c r="E103" s="2" t="n">
        <v>2</v>
      </c>
      <c r="F103" s="13" t="n">
        <v>159998</v>
      </c>
      <c r="G103" s="2" t="n">
        <v>15929</v>
      </c>
      <c r="H103" s="12" t="n">
        <v>144071</v>
      </c>
    </row>
    <row r="104" customFormat="false" ht="15" hidden="false" customHeight="false" outlineLevel="0" collapsed="false">
      <c r="A104" s="7"/>
      <c r="B104" s="2" t="n">
        <v>100</v>
      </c>
      <c r="C104" s="11" t="n">
        <v>15928</v>
      </c>
      <c r="D104" s="12" t="n">
        <v>144072</v>
      </c>
      <c r="E104" s="2" t="n">
        <v>351</v>
      </c>
      <c r="F104" s="13" t="n">
        <v>159649</v>
      </c>
      <c r="G104" s="2" t="n">
        <v>15929</v>
      </c>
      <c r="H104" s="12" t="n">
        <v>144071</v>
      </c>
    </row>
    <row r="105" customFormat="false" ht="15" hidden="false" customHeight="false" outlineLevel="0" collapsed="false">
      <c r="A105" s="7"/>
      <c r="B105" s="2" t="n">
        <v>101</v>
      </c>
      <c r="C105" s="11" t="n">
        <v>16014</v>
      </c>
      <c r="D105" s="12" t="n">
        <v>143986</v>
      </c>
      <c r="E105" s="2" t="n">
        <v>20</v>
      </c>
      <c r="F105" s="13" t="n">
        <v>159980</v>
      </c>
      <c r="G105" s="2" t="n">
        <v>16012</v>
      </c>
      <c r="H105" s="12" t="n">
        <v>143988</v>
      </c>
    </row>
    <row r="106" customFormat="false" ht="15" hidden="false" customHeight="false" outlineLevel="0" collapsed="false">
      <c r="A106" s="7"/>
      <c r="B106" s="2" t="n">
        <v>102</v>
      </c>
      <c r="C106" s="11" t="n">
        <v>15925</v>
      </c>
      <c r="D106" s="12" t="n">
        <v>144075</v>
      </c>
      <c r="E106" s="2" t="n">
        <v>9</v>
      </c>
      <c r="F106" s="13" t="n">
        <v>159991</v>
      </c>
      <c r="G106" s="2" t="n">
        <v>15929</v>
      </c>
      <c r="H106" s="12" t="n">
        <v>144071</v>
      </c>
    </row>
    <row r="107" customFormat="false" ht="15" hidden="false" customHeight="false" outlineLevel="0" collapsed="false">
      <c r="A107" s="7"/>
      <c r="B107" s="2" t="n">
        <v>103</v>
      </c>
      <c r="C107" s="11" t="n">
        <v>15925</v>
      </c>
      <c r="D107" s="12" t="n">
        <v>144075</v>
      </c>
      <c r="E107" s="2" t="n">
        <v>2580</v>
      </c>
      <c r="F107" s="13" t="n">
        <v>157420</v>
      </c>
      <c r="G107" s="2" t="n">
        <v>15929</v>
      </c>
      <c r="H107" s="12" t="n">
        <v>144071</v>
      </c>
    </row>
    <row r="108" customFormat="false" ht="15" hidden="false" customHeight="false" outlineLevel="0" collapsed="false">
      <c r="A108" s="7"/>
      <c r="B108" s="2" t="n">
        <v>104</v>
      </c>
      <c r="C108" s="11" t="n">
        <v>15925</v>
      </c>
      <c r="D108" s="12" t="n">
        <v>144075</v>
      </c>
      <c r="E108" s="2" t="n">
        <v>39</v>
      </c>
      <c r="F108" s="13" t="n">
        <v>159961</v>
      </c>
      <c r="G108" s="2" t="n">
        <v>15929</v>
      </c>
      <c r="H108" s="12" t="n">
        <v>144071</v>
      </c>
    </row>
    <row r="109" customFormat="false" ht="15" hidden="false" customHeight="false" outlineLevel="0" collapsed="false">
      <c r="A109" s="7"/>
      <c r="B109" s="2" t="n">
        <v>105</v>
      </c>
      <c r="C109" s="11" t="n">
        <v>15924</v>
      </c>
      <c r="D109" s="12" t="n">
        <v>144076</v>
      </c>
      <c r="E109" s="2" t="n">
        <v>1173</v>
      </c>
      <c r="F109" s="13" t="n">
        <v>158827</v>
      </c>
      <c r="G109" s="2" t="n">
        <v>15928</v>
      </c>
      <c r="H109" s="12" t="n">
        <v>144072</v>
      </c>
    </row>
    <row r="110" customFormat="false" ht="15" hidden="false" customHeight="false" outlineLevel="0" collapsed="false">
      <c r="A110" s="7"/>
      <c r="B110" s="2" t="n">
        <v>106</v>
      </c>
      <c r="C110" s="11" t="n">
        <v>15925</v>
      </c>
      <c r="D110" s="12" t="n">
        <v>144075</v>
      </c>
      <c r="E110" s="2" t="n">
        <v>284</v>
      </c>
      <c r="F110" s="13" t="n">
        <v>159716</v>
      </c>
      <c r="G110" s="2" t="n">
        <v>15929</v>
      </c>
      <c r="H110" s="12" t="n">
        <v>144071</v>
      </c>
    </row>
    <row r="111" customFormat="false" ht="15" hidden="false" customHeight="false" outlineLevel="0" collapsed="false">
      <c r="A111" s="7"/>
      <c r="B111" s="2" t="n">
        <v>107</v>
      </c>
      <c r="C111" s="11" t="n">
        <v>15924</v>
      </c>
      <c r="D111" s="12" t="n">
        <v>144076</v>
      </c>
      <c r="E111" s="2" t="n">
        <v>4</v>
      </c>
      <c r="F111" s="13" t="n">
        <v>159996</v>
      </c>
      <c r="G111" s="2" t="n">
        <v>15928</v>
      </c>
      <c r="H111" s="12" t="n">
        <v>144072</v>
      </c>
    </row>
    <row r="112" customFormat="false" ht="15" hidden="false" customHeight="false" outlineLevel="0" collapsed="false">
      <c r="A112" s="7"/>
      <c r="B112" s="2" t="n">
        <v>108</v>
      </c>
      <c r="C112" s="11" t="n">
        <v>15924</v>
      </c>
      <c r="D112" s="12" t="n">
        <v>144076</v>
      </c>
      <c r="E112" s="2" t="n">
        <v>31</v>
      </c>
      <c r="F112" s="13" t="n">
        <v>159969</v>
      </c>
      <c r="G112" s="2" t="n">
        <v>15928</v>
      </c>
      <c r="H112" s="12" t="n">
        <v>144072</v>
      </c>
    </row>
    <row r="113" customFormat="false" ht="15" hidden="false" customHeight="false" outlineLevel="0" collapsed="false">
      <c r="A113" s="7"/>
      <c r="B113" s="2" t="n">
        <v>109</v>
      </c>
      <c r="C113" s="11" t="n">
        <v>15925</v>
      </c>
      <c r="D113" s="12" t="n">
        <v>144075</v>
      </c>
      <c r="E113" s="2" t="n">
        <v>94</v>
      </c>
      <c r="F113" s="13" t="n">
        <v>159906</v>
      </c>
      <c r="G113" s="2" t="n">
        <v>15929</v>
      </c>
      <c r="H113" s="12" t="n">
        <v>144071</v>
      </c>
    </row>
    <row r="114" customFormat="false" ht="15" hidden="false" customHeight="false" outlineLevel="0" collapsed="false">
      <c r="A114" s="7"/>
      <c r="B114" s="2" t="n">
        <v>110</v>
      </c>
      <c r="C114" s="11" t="n">
        <v>15929</v>
      </c>
      <c r="D114" s="12" t="n">
        <v>144071</v>
      </c>
      <c r="E114" s="2" t="n">
        <v>6</v>
      </c>
      <c r="F114" s="13" t="n">
        <v>159994</v>
      </c>
      <c r="G114" s="2" t="n">
        <v>15930</v>
      </c>
      <c r="H114" s="12" t="n">
        <v>144070</v>
      </c>
    </row>
    <row r="115" customFormat="false" ht="15" hidden="false" customHeight="false" outlineLevel="0" collapsed="false">
      <c r="A115" s="7"/>
      <c r="B115" s="2" t="n">
        <v>111</v>
      </c>
      <c r="C115" s="11" t="n">
        <v>15924</v>
      </c>
      <c r="D115" s="12" t="n">
        <v>144076</v>
      </c>
      <c r="E115" s="2" t="n">
        <v>3</v>
      </c>
      <c r="F115" s="13" t="n">
        <v>159997</v>
      </c>
      <c r="G115" s="2" t="n">
        <v>15928</v>
      </c>
      <c r="H115" s="12" t="n">
        <v>144072</v>
      </c>
    </row>
    <row r="116" customFormat="false" ht="15" hidden="false" customHeight="false" outlineLevel="0" collapsed="false">
      <c r="A116" s="7"/>
      <c r="B116" s="2" t="n">
        <v>112</v>
      </c>
      <c r="C116" s="11" t="n">
        <v>15925</v>
      </c>
      <c r="D116" s="12" t="n">
        <v>144075</v>
      </c>
      <c r="E116" s="2" t="n">
        <v>4</v>
      </c>
      <c r="F116" s="13" t="n">
        <v>159996</v>
      </c>
      <c r="G116" s="2" t="n">
        <v>15930</v>
      </c>
      <c r="H116" s="12" t="n">
        <v>144070</v>
      </c>
    </row>
    <row r="117" customFormat="false" ht="15" hidden="false" customHeight="false" outlineLevel="0" collapsed="false">
      <c r="A117" s="7"/>
      <c r="B117" s="2" t="n">
        <v>113</v>
      </c>
      <c r="C117" s="11" t="n">
        <v>15924</v>
      </c>
      <c r="D117" s="12" t="n">
        <v>144076</v>
      </c>
      <c r="E117" s="2" t="n">
        <v>78</v>
      </c>
      <c r="F117" s="13" t="n">
        <v>159922</v>
      </c>
      <c r="G117" s="2" t="n">
        <v>15929</v>
      </c>
      <c r="H117" s="12" t="n">
        <v>144071</v>
      </c>
    </row>
    <row r="118" customFormat="false" ht="15" hidden="false" customHeight="false" outlineLevel="0" collapsed="false">
      <c r="A118" s="7"/>
      <c r="B118" s="2" t="n">
        <v>114</v>
      </c>
      <c r="C118" s="11" t="n">
        <v>15925</v>
      </c>
      <c r="D118" s="12" t="n">
        <v>144075</v>
      </c>
      <c r="E118" s="2" t="n">
        <v>4</v>
      </c>
      <c r="F118" s="13" t="n">
        <v>159996</v>
      </c>
      <c r="G118" s="2" t="n">
        <v>15930</v>
      </c>
      <c r="H118" s="12" t="n">
        <v>144070</v>
      </c>
    </row>
    <row r="119" customFormat="false" ht="15" hidden="false" customHeight="false" outlineLevel="0" collapsed="false">
      <c r="A119" s="7"/>
      <c r="B119" s="2" t="n">
        <v>115</v>
      </c>
      <c r="C119" s="11" t="n">
        <v>15925</v>
      </c>
      <c r="D119" s="12" t="n">
        <v>144075</v>
      </c>
      <c r="E119" s="2" t="n">
        <v>31</v>
      </c>
      <c r="F119" s="13" t="n">
        <v>159969</v>
      </c>
      <c r="G119" s="2" t="n">
        <v>15930</v>
      </c>
      <c r="H119" s="12" t="n">
        <v>144070</v>
      </c>
    </row>
    <row r="120" customFormat="false" ht="15" hidden="false" customHeight="false" outlineLevel="0" collapsed="false">
      <c r="A120" s="7"/>
      <c r="B120" s="2" t="n">
        <v>116</v>
      </c>
      <c r="C120" s="11" t="n">
        <v>15928</v>
      </c>
      <c r="D120" s="12" t="n">
        <v>144072</v>
      </c>
      <c r="E120" s="2" t="n">
        <v>335</v>
      </c>
      <c r="F120" s="13" t="n">
        <v>159665</v>
      </c>
      <c r="G120" s="2" t="n">
        <v>15928</v>
      </c>
      <c r="H120" s="12" t="n">
        <v>144072</v>
      </c>
    </row>
    <row r="121" customFormat="false" ht="15" hidden="false" customHeight="false" outlineLevel="0" collapsed="false">
      <c r="A121" s="7"/>
      <c r="B121" s="2" t="n">
        <v>117</v>
      </c>
      <c r="C121" s="11" t="n">
        <v>15925</v>
      </c>
      <c r="D121" s="12" t="n">
        <v>144075</v>
      </c>
      <c r="E121" s="2" t="n">
        <v>20</v>
      </c>
      <c r="F121" s="13" t="n">
        <v>159980</v>
      </c>
      <c r="G121" s="2" t="n">
        <v>15928</v>
      </c>
      <c r="H121" s="12" t="n">
        <v>144072</v>
      </c>
    </row>
    <row r="122" customFormat="false" ht="15" hidden="false" customHeight="false" outlineLevel="0" collapsed="false">
      <c r="A122" s="7"/>
      <c r="B122" s="2" t="n">
        <v>118</v>
      </c>
      <c r="C122" s="11" t="n">
        <v>15925</v>
      </c>
      <c r="D122" s="12" t="n">
        <v>144075</v>
      </c>
      <c r="E122" s="2" t="n">
        <v>2</v>
      </c>
      <c r="F122" s="13" t="n">
        <v>159998</v>
      </c>
      <c r="G122" s="2" t="n">
        <v>15928</v>
      </c>
      <c r="H122" s="12" t="n">
        <v>144072</v>
      </c>
    </row>
    <row r="123" customFormat="false" ht="15" hidden="false" customHeight="false" outlineLevel="0" collapsed="false">
      <c r="A123" s="7"/>
      <c r="B123" s="2" t="n">
        <v>119</v>
      </c>
      <c r="C123" s="11" t="n">
        <v>15925</v>
      </c>
      <c r="D123" s="12" t="n">
        <v>144075</v>
      </c>
      <c r="E123" s="2" t="n">
        <v>32</v>
      </c>
      <c r="F123" s="13" t="n">
        <v>159968</v>
      </c>
      <c r="G123" s="2" t="n">
        <v>15928</v>
      </c>
      <c r="H123" s="12" t="n">
        <v>144072</v>
      </c>
    </row>
    <row r="124" customFormat="false" ht="15" hidden="false" customHeight="false" outlineLevel="0" collapsed="false">
      <c r="A124" s="7"/>
      <c r="B124" s="2" t="n">
        <v>120</v>
      </c>
      <c r="C124" s="11" t="n">
        <v>15925</v>
      </c>
      <c r="D124" s="12" t="n">
        <v>144075</v>
      </c>
      <c r="E124" s="2" t="n">
        <v>10</v>
      </c>
      <c r="F124" s="13" t="n">
        <v>159990</v>
      </c>
      <c r="G124" s="2" t="n">
        <v>15928</v>
      </c>
      <c r="H124" s="12" t="n">
        <v>144072</v>
      </c>
    </row>
    <row r="125" customFormat="false" ht="15" hidden="false" customHeight="false" outlineLevel="0" collapsed="false">
      <c r="A125" s="7"/>
      <c r="B125" s="2" t="n">
        <v>121</v>
      </c>
      <c r="C125" s="11" t="n">
        <v>15925</v>
      </c>
      <c r="D125" s="12" t="n">
        <v>144075</v>
      </c>
      <c r="E125" s="2" t="n">
        <v>1250</v>
      </c>
      <c r="F125" s="13" t="n">
        <v>158750</v>
      </c>
      <c r="G125" s="2" t="n">
        <v>15928</v>
      </c>
      <c r="H125" s="12" t="n">
        <v>144072</v>
      </c>
    </row>
    <row r="126" customFormat="false" ht="15" hidden="false" customHeight="false" outlineLevel="0" collapsed="false">
      <c r="A126" s="7"/>
      <c r="B126" s="2" t="n">
        <v>122</v>
      </c>
      <c r="C126" s="11" t="n">
        <v>15924</v>
      </c>
      <c r="D126" s="12" t="n">
        <v>144076</v>
      </c>
      <c r="E126" s="2" t="n">
        <v>123</v>
      </c>
      <c r="F126" s="13" t="n">
        <v>159877</v>
      </c>
      <c r="G126" s="2" t="n">
        <v>15927</v>
      </c>
      <c r="H126" s="12" t="n">
        <v>144073</v>
      </c>
    </row>
    <row r="127" customFormat="false" ht="15" hidden="false" customHeight="false" outlineLevel="0" collapsed="false">
      <c r="A127" s="7"/>
      <c r="B127" s="2" t="n">
        <v>123</v>
      </c>
      <c r="C127" s="11" t="n">
        <v>15925</v>
      </c>
      <c r="D127" s="12" t="n">
        <v>144075</v>
      </c>
      <c r="E127" s="2" t="n">
        <v>591</v>
      </c>
      <c r="F127" s="13" t="n">
        <v>159409</v>
      </c>
      <c r="G127" s="2" t="n">
        <v>15928</v>
      </c>
      <c r="H127" s="12" t="n">
        <v>144072</v>
      </c>
    </row>
    <row r="128" customFormat="false" ht="15" hidden="false" customHeight="false" outlineLevel="0" collapsed="false">
      <c r="A128" s="7"/>
      <c r="B128" s="2" t="n">
        <v>124</v>
      </c>
      <c r="C128" s="11" t="n">
        <v>15928</v>
      </c>
      <c r="D128" s="12" t="n">
        <v>144072</v>
      </c>
      <c r="E128" s="2" t="n">
        <v>16</v>
      </c>
      <c r="F128" s="13" t="n">
        <v>159984</v>
      </c>
      <c r="G128" s="2" t="n">
        <v>15930</v>
      </c>
      <c r="H128" s="12" t="n">
        <v>144070</v>
      </c>
    </row>
    <row r="129" customFormat="false" ht="15" hidden="false" customHeight="false" outlineLevel="0" collapsed="false">
      <c r="A129" s="7"/>
      <c r="B129" s="2" t="n">
        <v>125</v>
      </c>
      <c r="C129" s="11" t="n">
        <v>15925</v>
      </c>
      <c r="D129" s="12" t="n">
        <v>144075</v>
      </c>
      <c r="E129" s="2" t="n">
        <v>12</v>
      </c>
      <c r="F129" s="13" t="n">
        <v>159988</v>
      </c>
      <c r="G129" s="2" t="n">
        <v>15928</v>
      </c>
      <c r="H129" s="12" t="n">
        <v>144072</v>
      </c>
    </row>
    <row r="130" customFormat="false" ht="15" hidden="false" customHeight="false" outlineLevel="0" collapsed="false">
      <c r="A130" s="7"/>
      <c r="B130" s="2" t="n">
        <v>126</v>
      </c>
      <c r="C130" s="11" t="n">
        <v>15925</v>
      </c>
      <c r="D130" s="12" t="n">
        <v>144075</v>
      </c>
      <c r="E130" s="2" t="n">
        <v>19</v>
      </c>
      <c r="F130" s="13" t="n">
        <v>159981</v>
      </c>
      <c r="G130" s="2" t="n">
        <v>15927</v>
      </c>
      <c r="H130" s="12" t="n">
        <v>144073</v>
      </c>
    </row>
    <row r="131" customFormat="false" ht="15" hidden="false" customHeight="false" outlineLevel="0" collapsed="false">
      <c r="A131" s="7"/>
      <c r="B131" s="2" t="n">
        <v>127</v>
      </c>
      <c r="C131" s="11" t="n">
        <v>15925</v>
      </c>
      <c r="D131" s="12" t="n">
        <v>144075</v>
      </c>
      <c r="E131" s="2" t="n">
        <v>622</v>
      </c>
      <c r="F131" s="13" t="n">
        <v>159378</v>
      </c>
      <c r="G131" s="2" t="n">
        <v>15927</v>
      </c>
      <c r="H131" s="12" t="n">
        <v>144073</v>
      </c>
    </row>
    <row r="132" customFormat="false" ht="15" hidden="false" customHeight="false" outlineLevel="0" collapsed="false">
      <c r="A132" s="7"/>
      <c r="B132" s="2" t="n">
        <v>128</v>
      </c>
      <c r="C132" s="11" t="n">
        <v>15924</v>
      </c>
      <c r="D132" s="12" t="n">
        <v>144076</v>
      </c>
      <c r="E132" s="2" t="n">
        <v>403</v>
      </c>
      <c r="F132" s="13" t="n">
        <v>159597</v>
      </c>
      <c r="G132" s="2" t="n">
        <v>15927</v>
      </c>
      <c r="H132" s="12" t="n">
        <v>144073</v>
      </c>
    </row>
    <row r="133" customFormat="false" ht="15" hidden="false" customHeight="false" outlineLevel="0" collapsed="false">
      <c r="A133" s="7"/>
      <c r="B133" s="2" t="n">
        <v>129</v>
      </c>
      <c r="C133" s="11" t="n">
        <v>15928</v>
      </c>
      <c r="D133" s="12" t="n">
        <v>144072</v>
      </c>
      <c r="E133" s="2" t="n">
        <v>17</v>
      </c>
      <c r="F133" s="13" t="n">
        <v>159983</v>
      </c>
      <c r="G133" s="2" t="n">
        <v>15929</v>
      </c>
      <c r="H133" s="12" t="n">
        <v>144071</v>
      </c>
    </row>
    <row r="134" customFormat="false" ht="15" hidden="false" customHeight="false" outlineLevel="0" collapsed="false">
      <c r="A134" s="7"/>
      <c r="B134" s="2" t="n">
        <v>130</v>
      </c>
      <c r="C134" s="11" t="n">
        <v>15924</v>
      </c>
      <c r="D134" s="12" t="n">
        <v>144076</v>
      </c>
      <c r="E134" s="2" t="n">
        <v>14</v>
      </c>
      <c r="F134" s="13" t="n">
        <v>159986</v>
      </c>
      <c r="G134" s="2" t="n">
        <v>15928</v>
      </c>
      <c r="H134" s="12" t="n">
        <v>144072</v>
      </c>
    </row>
    <row r="135" customFormat="false" ht="15" hidden="false" customHeight="false" outlineLevel="0" collapsed="false">
      <c r="A135" s="7"/>
      <c r="B135" s="2" t="n">
        <v>131</v>
      </c>
      <c r="C135" s="11" t="n">
        <v>15925</v>
      </c>
      <c r="D135" s="12" t="n">
        <v>144075</v>
      </c>
      <c r="E135" s="2" t="n">
        <v>920</v>
      </c>
      <c r="F135" s="13" t="n">
        <v>159080</v>
      </c>
      <c r="G135" s="2" t="n">
        <v>15929</v>
      </c>
      <c r="H135" s="12" t="n">
        <v>144071</v>
      </c>
    </row>
    <row r="136" customFormat="false" ht="15" hidden="false" customHeight="false" outlineLevel="0" collapsed="false">
      <c r="A136" s="7"/>
      <c r="B136" s="2" t="n">
        <v>132</v>
      </c>
      <c r="C136" s="11" t="n">
        <v>15925</v>
      </c>
      <c r="D136" s="12" t="n">
        <v>144075</v>
      </c>
      <c r="E136" s="2" t="n">
        <v>154</v>
      </c>
      <c r="F136" s="13" t="n">
        <v>159846</v>
      </c>
      <c r="G136" s="2" t="n">
        <v>15930</v>
      </c>
      <c r="H136" s="12" t="n">
        <v>144070</v>
      </c>
    </row>
    <row r="137" customFormat="false" ht="15" hidden="false" customHeight="false" outlineLevel="0" collapsed="false">
      <c r="A137" s="7"/>
      <c r="B137" s="2" t="n">
        <v>133</v>
      </c>
      <c r="C137" s="11" t="n">
        <v>15924</v>
      </c>
      <c r="D137" s="12" t="n">
        <v>144076</v>
      </c>
      <c r="E137" s="2" t="n">
        <v>38</v>
      </c>
      <c r="F137" s="13" t="n">
        <v>159962</v>
      </c>
      <c r="G137" s="2" t="n">
        <v>15928</v>
      </c>
      <c r="H137" s="12" t="n">
        <v>144072</v>
      </c>
    </row>
    <row r="138" customFormat="false" ht="15" hidden="false" customHeight="false" outlineLevel="0" collapsed="false">
      <c r="A138" s="7"/>
      <c r="B138" s="2" t="n">
        <v>134</v>
      </c>
      <c r="C138" s="11" t="n">
        <v>15925</v>
      </c>
      <c r="D138" s="12" t="n">
        <v>144075</v>
      </c>
      <c r="E138" s="2" t="n">
        <v>0</v>
      </c>
      <c r="F138" s="13" t="n">
        <v>160000</v>
      </c>
      <c r="G138" s="2" t="n">
        <v>15931</v>
      </c>
      <c r="H138" s="12" t="n">
        <v>144069</v>
      </c>
    </row>
    <row r="139" customFormat="false" ht="15" hidden="false" customHeight="false" outlineLevel="0" collapsed="false">
      <c r="A139" s="7"/>
      <c r="B139" s="2" t="n">
        <v>135</v>
      </c>
      <c r="C139" s="11" t="n">
        <v>15924</v>
      </c>
      <c r="D139" s="12" t="n">
        <v>144076</v>
      </c>
      <c r="E139" s="2" t="n">
        <v>8</v>
      </c>
      <c r="F139" s="13" t="n">
        <v>159992</v>
      </c>
      <c r="G139" s="2" t="n">
        <v>15928</v>
      </c>
      <c r="H139" s="12" t="n">
        <v>144072</v>
      </c>
    </row>
    <row r="140" customFormat="false" ht="15" hidden="false" customHeight="false" outlineLevel="0" collapsed="false">
      <c r="A140" s="7"/>
      <c r="B140" s="2" t="n">
        <v>136</v>
      </c>
      <c r="C140" s="11" t="n">
        <v>15928</v>
      </c>
      <c r="D140" s="12" t="n">
        <v>144072</v>
      </c>
      <c r="E140" s="2" t="n">
        <v>75</v>
      </c>
      <c r="F140" s="13" t="n">
        <v>159925</v>
      </c>
      <c r="G140" s="2" t="n">
        <v>15928</v>
      </c>
      <c r="H140" s="12" t="n">
        <v>144072</v>
      </c>
    </row>
    <row r="141" customFormat="false" ht="15" hidden="false" customHeight="false" outlineLevel="0" collapsed="false">
      <c r="A141" s="7"/>
      <c r="B141" s="2" t="n">
        <v>137</v>
      </c>
      <c r="C141" s="11" t="n">
        <v>15924</v>
      </c>
      <c r="D141" s="12" t="n">
        <v>144076</v>
      </c>
      <c r="E141" s="2" t="n">
        <v>15</v>
      </c>
      <c r="F141" s="13" t="n">
        <v>159985</v>
      </c>
      <c r="G141" s="2" t="n">
        <v>15928</v>
      </c>
      <c r="H141" s="12" t="n">
        <v>144072</v>
      </c>
    </row>
    <row r="142" customFormat="false" ht="15" hidden="false" customHeight="false" outlineLevel="0" collapsed="false">
      <c r="A142" s="7"/>
      <c r="B142" s="2" t="n">
        <v>138</v>
      </c>
      <c r="C142" s="11" t="n">
        <v>15925</v>
      </c>
      <c r="D142" s="12" t="n">
        <v>144075</v>
      </c>
      <c r="E142" s="2" t="n">
        <v>0</v>
      </c>
      <c r="F142" s="13" t="n">
        <v>160000</v>
      </c>
      <c r="G142" s="2" t="n">
        <v>15929</v>
      </c>
      <c r="H142" s="12" t="n">
        <v>144071</v>
      </c>
    </row>
    <row r="143" customFormat="false" ht="15" hidden="false" customHeight="false" outlineLevel="0" collapsed="false">
      <c r="A143" s="7"/>
      <c r="B143" s="2" t="n">
        <v>139</v>
      </c>
      <c r="C143" s="11" t="n">
        <v>15925</v>
      </c>
      <c r="D143" s="12" t="n">
        <v>144075</v>
      </c>
      <c r="E143" s="2" t="n">
        <v>53</v>
      </c>
      <c r="F143" s="13" t="n">
        <v>159947</v>
      </c>
      <c r="G143" s="2" t="n">
        <v>15929</v>
      </c>
      <c r="H143" s="12" t="n">
        <v>144071</v>
      </c>
    </row>
    <row r="144" customFormat="false" ht="15" hidden="false" customHeight="false" outlineLevel="0" collapsed="false">
      <c r="A144" s="7"/>
      <c r="B144" s="2" t="n">
        <v>140</v>
      </c>
      <c r="C144" s="11" t="n">
        <v>15930</v>
      </c>
      <c r="D144" s="12" t="n">
        <v>144070</v>
      </c>
      <c r="E144" s="2" t="n">
        <v>434</v>
      </c>
      <c r="F144" s="13" t="n">
        <v>159566</v>
      </c>
      <c r="G144" s="2" t="n">
        <v>15935</v>
      </c>
      <c r="H144" s="12" t="n">
        <v>144065</v>
      </c>
    </row>
    <row r="145" customFormat="false" ht="15" hidden="false" customHeight="false" outlineLevel="0" collapsed="false">
      <c r="A145" s="7"/>
      <c r="B145" s="2" t="n">
        <v>141</v>
      </c>
      <c r="C145" s="11" t="n">
        <v>15925</v>
      </c>
      <c r="D145" s="12" t="n">
        <v>144075</v>
      </c>
      <c r="E145" s="2" t="n">
        <v>26</v>
      </c>
      <c r="F145" s="13" t="n">
        <v>159974</v>
      </c>
      <c r="G145" s="2" t="n">
        <v>15929</v>
      </c>
      <c r="H145" s="12" t="n">
        <v>144071</v>
      </c>
    </row>
    <row r="146" customFormat="false" ht="15" hidden="false" customHeight="false" outlineLevel="0" collapsed="false">
      <c r="A146" s="7"/>
      <c r="B146" s="2" t="n">
        <v>142</v>
      </c>
      <c r="C146" s="11" t="n">
        <v>15925</v>
      </c>
      <c r="D146" s="12" t="n">
        <v>144075</v>
      </c>
      <c r="E146" s="2" t="n">
        <v>2</v>
      </c>
      <c r="F146" s="13" t="n">
        <v>159998</v>
      </c>
      <c r="G146" s="2" t="n">
        <v>15929</v>
      </c>
      <c r="H146" s="12" t="n">
        <v>144071</v>
      </c>
    </row>
    <row r="147" customFormat="false" ht="15" hidden="false" customHeight="false" outlineLevel="0" collapsed="false">
      <c r="A147" s="7"/>
      <c r="B147" s="2" t="n">
        <v>143</v>
      </c>
      <c r="C147" s="11" t="n">
        <v>15925</v>
      </c>
      <c r="D147" s="12" t="n">
        <v>144075</v>
      </c>
      <c r="E147" s="2" t="n">
        <v>2</v>
      </c>
      <c r="F147" s="13" t="n">
        <v>159998</v>
      </c>
      <c r="G147" s="2" t="n">
        <v>15929</v>
      </c>
      <c r="H147" s="12" t="n">
        <v>144071</v>
      </c>
    </row>
    <row r="148" customFormat="false" ht="15" hidden="false" customHeight="false" outlineLevel="0" collapsed="false">
      <c r="A148" s="7"/>
      <c r="B148" s="2" t="n">
        <v>144</v>
      </c>
      <c r="C148" s="11" t="n">
        <v>15924</v>
      </c>
      <c r="D148" s="12" t="n">
        <v>144076</v>
      </c>
      <c r="E148" s="2" t="n">
        <v>0</v>
      </c>
      <c r="F148" s="13" t="n">
        <v>160000</v>
      </c>
      <c r="G148" s="2" t="n">
        <v>15928</v>
      </c>
      <c r="H148" s="12" t="n">
        <v>144072</v>
      </c>
    </row>
    <row r="149" customFormat="false" ht="15" hidden="false" customHeight="false" outlineLevel="0" collapsed="false">
      <c r="A149" s="7"/>
      <c r="B149" s="2" t="n">
        <v>145</v>
      </c>
      <c r="C149" s="11" t="n">
        <v>15924</v>
      </c>
      <c r="D149" s="12" t="n">
        <v>144076</v>
      </c>
      <c r="E149" s="2" t="n">
        <v>13</v>
      </c>
      <c r="F149" s="13" t="n">
        <v>159987</v>
      </c>
      <c r="G149" s="2" t="n">
        <v>15928</v>
      </c>
      <c r="H149" s="12" t="n">
        <v>144072</v>
      </c>
    </row>
    <row r="150" customFormat="false" ht="15" hidden="false" customHeight="false" outlineLevel="0" collapsed="false">
      <c r="A150" s="7"/>
      <c r="B150" s="2" t="n">
        <v>146</v>
      </c>
      <c r="C150" s="11" t="n">
        <v>15925</v>
      </c>
      <c r="D150" s="12" t="n">
        <v>144075</v>
      </c>
      <c r="E150" s="2" t="n">
        <v>303</v>
      </c>
      <c r="F150" s="13" t="n">
        <v>159697</v>
      </c>
      <c r="G150" s="2" t="n">
        <v>15929</v>
      </c>
      <c r="H150" s="12" t="n">
        <v>144071</v>
      </c>
    </row>
    <row r="151" customFormat="false" ht="15" hidden="false" customHeight="false" outlineLevel="0" collapsed="false">
      <c r="A151" s="7"/>
      <c r="B151" s="2" t="n">
        <v>147</v>
      </c>
      <c r="C151" s="11" t="n">
        <v>15925</v>
      </c>
      <c r="D151" s="12" t="n">
        <v>144075</v>
      </c>
      <c r="E151" s="2" t="n">
        <v>78</v>
      </c>
      <c r="F151" s="13" t="n">
        <v>159922</v>
      </c>
      <c r="G151" s="2" t="n">
        <v>15929</v>
      </c>
      <c r="H151" s="12" t="n">
        <v>144071</v>
      </c>
    </row>
    <row r="152" customFormat="false" ht="15" hidden="false" customHeight="false" outlineLevel="0" collapsed="false">
      <c r="A152" s="7"/>
      <c r="B152" s="2" t="n">
        <v>148</v>
      </c>
      <c r="C152" s="11" t="n">
        <v>15925</v>
      </c>
      <c r="D152" s="12" t="n">
        <v>144075</v>
      </c>
      <c r="E152" s="2" t="n">
        <v>56</v>
      </c>
      <c r="F152" s="13" t="n">
        <v>159944</v>
      </c>
      <c r="G152" s="2" t="n">
        <v>15929</v>
      </c>
      <c r="H152" s="12" t="n">
        <v>144071</v>
      </c>
    </row>
    <row r="153" customFormat="false" ht="15" hidden="false" customHeight="false" outlineLevel="0" collapsed="false">
      <c r="A153" s="7"/>
      <c r="B153" s="2" t="n">
        <v>149</v>
      </c>
      <c r="C153" s="11" t="n">
        <v>15925</v>
      </c>
      <c r="D153" s="12" t="n">
        <v>144075</v>
      </c>
      <c r="E153" s="2" t="n">
        <v>555</v>
      </c>
      <c r="F153" s="13" t="n">
        <v>159445</v>
      </c>
      <c r="G153" s="2" t="n">
        <v>15930</v>
      </c>
      <c r="H153" s="12" t="n">
        <v>144070</v>
      </c>
    </row>
    <row r="154" customFormat="false" ht="15" hidden="false" customHeight="false" outlineLevel="0" collapsed="false">
      <c r="A154" s="7"/>
      <c r="B154" s="2" t="n">
        <v>150</v>
      </c>
      <c r="C154" s="11" t="n">
        <v>15925</v>
      </c>
      <c r="D154" s="12" t="n">
        <v>144075</v>
      </c>
      <c r="E154" s="2" t="n">
        <v>13</v>
      </c>
      <c r="F154" s="13" t="n">
        <v>159987</v>
      </c>
      <c r="G154" s="2" t="n">
        <v>15930</v>
      </c>
      <c r="H154" s="12" t="n">
        <v>144070</v>
      </c>
    </row>
    <row r="155" customFormat="false" ht="15" hidden="false" customHeight="false" outlineLevel="0" collapsed="false">
      <c r="A155" s="7"/>
      <c r="B155" s="2" t="n">
        <v>151</v>
      </c>
      <c r="C155" s="11" t="n">
        <v>15930</v>
      </c>
      <c r="D155" s="12" t="n">
        <v>144070</v>
      </c>
      <c r="E155" s="2" t="n">
        <v>49</v>
      </c>
      <c r="F155" s="13" t="n">
        <v>159951</v>
      </c>
      <c r="G155" s="2" t="n">
        <v>15931</v>
      </c>
      <c r="H155" s="12" t="n">
        <v>144069</v>
      </c>
    </row>
    <row r="156" customFormat="false" ht="15" hidden="false" customHeight="false" outlineLevel="0" collapsed="false">
      <c r="A156" s="7"/>
      <c r="B156" s="2" t="n">
        <v>152</v>
      </c>
      <c r="C156" s="11" t="n">
        <v>15925</v>
      </c>
      <c r="D156" s="12" t="n">
        <v>144075</v>
      </c>
      <c r="E156" s="2" t="n">
        <v>61</v>
      </c>
      <c r="F156" s="13" t="n">
        <v>159939</v>
      </c>
      <c r="G156" s="2" t="n">
        <v>15928</v>
      </c>
      <c r="H156" s="12" t="n">
        <v>144072</v>
      </c>
    </row>
    <row r="157" customFormat="false" ht="15" hidden="false" customHeight="false" outlineLevel="0" collapsed="false">
      <c r="A157" s="7"/>
      <c r="B157" s="2" t="n">
        <v>153</v>
      </c>
      <c r="C157" s="11" t="n">
        <v>15925</v>
      </c>
      <c r="D157" s="12" t="n">
        <v>144075</v>
      </c>
      <c r="E157" s="2" t="n">
        <v>11</v>
      </c>
      <c r="F157" s="13" t="n">
        <v>159989</v>
      </c>
      <c r="G157" s="2" t="n">
        <v>15927</v>
      </c>
      <c r="H157" s="12" t="n">
        <v>144073</v>
      </c>
    </row>
    <row r="158" customFormat="false" ht="15" hidden="false" customHeight="false" outlineLevel="0" collapsed="false">
      <c r="A158" s="7"/>
      <c r="B158" s="2" t="n">
        <v>154</v>
      </c>
      <c r="C158" s="11" t="n">
        <v>15925</v>
      </c>
      <c r="D158" s="12" t="n">
        <v>144075</v>
      </c>
      <c r="E158" s="2" t="n">
        <v>5</v>
      </c>
      <c r="F158" s="13" t="n">
        <v>159995</v>
      </c>
      <c r="G158" s="2" t="n">
        <v>15927</v>
      </c>
      <c r="H158" s="12" t="n">
        <v>144073</v>
      </c>
    </row>
    <row r="159" customFormat="false" ht="15" hidden="false" customHeight="false" outlineLevel="0" collapsed="false">
      <c r="A159" s="7"/>
      <c r="B159" s="2" t="n">
        <v>155</v>
      </c>
      <c r="C159" s="11" t="n">
        <v>15925</v>
      </c>
      <c r="D159" s="12" t="n">
        <v>144075</v>
      </c>
      <c r="E159" s="2" t="n">
        <v>13</v>
      </c>
      <c r="F159" s="13" t="n">
        <v>159987</v>
      </c>
      <c r="G159" s="2" t="n">
        <v>15927</v>
      </c>
      <c r="H159" s="12" t="n">
        <v>144073</v>
      </c>
    </row>
    <row r="160" customFormat="false" ht="15" hidden="false" customHeight="false" outlineLevel="0" collapsed="false">
      <c r="A160" s="7"/>
      <c r="B160" s="2" t="n">
        <v>156</v>
      </c>
      <c r="C160" s="11" t="n">
        <v>15925</v>
      </c>
      <c r="D160" s="12" t="n">
        <v>144075</v>
      </c>
      <c r="E160" s="2" t="n">
        <v>10</v>
      </c>
      <c r="F160" s="13" t="n">
        <v>159990</v>
      </c>
      <c r="G160" s="2" t="n">
        <v>15928</v>
      </c>
      <c r="H160" s="12" t="n">
        <v>144072</v>
      </c>
    </row>
    <row r="161" customFormat="false" ht="15" hidden="false" customHeight="false" outlineLevel="0" collapsed="false">
      <c r="A161" s="7"/>
      <c r="B161" s="2" t="n">
        <v>157</v>
      </c>
      <c r="C161" s="11" t="n">
        <v>15925</v>
      </c>
      <c r="D161" s="12" t="n">
        <v>144075</v>
      </c>
      <c r="E161" s="2" t="n">
        <v>7</v>
      </c>
      <c r="F161" s="13" t="n">
        <v>159993</v>
      </c>
      <c r="G161" s="2" t="n">
        <v>15927</v>
      </c>
      <c r="H161" s="12" t="n">
        <v>144073</v>
      </c>
    </row>
    <row r="162" customFormat="false" ht="15" hidden="false" customHeight="false" outlineLevel="0" collapsed="false">
      <c r="A162" s="7"/>
      <c r="B162" s="2" t="n">
        <v>158</v>
      </c>
      <c r="C162" s="11" t="n">
        <v>15924</v>
      </c>
      <c r="D162" s="12" t="n">
        <v>144076</v>
      </c>
      <c r="E162" s="2" t="n">
        <v>706</v>
      </c>
      <c r="F162" s="13" t="n">
        <v>159294</v>
      </c>
      <c r="G162" s="2" t="n">
        <v>15926</v>
      </c>
      <c r="H162" s="12" t="n">
        <v>144074</v>
      </c>
    </row>
    <row r="163" customFormat="false" ht="15" hidden="false" customHeight="false" outlineLevel="0" collapsed="false">
      <c r="A163" s="7"/>
      <c r="B163" s="2" t="n">
        <v>159</v>
      </c>
      <c r="C163" s="11" t="n">
        <v>15924</v>
      </c>
      <c r="D163" s="12" t="n">
        <v>144076</v>
      </c>
      <c r="E163" s="2" t="n">
        <v>22</v>
      </c>
      <c r="F163" s="13" t="n">
        <v>159978</v>
      </c>
      <c r="G163" s="2" t="n">
        <v>15926</v>
      </c>
      <c r="H163" s="12" t="n">
        <v>144074</v>
      </c>
    </row>
    <row r="164" customFormat="false" ht="15" hidden="false" customHeight="false" outlineLevel="0" collapsed="false">
      <c r="A164" s="7"/>
      <c r="B164" s="2" t="n">
        <v>160</v>
      </c>
      <c r="C164" s="11" t="n">
        <v>15925</v>
      </c>
      <c r="D164" s="12" t="n">
        <v>144075</v>
      </c>
      <c r="E164" s="2" t="n">
        <v>8</v>
      </c>
      <c r="F164" s="13" t="n">
        <v>159992</v>
      </c>
      <c r="G164" s="2" t="n">
        <v>15928</v>
      </c>
      <c r="H164" s="12" t="n">
        <v>144072</v>
      </c>
    </row>
    <row r="165" customFormat="false" ht="15" hidden="false" customHeight="false" outlineLevel="0" collapsed="false">
      <c r="A165" s="7"/>
      <c r="B165" s="2" t="n">
        <v>161</v>
      </c>
      <c r="C165" s="11" t="n">
        <v>15925</v>
      </c>
      <c r="D165" s="12" t="n">
        <v>144075</v>
      </c>
      <c r="E165" s="2" t="n">
        <v>6</v>
      </c>
      <c r="F165" s="13" t="n">
        <v>159994</v>
      </c>
      <c r="G165" s="2" t="n">
        <v>15928</v>
      </c>
      <c r="H165" s="12" t="n">
        <v>144072</v>
      </c>
    </row>
    <row r="166" customFormat="false" ht="15" hidden="false" customHeight="false" outlineLevel="0" collapsed="false">
      <c r="A166" s="7"/>
      <c r="B166" s="2" t="n">
        <v>162</v>
      </c>
      <c r="C166" s="11" t="n">
        <v>15924</v>
      </c>
      <c r="D166" s="12" t="n">
        <v>144076</v>
      </c>
      <c r="E166" s="2" t="n">
        <v>66</v>
      </c>
      <c r="F166" s="13" t="n">
        <v>159934</v>
      </c>
      <c r="G166" s="2" t="n">
        <v>15928</v>
      </c>
      <c r="H166" s="12" t="n">
        <v>144072</v>
      </c>
    </row>
    <row r="167" customFormat="false" ht="15" hidden="false" customHeight="false" outlineLevel="0" collapsed="false">
      <c r="A167" s="7"/>
      <c r="B167" s="2" t="n">
        <v>163</v>
      </c>
      <c r="C167" s="11" t="n">
        <v>15925</v>
      </c>
      <c r="D167" s="12" t="n">
        <v>144075</v>
      </c>
      <c r="E167" s="2" t="n">
        <v>8</v>
      </c>
      <c r="F167" s="13" t="n">
        <v>159992</v>
      </c>
      <c r="G167" s="2" t="n">
        <v>15929</v>
      </c>
      <c r="H167" s="12" t="n">
        <v>144071</v>
      </c>
    </row>
    <row r="168" customFormat="false" ht="15" hidden="false" customHeight="false" outlineLevel="0" collapsed="false">
      <c r="A168" s="7"/>
      <c r="B168" s="2" t="n">
        <v>164</v>
      </c>
      <c r="C168" s="11" t="n">
        <v>15925</v>
      </c>
      <c r="D168" s="12" t="n">
        <v>144075</v>
      </c>
      <c r="E168" s="2" t="n">
        <v>4</v>
      </c>
      <c r="F168" s="13" t="n">
        <v>159996</v>
      </c>
      <c r="G168" s="2" t="n">
        <v>15930</v>
      </c>
      <c r="H168" s="12" t="n">
        <v>144070</v>
      </c>
    </row>
    <row r="169" customFormat="false" ht="15" hidden="false" customHeight="false" outlineLevel="0" collapsed="false">
      <c r="A169" s="7"/>
      <c r="B169" s="2" t="n">
        <v>165</v>
      </c>
      <c r="C169" s="11" t="n">
        <v>15925</v>
      </c>
      <c r="D169" s="12" t="n">
        <v>144075</v>
      </c>
      <c r="E169" s="2" t="n">
        <v>8</v>
      </c>
      <c r="F169" s="13" t="n">
        <v>159992</v>
      </c>
      <c r="G169" s="2" t="n">
        <v>15930</v>
      </c>
      <c r="H169" s="12" t="n">
        <v>144070</v>
      </c>
    </row>
    <row r="170" customFormat="false" ht="15" hidden="false" customHeight="false" outlineLevel="0" collapsed="false">
      <c r="A170" s="7"/>
      <c r="B170" s="2" t="n">
        <v>166</v>
      </c>
      <c r="C170" s="11" t="n">
        <v>15925</v>
      </c>
      <c r="D170" s="12" t="n">
        <v>144075</v>
      </c>
      <c r="E170" s="2" t="n">
        <v>6</v>
      </c>
      <c r="F170" s="13" t="n">
        <v>159994</v>
      </c>
      <c r="G170" s="2" t="n">
        <v>15930</v>
      </c>
      <c r="H170" s="12" t="n">
        <v>144070</v>
      </c>
    </row>
    <row r="171" customFormat="false" ht="15" hidden="false" customHeight="false" outlineLevel="0" collapsed="false">
      <c r="A171" s="7"/>
      <c r="B171" s="2" t="n">
        <v>167</v>
      </c>
      <c r="C171" s="11" t="n">
        <v>15925</v>
      </c>
      <c r="D171" s="12" t="n">
        <v>144075</v>
      </c>
      <c r="E171" s="2" t="n">
        <v>135</v>
      </c>
      <c r="F171" s="13" t="n">
        <v>159865</v>
      </c>
      <c r="G171" s="2" t="n">
        <v>15924</v>
      </c>
      <c r="H171" s="12" t="n">
        <v>144076</v>
      </c>
    </row>
    <row r="172" customFormat="false" ht="15" hidden="false" customHeight="false" outlineLevel="0" collapsed="false">
      <c r="A172" s="7"/>
      <c r="B172" s="2" t="n">
        <v>168</v>
      </c>
      <c r="C172" s="11" t="n">
        <v>15925</v>
      </c>
      <c r="D172" s="12" t="n">
        <v>144075</v>
      </c>
      <c r="E172" s="2" t="n">
        <v>5</v>
      </c>
      <c r="F172" s="13" t="n">
        <v>159995</v>
      </c>
      <c r="G172" s="2" t="n">
        <v>15929</v>
      </c>
      <c r="H172" s="12" t="n">
        <v>144071</v>
      </c>
    </row>
    <row r="173" customFormat="false" ht="15" hidden="false" customHeight="false" outlineLevel="0" collapsed="false">
      <c r="A173" s="7"/>
      <c r="B173" s="2" t="n">
        <v>169</v>
      </c>
      <c r="C173" s="11" t="n">
        <v>15929</v>
      </c>
      <c r="D173" s="12" t="n">
        <v>144071</v>
      </c>
      <c r="E173" s="2" t="n">
        <v>20</v>
      </c>
      <c r="F173" s="13" t="n">
        <v>159980</v>
      </c>
      <c r="G173" s="2" t="n">
        <v>15933</v>
      </c>
      <c r="H173" s="12" t="n">
        <v>144067</v>
      </c>
    </row>
    <row r="174" customFormat="false" ht="15" hidden="false" customHeight="false" outlineLevel="0" collapsed="false">
      <c r="A174" s="7"/>
      <c r="B174" s="2" t="n">
        <v>170</v>
      </c>
      <c r="C174" s="11" t="n">
        <v>15925</v>
      </c>
      <c r="D174" s="12" t="n">
        <v>144075</v>
      </c>
      <c r="E174" s="2" t="n">
        <v>21</v>
      </c>
      <c r="F174" s="13" t="n">
        <v>159979</v>
      </c>
      <c r="G174" s="2" t="n">
        <v>15929</v>
      </c>
      <c r="H174" s="12" t="n">
        <v>144071</v>
      </c>
    </row>
    <row r="175" customFormat="false" ht="15" hidden="false" customHeight="false" outlineLevel="0" collapsed="false">
      <c r="A175" s="7"/>
      <c r="B175" s="2" t="n">
        <v>171</v>
      </c>
      <c r="C175" s="11" t="n">
        <v>15925</v>
      </c>
      <c r="D175" s="12" t="n">
        <v>144075</v>
      </c>
      <c r="E175" s="2" t="n">
        <v>7</v>
      </c>
      <c r="F175" s="13" t="n">
        <v>159993</v>
      </c>
      <c r="G175" s="2" t="n">
        <v>15929</v>
      </c>
      <c r="H175" s="12" t="n">
        <v>144071</v>
      </c>
    </row>
    <row r="176" customFormat="false" ht="15" hidden="false" customHeight="false" outlineLevel="0" collapsed="false">
      <c r="A176" s="7"/>
      <c r="B176" s="2" t="n">
        <v>172</v>
      </c>
      <c r="C176" s="11" t="n">
        <v>15924</v>
      </c>
      <c r="D176" s="12" t="n">
        <v>144076</v>
      </c>
      <c r="E176" s="2" t="n">
        <v>16</v>
      </c>
      <c r="F176" s="13" t="n">
        <v>159984</v>
      </c>
      <c r="G176" s="2" t="n">
        <v>15927</v>
      </c>
      <c r="H176" s="12" t="n">
        <v>144073</v>
      </c>
    </row>
    <row r="177" customFormat="false" ht="15" hidden="false" customHeight="false" outlineLevel="0" collapsed="false">
      <c r="A177" s="7"/>
      <c r="B177" s="2" t="n">
        <v>173</v>
      </c>
      <c r="C177" s="11" t="n">
        <v>15925</v>
      </c>
      <c r="D177" s="12" t="n">
        <v>144075</v>
      </c>
      <c r="E177" s="2" t="n">
        <v>7</v>
      </c>
      <c r="F177" s="13" t="n">
        <v>159993</v>
      </c>
      <c r="G177" s="2" t="n">
        <v>15928</v>
      </c>
      <c r="H177" s="12" t="n">
        <v>144072</v>
      </c>
    </row>
    <row r="178" customFormat="false" ht="15" hidden="false" customHeight="false" outlineLevel="0" collapsed="false">
      <c r="A178" s="7"/>
      <c r="B178" s="2" t="n">
        <v>174</v>
      </c>
      <c r="C178" s="11" t="n">
        <v>15925</v>
      </c>
      <c r="D178" s="12" t="n">
        <v>144075</v>
      </c>
      <c r="E178" s="2" t="n">
        <v>5</v>
      </c>
      <c r="F178" s="13" t="n">
        <v>159995</v>
      </c>
      <c r="G178" s="2" t="n">
        <v>15928</v>
      </c>
      <c r="H178" s="12" t="n">
        <v>144072</v>
      </c>
    </row>
    <row r="179" customFormat="false" ht="15" hidden="false" customHeight="false" outlineLevel="0" collapsed="false">
      <c r="A179" s="7"/>
      <c r="B179" s="2" t="n">
        <v>175</v>
      </c>
      <c r="C179" s="11" t="n">
        <v>15925</v>
      </c>
      <c r="D179" s="12" t="n">
        <v>144075</v>
      </c>
      <c r="E179" s="2" t="n">
        <v>2</v>
      </c>
      <c r="F179" s="13" t="n">
        <v>159998</v>
      </c>
      <c r="G179" s="2" t="n">
        <v>15928</v>
      </c>
      <c r="H179" s="12" t="n">
        <v>144072</v>
      </c>
    </row>
    <row r="180" customFormat="false" ht="15" hidden="false" customHeight="false" outlineLevel="0" collapsed="false">
      <c r="A180" s="7"/>
      <c r="B180" s="2" t="n">
        <v>176</v>
      </c>
      <c r="C180" s="11" t="n">
        <v>15925</v>
      </c>
      <c r="D180" s="12" t="n">
        <v>144075</v>
      </c>
      <c r="E180" s="2" t="n">
        <v>3</v>
      </c>
      <c r="F180" s="13" t="n">
        <v>159997</v>
      </c>
      <c r="G180" s="2" t="n">
        <v>15928</v>
      </c>
      <c r="H180" s="12" t="n">
        <v>144072</v>
      </c>
    </row>
    <row r="181" customFormat="false" ht="15" hidden="false" customHeight="false" outlineLevel="0" collapsed="false">
      <c r="A181" s="7"/>
      <c r="B181" s="2" t="n">
        <v>177</v>
      </c>
      <c r="C181" s="11" t="n">
        <v>15925</v>
      </c>
      <c r="D181" s="12" t="n">
        <v>144075</v>
      </c>
      <c r="E181" s="2" t="n">
        <v>8</v>
      </c>
      <c r="F181" s="13" t="n">
        <v>159992</v>
      </c>
      <c r="G181" s="2" t="n">
        <v>15929</v>
      </c>
      <c r="H181" s="12" t="n">
        <v>144071</v>
      </c>
    </row>
    <row r="182" customFormat="false" ht="15" hidden="false" customHeight="false" outlineLevel="0" collapsed="false">
      <c r="A182" s="7"/>
      <c r="B182" s="2" t="n">
        <v>178</v>
      </c>
      <c r="C182" s="11" t="n">
        <v>15925</v>
      </c>
      <c r="D182" s="12" t="n">
        <v>144075</v>
      </c>
      <c r="E182" s="2" t="n">
        <v>6</v>
      </c>
      <c r="F182" s="13" t="n">
        <v>159994</v>
      </c>
      <c r="G182" s="2" t="n">
        <v>15929</v>
      </c>
      <c r="H182" s="12" t="n">
        <v>144071</v>
      </c>
    </row>
    <row r="183" customFormat="false" ht="15" hidden="false" customHeight="false" outlineLevel="0" collapsed="false">
      <c r="A183" s="7"/>
      <c r="B183" s="2" t="n">
        <v>179</v>
      </c>
      <c r="C183" s="11" t="n">
        <v>15924</v>
      </c>
      <c r="D183" s="12" t="n">
        <v>144076</v>
      </c>
      <c r="E183" s="2" t="n">
        <v>44</v>
      </c>
      <c r="F183" s="13" t="n">
        <v>159956</v>
      </c>
      <c r="G183" s="2" t="n">
        <v>15928</v>
      </c>
      <c r="H183" s="12" t="n">
        <v>144072</v>
      </c>
    </row>
    <row r="184" customFormat="false" ht="15" hidden="false" customHeight="false" outlineLevel="0" collapsed="false">
      <c r="A184" s="7"/>
      <c r="B184" s="2" t="n">
        <v>180</v>
      </c>
      <c r="C184" s="11" t="n">
        <v>15925</v>
      </c>
      <c r="D184" s="12" t="n">
        <v>144075</v>
      </c>
      <c r="E184" s="2" t="n">
        <v>722</v>
      </c>
      <c r="F184" s="13" t="n">
        <v>159278</v>
      </c>
      <c r="G184" s="2" t="n">
        <v>15928</v>
      </c>
      <c r="H184" s="12" t="n">
        <v>144072</v>
      </c>
    </row>
    <row r="185" customFormat="false" ht="15" hidden="false" customHeight="false" outlineLevel="0" collapsed="false">
      <c r="A185" s="7"/>
      <c r="B185" s="2" t="n">
        <v>181</v>
      </c>
      <c r="C185" s="11" t="n">
        <v>15925</v>
      </c>
      <c r="D185" s="12" t="n">
        <v>144075</v>
      </c>
      <c r="E185" s="2" t="n">
        <v>8</v>
      </c>
      <c r="F185" s="13" t="n">
        <v>159992</v>
      </c>
      <c r="G185" s="2" t="n">
        <v>15928</v>
      </c>
      <c r="H185" s="12" t="n">
        <v>144072</v>
      </c>
    </row>
    <row r="186" customFormat="false" ht="15" hidden="false" customHeight="false" outlineLevel="0" collapsed="false">
      <c r="A186" s="7"/>
      <c r="B186" s="2" t="n">
        <v>182</v>
      </c>
      <c r="C186" s="11" t="n">
        <v>15924</v>
      </c>
      <c r="D186" s="12" t="n">
        <v>144076</v>
      </c>
      <c r="E186" s="2" t="n">
        <v>4</v>
      </c>
      <c r="F186" s="13" t="n">
        <v>159996</v>
      </c>
      <c r="G186" s="2" t="n">
        <v>15927</v>
      </c>
      <c r="H186" s="12" t="n">
        <v>144073</v>
      </c>
    </row>
    <row r="187" customFormat="false" ht="15" hidden="false" customHeight="false" outlineLevel="0" collapsed="false">
      <c r="A187" s="7"/>
      <c r="B187" s="2" t="n">
        <v>183</v>
      </c>
      <c r="C187" s="11" t="n">
        <v>15925</v>
      </c>
      <c r="D187" s="12" t="n">
        <v>144075</v>
      </c>
      <c r="E187" s="2" t="n">
        <v>16</v>
      </c>
      <c r="F187" s="13" t="n">
        <v>159984</v>
      </c>
      <c r="G187" s="2" t="n">
        <v>15928</v>
      </c>
      <c r="H187" s="12" t="n">
        <v>144072</v>
      </c>
    </row>
    <row r="188" customFormat="false" ht="15" hidden="false" customHeight="false" outlineLevel="0" collapsed="false">
      <c r="A188" s="7"/>
      <c r="B188" s="2" t="n">
        <v>184</v>
      </c>
      <c r="C188" s="11" t="n">
        <v>15924</v>
      </c>
      <c r="D188" s="12" t="n">
        <v>144076</v>
      </c>
      <c r="E188" s="2" t="n">
        <v>17</v>
      </c>
      <c r="F188" s="13" t="n">
        <v>159983</v>
      </c>
      <c r="G188" s="2" t="n">
        <v>15927</v>
      </c>
      <c r="H188" s="12" t="n">
        <v>144073</v>
      </c>
    </row>
    <row r="189" customFormat="false" ht="15" hidden="false" customHeight="false" outlineLevel="0" collapsed="false">
      <c r="A189" s="7"/>
      <c r="B189" s="2" t="n">
        <v>185</v>
      </c>
      <c r="C189" s="11" t="n">
        <v>15928</v>
      </c>
      <c r="D189" s="12" t="n">
        <v>144072</v>
      </c>
      <c r="E189" s="2" t="n">
        <v>95</v>
      </c>
      <c r="F189" s="13" t="n">
        <v>159905</v>
      </c>
      <c r="G189" s="2" t="n">
        <v>15928</v>
      </c>
      <c r="H189" s="12" t="n">
        <v>144072</v>
      </c>
    </row>
    <row r="190" customFormat="false" ht="15" hidden="false" customHeight="false" outlineLevel="0" collapsed="false">
      <c r="A190" s="7"/>
      <c r="B190" s="2" t="n">
        <v>186</v>
      </c>
      <c r="C190" s="11" t="n">
        <v>15924</v>
      </c>
      <c r="D190" s="12" t="n">
        <v>144076</v>
      </c>
      <c r="E190" s="2" t="n">
        <v>8</v>
      </c>
      <c r="F190" s="13" t="n">
        <v>159992</v>
      </c>
      <c r="G190" s="2" t="n">
        <v>15927</v>
      </c>
      <c r="H190" s="12" t="n">
        <v>144073</v>
      </c>
    </row>
    <row r="191" customFormat="false" ht="15" hidden="false" customHeight="false" outlineLevel="0" collapsed="false">
      <c r="A191" s="7"/>
      <c r="B191" s="2" t="n">
        <v>187</v>
      </c>
      <c r="C191" s="11" t="n">
        <v>15925</v>
      </c>
      <c r="D191" s="12" t="n">
        <v>144075</v>
      </c>
      <c r="E191" s="2" t="n">
        <v>3</v>
      </c>
      <c r="F191" s="13" t="n">
        <v>159997</v>
      </c>
      <c r="G191" s="2" t="n">
        <v>15927</v>
      </c>
      <c r="H191" s="12" t="n">
        <v>144073</v>
      </c>
    </row>
    <row r="192" customFormat="false" ht="15" hidden="false" customHeight="false" outlineLevel="0" collapsed="false">
      <c r="A192" s="7"/>
      <c r="B192" s="2" t="n">
        <v>188</v>
      </c>
      <c r="C192" s="11" t="n">
        <v>15925</v>
      </c>
      <c r="D192" s="12" t="n">
        <v>144075</v>
      </c>
      <c r="E192" s="2" t="n">
        <v>1</v>
      </c>
      <c r="F192" s="13" t="n">
        <v>159999</v>
      </c>
      <c r="G192" s="2" t="n">
        <v>15928</v>
      </c>
      <c r="H192" s="12" t="n">
        <v>144072</v>
      </c>
    </row>
    <row r="193" customFormat="false" ht="15" hidden="false" customHeight="false" outlineLevel="0" collapsed="false">
      <c r="A193" s="7"/>
      <c r="B193" s="2" t="n">
        <v>189</v>
      </c>
      <c r="C193" s="11" t="n">
        <v>15925</v>
      </c>
      <c r="D193" s="12" t="n">
        <v>144075</v>
      </c>
      <c r="E193" s="2" t="n">
        <v>3</v>
      </c>
      <c r="F193" s="13" t="n">
        <v>159997</v>
      </c>
      <c r="G193" s="2" t="n">
        <v>15928</v>
      </c>
      <c r="H193" s="12" t="n">
        <v>144072</v>
      </c>
    </row>
    <row r="194" customFormat="false" ht="15" hidden="false" customHeight="false" outlineLevel="0" collapsed="false">
      <c r="A194" s="7"/>
      <c r="B194" s="2" t="n">
        <v>190</v>
      </c>
      <c r="C194" s="11" t="n">
        <v>15924</v>
      </c>
      <c r="D194" s="12" t="n">
        <v>144076</v>
      </c>
      <c r="E194" s="2" t="n">
        <v>17</v>
      </c>
      <c r="F194" s="13" t="n">
        <v>159983</v>
      </c>
      <c r="G194" s="2" t="n">
        <v>15926</v>
      </c>
      <c r="H194" s="12" t="n">
        <v>144074</v>
      </c>
    </row>
    <row r="195" customFormat="false" ht="15" hidden="false" customHeight="false" outlineLevel="0" collapsed="false">
      <c r="A195" s="7"/>
      <c r="B195" s="2" t="n">
        <v>191</v>
      </c>
      <c r="C195" s="11" t="n">
        <v>15925</v>
      </c>
      <c r="D195" s="12" t="n">
        <v>144075</v>
      </c>
      <c r="E195" s="2" t="n">
        <v>10</v>
      </c>
      <c r="F195" s="13" t="n">
        <v>159990</v>
      </c>
      <c r="G195" s="2" t="n">
        <v>15928</v>
      </c>
      <c r="H195" s="12" t="n">
        <v>144072</v>
      </c>
    </row>
    <row r="196" customFormat="false" ht="15" hidden="false" customHeight="false" outlineLevel="0" collapsed="false">
      <c r="A196" s="7"/>
      <c r="B196" s="2" t="n">
        <v>192</v>
      </c>
      <c r="C196" s="11" t="n">
        <v>15925</v>
      </c>
      <c r="D196" s="12" t="n">
        <v>144075</v>
      </c>
      <c r="E196" s="2" t="n">
        <v>4</v>
      </c>
      <c r="F196" s="13" t="n">
        <v>159996</v>
      </c>
      <c r="G196" s="2" t="n">
        <v>15928</v>
      </c>
      <c r="H196" s="12" t="n">
        <v>144072</v>
      </c>
    </row>
    <row r="197" customFormat="false" ht="15" hidden="false" customHeight="false" outlineLevel="0" collapsed="false">
      <c r="A197" s="7"/>
      <c r="B197" s="2" t="n">
        <v>193</v>
      </c>
      <c r="C197" s="11" t="n">
        <v>15924</v>
      </c>
      <c r="D197" s="12" t="n">
        <v>144076</v>
      </c>
      <c r="E197" s="2" t="n">
        <v>19</v>
      </c>
      <c r="F197" s="13" t="n">
        <v>159981</v>
      </c>
      <c r="G197" s="2" t="n">
        <v>15928</v>
      </c>
      <c r="H197" s="12" t="n">
        <v>144072</v>
      </c>
    </row>
    <row r="198" customFormat="false" ht="15" hidden="false" customHeight="false" outlineLevel="0" collapsed="false">
      <c r="A198" s="7"/>
      <c r="B198" s="2" t="n">
        <v>194</v>
      </c>
      <c r="C198" s="11" t="n">
        <v>15925</v>
      </c>
      <c r="D198" s="12" t="n">
        <v>144075</v>
      </c>
      <c r="E198" s="2" t="n">
        <v>815</v>
      </c>
      <c r="F198" s="13" t="n">
        <v>159185</v>
      </c>
      <c r="G198" s="2" t="n">
        <v>15928</v>
      </c>
      <c r="H198" s="12" t="n">
        <v>144072</v>
      </c>
    </row>
    <row r="199" customFormat="false" ht="15" hidden="false" customHeight="false" outlineLevel="0" collapsed="false">
      <c r="A199" s="7"/>
      <c r="B199" s="2" t="n">
        <v>195</v>
      </c>
      <c r="C199" s="11" t="n">
        <v>15924</v>
      </c>
      <c r="D199" s="12" t="n">
        <v>144076</v>
      </c>
      <c r="E199" s="2" t="n">
        <v>7</v>
      </c>
      <c r="F199" s="13" t="n">
        <v>159993</v>
      </c>
      <c r="G199" s="2" t="n">
        <v>15927</v>
      </c>
      <c r="H199" s="12" t="n">
        <v>144073</v>
      </c>
    </row>
    <row r="200" customFormat="false" ht="15" hidden="false" customHeight="false" outlineLevel="0" collapsed="false">
      <c r="A200" s="7"/>
      <c r="B200" s="2" t="n">
        <v>196</v>
      </c>
      <c r="C200" s="11" t="n">
        <v>15925</v>
      </c>
      <c r="D200" s="12" t="n">
        <v>144075</v>
      </c>
      <c r="E200" s="2" t="n">
        <v>671</v>
      </c>
      <c r="F200" s="13" t="n">
        <v>159329</v>
      </c>
      <c r="G200" s="2" t="n">
        <v>15930</v>
      </c>
      <c r="H200" s="12" t="n">
        <v>144070</v>
      </c>
    </row>
    <row r="201" customFormat="false" ht="15" hidden="false" customHeight="false" outlineLevel="0" collapsed="false">
      <c r="A201" s="7"/>
      <c r="B201" s="2" t="n">
        <v>197</v>
      </c>
      <c r="C201" s="11" t="n">
        <v>15925</v>
      </c>
      <c r="D201" s="12" t="n">
        <v>144075</v>
      </c>
      <c r="E201" s="2" t="n">
        <v>23</v>
      </c>
      <c r="F201" s="13" t="n">
        <v>159977</v>
      </c>
      <c r="G201" s="2" t="n">
        <v>15930</v>
      </c>
      <c r="H201" s="12" t="n">
        <v>144070</v>
      </c>
    </row>
    <row r="202" customFormat="false" ht="15" hidden="false" customHeight="false" outlineLevel="0" collapsed="false">
      <c r="A202" s="7"/>
      <c r="B202" s="2" t="n">
        <v>198</v>
      </c>
      <c r="C202" s="11" t="n">
        <v>15924</v>
      </c>
      <c r="D202" s="12" t="n">
        <v>144076</v>
      </c>
      <c r="E202" s="2" t="n">
        <v>46</v>
      </c>
      <c r="F202" s="13" t="n">
        <v>159954</v>
      </c>
      <c r="G202" s="2" t="n">
        <v>15928</v>
      </c>
      <c r="H202" s="12" t="n">
        <v>144072</v>
      </c>
    </row>
    <row r="203" customFormat="false" ht="15" hidden="false" customHeight="false" outlineLevel="0" collapsed="false">
      <c r="A203" s="7"/>
      <c r="B203" s="2" t="n">
        <v>199</v>
      </c>
      <c r="C203" s="11" t="n">
        <v>15925</v>
      </c>
      <c r="D203" s="12" t="n">
        <v>144075</v>
      </c>
      <c r="E203" s="2" t="n">
        <v>185</v>
      </c>
      <c r="F203" s="13" t="n">
        <v>159815</v>
      </c>
      <c r="G203" s="2" t="n">
        <v>15930</v>
      </c>
      <c r="H203" s="12" t="n">
        <v>144070</v>
      </c>
    </row>
    <row r="204" customFormat="false" ht="15" hidden="false" customHeight="false" outlineLevel="0" collapsed="false">
      <c r="A204" s="7"/>
      <c r="B204" s="14" t="s">
        <v>8</v>
      </c>
      <c r="C204" s="15" t="n">
        <f aca="false">SUM(C4:C203)</f>
        <v>3185276</v>
      </c>
      <c r="D204" s="16" t="n">
        <f aca="false">SUM(D4:D203)</f>
        <v>28814724</v>
      </c>
      <c r="E204" s="17" t="n">
        <f aca="false">SUM(E4:E203)</f>
        <v>49991</v>
      </c>
      <c r="F204" s="18" t="n">
        <f aca="false">SUM(F4:F203)</f>
        <v>31950009</v>
      </c>
      <c r="G204" s="17" t="n">
        <f aca="false">SUM(G4:G203)</f>
        <v>3185873</v>
      </c>
      <c r="H204" s="16" t="n">
        <f aca="false">SUM(H4:H203)</f>
        <v>28814127</v>
      </c>
    </row>
    <row r="209" customFormat="false" ht="15" hidden="false" customHeight="false" outlineLevel="0" collapsed="false">
      <c r="A209" s="2"/>
      <c r="B209" s="19" t="s">
        <v>0</v>
      </c>
      <c r="C209" s="20" t="s">
        <v>9</v>
      </c>
      <c r="D209" s="20"/>
      <c r="E209" s="20"/>
      <c r="F209" s="20"/>
      <c r="G209" s="20"/>
      <c r="H209" s="20"/>
    </row>
    <row r="210" customFormat="false" ht="15" hidden="false" customHeight="false" outlineLevel="0" collapsed="false">
      <c r="A210" s="2"/>
      <c r="B210" s="19"/>
      <c r="C210" s="21" t="s">
        <v>3</v>
      </c>
      <c r="D210" s="21"/>
      <c r="E210" s="21"/>
      <c r="F210" s="6" t="s">
        <v>4</v>
      </c>
      <c r="G210" s="6"/>
      <c r="H210" s="6"/>
    </row>
    <row r="211" customFormat="false" ht="15" hidden="false" customHeight="false" outlineLevel="0" collapsed="false">
      <c r="A211" s="7" t="s">
        <v>5</v>
      </c>
      <c r="B211" s="19"/>
      <c r="C211" s="22" t="str">
        <f aca="false">E3</f>
        <v>#e65a49</v>
      </c>
      <c r="D211" s="23" t="str">
        <f aca="false">F3</f>
        <v>#ffffff</v>
      </c>
      <c r="E211" s="24"/>
      <c r="F211" s="8" t="str">
        <f aca="false">G3</f>
        <v>#e65a49</v>
      </c>
      <c r="G211" s="23" t="str">
        <f aca="false">H3</f>
        <v>#ffffff</v>
      </c>
      <c r="H211" s="24"/>
    </row>
    <row r="212" customFormat="false" ht="15" hidden="false" customHeight="false" outlineLevel="0" collapsed="false">
      <c r="A212" s="7"/>
      <c r="B212" s="25" t="n">
        <v>0</v>
      </c>
      <c r="C212" s="11" t="n">
        <f aca="false">(ABS(C4-E4)/C4)*100</f>
        <v>0</v>
      </c>
      <c r="D212" s="25" t="n">
        <f aca="false">(ABS(D4-F4)/D4)*100</f>
        <v>0</v>
      </c>
      <c r="E212" s="24"/>
      <c r="F212" s="25" t="n">
        <f aca="false">(ABS(C4-G4)/C4)*100</f>
        <v>0</v>
      </c>
      <c r="G212" s="25" t="n">
        <f aca="false">(ABS(D4-H4)/D4)*100</f>
        <v>0</v>
      </c>
      <c r="H212" s="24"/>
    </row>
    <row r="213" customFormat="false" ht="15" hidden="false" customHeight="false" outlineLevel="0" collapsed="false">
      <c r="A213" s="7"/>
      <c r="B213" s="25" t="n">
        <v>1</v>
      </c>
      <c r="C213" s="11" t="n">
        <f aca="false">(ABS(C5-E5)/C5)*100</f>
        <v>99.8555639286611</v>
      </c>
      <c r="D213" s="25" t="n">
        <f aca="false">(ABS(D5-F5)/D5)*100</f>
        <v>11.0365362725228</v>
      </c>
      <c r="E213" s="24"/>
      <c r="F213" s="25" t="n">
        <f aca="false">(ABS(C5-G5)/C5)*100</f>
        <v>0.0188394875659382</v>
      </c>
      <c r="G213" s="25" t="n">
        <f aca="false">(ABS(D5-H5)/D5)*100</f>
        <v>0.0020822343763014</v>
      </c>
      <c r="H213" s="24"/>
    </row>
    <row r="214" customFormat="false" ht="15" hidden="false" customHeight="false" outlineLevel="0" collapsed="false">
      <c r="A214" s="7"/>
      <c r="B214" s="25" t="n">
        <v>2</v>
      </c>
      <c r="C214" s="11" t="n">
        <f aca="false">(ABS(C6-E6)/C6)*100</f>
        <v>99.8995227329817</v>
      </c>
      <c r="D214" s="25" t="n">
        <f aca="false">(ABS(D6-F6)/D6)*100</f>
        <v>11.0413948194009</v>
      </c>
      <c r="E214" s="24"/>
      <c r="F214" s="25" t="n">
        <f aca="false">(ABS(C6-G6)/C6)*100</f>
        <v>0.0251193167545843</v>
      </c>
      <c r="G214" s="25" t="n">
        <f aca="false">(ABS(D6-H6)/D6)*100</f>
        <v>0.0027763125017352</v>
      </c>
      <c r="H214" s="24"/>
    </row>
    <row r="215" customFormat="false" ht="15" hidden="false" customHeight="false" outlineLevel="0" collapsed="false">
      <c r="A215" s="7"/>
      <c r="B215" s="25" t="n">
        <v>3</v>
      </c>
      <c r="C215" s="11" t="n">
        <f aca="false">(ABS(C7-E7)/C7)*100</f>
        <v>100</v>
      </c>
      <c r="D215" s="25" t="n">
        <f aca="false">(ABS(D7-F7)/D7)*100</f>
        <v>11.0532708658685</v>
      </c>
      <c r="E215" s="24"/>
      <c r="F215" s="25" t="n">
        <f aca="false">(ABS(C7-G7)/C7)*100</f>
        <v>0.0251177394034537</v>
      </c>
      <c r="G215" s="25" t="n">
        <f aca="false">(ABS(D7-H7)/D7)*100</f>
        <v>0.00277633177164671</v>
      </c>
      <c r="H215" s="24"/>
    </row>
    <row r="216" customFormat="false" ht="15" hidden="false" customHeight="false" outlineLevel="0" collapsed="false">
      <c r="A216" s="7"/>
      <c r="B216" s="25" t="n">
        <v>4</v>
      </c>
      <c r="C216" s="11" t="n">
        <f aca="false">(ABS(C8-E8)/C8)*100</f>
        <v>99.9497613664908</v>
      </c>
      <c r="D216" s="25" t="n">
        <f aca="false">(ABS(D8-F8)/D8)*100</f>
        <v>11.0469474444043</v>
      </c>
      <c r="E216" s="24"/>
      <c r="F216" s="25" t="n">
        <f aca="false">(ABS(C8-G8)/C8)*100</f>
        <v>0.0125596583772921</v>
      </c>
      <c r="G216" s="25" t="n">
        <f aca="false">(ABS(D8-H8)/D8)*100</f>
        <v>0.0013881562508676</v>
      </c>
      <c r="H216" s="24"/>
    </row>
    <row r="217" customFormat="false" ht="15" hidden="false" customHeight="false" outlineLevel="0" collapsed="false">
      <c r="A217" s="7"/>
      <c r="B217" s="25" t="n">
        <v>5</v>
      </c>
      <c r="C217" s="11" t="n">
        <f aca="false">(ABS(C9-E9)/C9)*100</f>
        <v>99.9686028257457</v>
      </c>
      <c r="D217" s="25" t="n">
        <f aca="false">(ABS(D9-F9)/D9)*100</f>
        <v>11.0498004511539</v>
      </c>
      <c r="E217" s="24"/>
      <c r="F217" s="25" t="n">
        <f aca="false">(ABS(C9-G9)/C9)*100</f>
        <v>0.0251177394034537</v>
      </c>
      <c r="G217" s="25" t="n">
        <f aca="false">(ABS(D9-H9)/D9)*100</f>
        <v>0.00277633177164671</v>
      </c>
      <c r="H217" s="24"/>
    </row>
    <row r="218" customFormat="false" ht="15" hidden="false" customHeight="false" outlineLevel="0" collapsed="false">
      <c r="A218" s="7"/>
      <c r="B218" s="25" t="n">
        <v>6</v>
      </c>
      <c r="C218" s="11" t="n">
        <f aca="false">(ABS(C10-E10)/C10)*100</f>
        <v>99.9372056514914</v>
      </c>
      <c r="D218" s="25" t="n">
        <f aca="false">(ABS(D10-F10)/D10)*100</f>
        <v>11.0463300364394</v>
      </c>
      <c r="E218" s="24"/>
      <c r="F218" s="25" t="n">
        <f aca="false">(ABS(C10-G10)/C10)*100</f>
        <v>0.0188383045525903</v>
      </c>
      <c r="G218" s="25" t="n">
        <f aca="false">(ABS(D10-H10)/D10)*100</f>
        <v>0.00208224882873503</v>
      </c>
      <c r="H218" s="24"/>
    </row>
    <row r="219" customFormat="false" ht="15" hidden="false" customHeight="false" outlineLevel="0" collapsed="false">
      <c r="A219" s="7"/>
      <c r="B219" s="25" t="n">
        <v>7</v>
      </c>
      <c r="C219" s="11" t="n">
        <f aca="false">(ABS(C11-E11)/C11)*100</f>
        <v>99.9937205651491</v>
      </c>
      <c r="D219" s="25" t="n">
        <f aca="false">(ABS(D11-F11)/D11)*100</f>
        <v>11.0525767829256</v>
      </c>
      <c r="E219" s="24"/>
      <c r="F219" s="25" t="n">
        <f aca="false">(ABS(C11-G11)/C11)*100</f>
        <v>0.0251177394034537</v>
      </c>
      <c r="G219" s="25" t="n">
        <f aca="false">(ABS(D11-H11)/D11)*100</f>
        <v>0.00277633177164671</v>
      </c>
      <c r="H219" s="24"/>
    </row>
    <row r="220" customFormat="false" ht="15" hidden="false" customHeight="false" outlineLevel="0" collapsed="false">
      <c r="A220" s="7"/>
      <c r="B220" s="25" t="n">
        <v>8</v>
      </c>
      <c r="C220" s="11" t="n">
        <f aca="false">(ABS(C12-E12)/C12)*100</f>
        <v>99.956043956044</v>
      </c>
      <c r="D220" s="25" t="n">
        <f aca="false">(ABS(D12-F12)/D12)*100</f>
        <v>11.0484122852681</v>
      </c>
      <c r="E220" s="24"/>
      <c r="F220" s="25" t="n">
        <f aca="false">(ABS(C12-G12)/C12)*100</f>
        <v>0.0125588697017268</v>
      </c>
      <c r="G220" s="25" t="n">
        <f aca="false">(ABS(D12-H12)/D12)*100</f>
        <v>0.00138816588582336</v>
      </c>
      <c r="H220" s="24"/>
    </row>
    <row r="221" customFormat="false" ht="15" hidden="false" customHeight="false" outlineLevel="0" collapsed="false">
      <c r="A221" s="7"/>
      <c r="B221" s="25" t="n">
        <v>9</v>
      </c>
      <c r="C221" s="11" t="n">
        <f aca="false">(ABS(C13-E13)/C13)*100</f>
        <v>100</v>
      </c>
      <c r="D221" s="25" t="n">
        <f aca="false">(ABS(D13-F13)/D13)*100</f>
        <v>11.0532708658685</v>
      </c>
      <c r="E221" s="24"/>
      <c r="F221" s="25" t="n">
        <f aca="false">(ABS(C13-G13)/C13)*100</f>
        <v>0.0125588697017268</v>
      </c>
      <c r="G221" s="25" t="n">
        <f aca="false">(ABS(D13-H13)/D13)*100</f>
        <v>0.00138816588582336</v>
      </c>
      <c r="H221" s="24"/>
    </row>
    <row r="222" customFormat="false" ht="15" hidden="false" customHeight="false" outlineLevel="0" collapsed="false">
      <c r="A222" s="7"/>
      <c r="B222" s="25" t="n">
        <v>10</v>
      </c>
      <c r="C222" s="11" t="n">
        <f aca="false">(ABS(C14-E14)/C14)*100</f>
        <v>99.8304446119066</v>
      </c>
      <c r="D222" s="25" t="n">
        <f aca="false">(ABS(D14-F14)/D14)*100</f>
        <v>11.0337599600211</v>
      </c>
      <c r="E222" s="24"/>
      <c r="F222" s="25" t="n">
        <f aca="false">(ABS(C14-G14)/C14)*100</f>
        <v>0.0188394875659382</v>
      </c>
      <c r="G222" s="25" t="n">
        <f aca="false">(ABS(D14-H14)/D14)*100</f>
        <v>0.0020822343763014</v>
      </c>
      <c r="H222" s="24"/>
    </row>
    <row r="223" customFormat="false" ht="15" hidden="false" customHeight="false" outlineLevel="0" collapsed="false">
      <c r="A223" s="7"/>
      <c r="B223" s="25" t="n">
        <v>11</v>
      </c>
      <c r="C223" s="11" t="n">
        <f aca="false">(ABS(C15-E15)/C15)*100</f>
        <v>99.8367346938776</v>
      </c>
      <c r="D223" s="25" t="n">
        <f aca="false">(ABS(D15-F15)/D15)*100</f>
        <v>11.0352247093528</v>
      </c>
      <c r="E223" s="24"/>
      <c r="F223" s="25" t="n">
        <f aca="false">(ABS(C15-G15)/C15)*100</f>
        <v>0.0188383045525903</v>
      </c>
      <c r="G223" s="25" t="n">
        <f aca="false">(ABS(D15-H15)/D15)*100</f>
        <v>0.00208224882873503</v>
      </c>
      <c r="H223" s="24"/>
    </row>
    <row r="224" customFormat="false" ht="15" hidden="false" customHeight="false" outlineLevel="0" collapsed="false">
      <c r="A224" s="7"/>
      <c r="B224" s="25" t="n">
        <v>12</v>
      </c>
      <c r="C224" s="11" t="n">
        <f aca="false">(ABS(C16-E16)/C16)*100</f>
        <v>99.5101733232856</v>
      </c>
      <c r="D224" s="25" t="n">
        <f aca="false">(ABS(D16-F16)/D16)*100</f>
        <v>10.998361975624</v>
      </c>
      <c r="E224" s="24"/>
      <c r="F224" s="25" t="n">
        <f aca="false">(ABS(C16-G16)/C16)*100</f>
        <v>0.0188394875659382</v>
      </c>
      <c r="G224" s="25" t="n">
        <f aca="false">(ABS(D16-H16)/D16)*100</f>
        <v>0.0020822343763014</v>
      </c>
      <c r="H224" s="24"/>
    </row>
    <row r="225" customFormat="false" ht="15" hidden="false" customHeight="false" outlineLevel="0" collapsed="false">
      <c r="A225" s="7"/>
      <c r="B225" s="25" t="n">
        <v>13</v>
      </c>
      <c r="C225" s="11" t="n">
        <f aca="false">(ABS(C17-E17)/C17)*100</f>
        <v>99.3218210361068</v>
      </c>
      <c r="D225" s="25" t="n">
        <f aca="false">(ABS(D17-F17)/D17)*100</f>
        <v>10.978309908034</v>
      </c>
      <c r="E225" s="24"/>
      <c r="F225" s="25" t="n">
        <f aca="false">(ABS(C17-G17)/C17)*100</f>
        <v>0.0125588697017268</v>
      </c>
      <c r="G225" s="25" t="n">
        <f aca="false">(ABS(D17-H17)/D17)*100</f>
        <v>0.00138816588582336</v>
      </c>
      <c r="H225" s="24"/>
    </row>
    <row r="226" customFormat="false" ht="15" hidden="false" customHeight="false" outlineLevel="0" collapsed="false">
      <c r="A226" s="7"/>
      <c r="B226" s="25" t="n">
        <v>14</v>
      </c>
      <c r="C226" s="11" t="n">
        <f aca="false">(ABS(C18-E18)/C18)*100</f>
        <v>99.8241758241758</v>
      </c>
      <c r="D226" s="25" t="n">
        <f aca="false">(ABS(D18-F18)/D18)*100</f>
        <v>11.0338365434669</v>
      </c>
      <c r="E226" s="24"/>
      <c r="F226" s="25" t="n">
        <f aca="false">(ABS(C18-G18)/C18)*100</f>
        <v>0.0125588697017268</v>
      </c>
      <c r="G226" s="25" t="n">
        <f aca="false">(ABS(D18-H18)/D18)*100</f>
        <v>0.00138816588582336</v>
      </c>
      <c r="H226" s="24"/>
    </row>
    <row r="227" customFormat="false" ht="15" hidden="false" customHeight="false" outlineLevel="0" collapsed="false">
      <c r="A227" s="7"/>
      <c r="B227" s="25" t="n">
        <v>15</v>
      </c>
      <c r="C227" s="11" t="n">
        <f aca="false">(ABS(C19-E19)/C19)*100</f>
        <v>99.9560411956795</v>
      </c>
      <c r="D227" s="25" t="n">
        <f aca="false">(ABS(D19-F19)/D19)*100</f>
        <v>11.0476415225298</v>
      </c>
      <c r="E227" s="24"/>
      <c r="F227" s="25" t="n">
        <f aca="false">(ABS(C19-G19)/C19)*100</f>
        <v>0.00627982918864607</v>
      </c>
      <c r="G227" s="25" t="n">
        <f aca="false">(ABS(D19-H19)/D19)*100</f>
        <v>0.000694078125433799</v>
      </c>
      <c r="H227" s="24"/>
    </row>
    <row r="228" customFormat="false" ht="15" hidden="false" customHeight="false" outlineLevel="0" collapsed="false">
      <c r="A228" s="7"/>
      <c r="B228" s="25" t="n">
        <v>16</v>
      </c>
      <c r="C228" s="11" t="n">
        <f aca="false">(ABS(C20-E20)/C20)*100</f>
        <v>95.5413212760613</v>
      </c>
      <c r="D228" s="25" t="n">
        <f aca="false">(ABS(D20-F20)/D20)*100</f>
        <v>10.5597046003498</v>
      </c>
      <c r="E228" s="24"/>
      <c r="F228" s="25" t="n">
        <f aca="false">(ABS(C20-G20)/C20)*100</f>
        <v>0</v>
      </c>
      <c r="G228" s="25" t="n">
        <f aca="false">(ABS(D20-H20)/D20)*100</f>
        <v>0</v>
      </c>
      <c r="H228" s="24"/>
    </row>
    <row r="229" customFormat="false" ht="15" hidden="false" customHeight="false" outlineLevel="0" collapsed="false">
      <c r="A229" s="7"/>
      <c r="B229" s="25" t="n">
        <v>17</v>
      </c>
      <c r="C229" s="11" t="n">
        <f aca="false">(ABS(C21-E21)/C21)*100</f>
        <v>97.6452119309262</v>
      </c>
      <c r="D229" s="25" t="n">
        <f aca="false">(ABS(D21-F21)/D21)*100</f>
        <v>10.7929897622766</v>
      </c>
      <c r="E229" s="24"/>
      <c r="F229" s="25" t="n">
        <f aca="false">(ABS(C21-G21)/C21)*100</f>
        <v>0</v>
      </c>
      <c r="G229" s="25" t="n">
        <f aca="false">(ABS(D21-H21)/D21)*100</f>
        <v>0</v>
      </c>
      <c r="H229" s="24"/>
    </row>
    <row r="230" customFormat="false" ht="15" hidden="false" customHeight="false" outlineLevel="0" collapsed="false">
      <c r="A230" s="7"/>
      <c r="B230" s="25" t="n">
        <v>18</v>
      </c>
      <c r="C230" s="11" t="n">
        <f aca="false">(ABS(C22-E22)/C22)*100</f>
        <v>99.786485807586</v>
      </c>
      <c r="D230" s="25" t="n">
        <f aca="false">(ABS(D22-F22)/D22)*100</f>
        <v>11.0289014131431</v>
      </c>
      <c r="E230" s="24"/>
      <c r="F230" s="25" t="n">
        <f aca="false">(ABS(C22-G22)/C22)*100</f>
        <v>0</v>
      </c>
      <c r="G230" s="25" t="n">
        <f aca="false">(ABS(D22-H22)/D22)*100</f>
        <v>0</v>
      </c>
      <c r="H230" s="24"/>
    </row>
    <row r="231" customFormat="false" ht="15" hidden="false" customHeight="false" outlineLevel="0" collapsed="false">
      <c r="A231" s="7"/>
      <c r="B231" s="25" t="n">
        <v>19</v>
      </c>
      <c r="C231" s="11" t="n">
        <f aca="false">(ABS(C23-E23)/C23)*100</f>
        <v>99.6420497362472</v>
      </c>
      <c r="D231" s="25" t="n">
        <f aca="false">(ABS(D23-F23)/D23)*100</f>
        <v>11.0129376162581</v>
      </c>
      <c r="E231" s="24"/>
      <c r="F231" s="25" t="n">
        <f aca="false">(ABS(C23-G23)/C23)*100</f>
        <v>0</v>
      </c>
      <c r="G231" s="25" t="n">
        <f aca="false">(ABS(D23-H23)/D23)*100</f>
        <v>0</v>
      </c>
      <c r="H231" s="24"/>
    </row>
    <row r="232" customFormat="false" ht="15" hidden="false" customHeight="false" outlineLevel="0" collapsed="false">
      <c r="A232" s="7"/>
      <c r="B232" s="25" t="n">
        <v>20</v>
      </c>
      <c r="C232" s="11" t="n">
        <f aca="false">(ABS(C24-E24)/C24)*100</f>
        <v>99.9686028257457</v>
      </c>
      <c r="D232" s="25" t="n">
        <f aca="false">(ABS(D24-F24)/D24)*100</f>
        <v>11.0498004511539</v>
      </c>
      <c r="E232" s="24"/>
      <c r="F232" s="25" t="n">
        <f aca="false">(ABS(C24-G24)/C24)*100</f>
        <v>0</v>
      </c>
      <c r="G232" s="25" t="n">
        <f aca="false">(ABS(D24-H24)/D24)*100</f>
        <v>0</v>
      </c>
      <c r="H232" s="24"/>
    </row>
    <row r="233" customFormat="false" ht="15" hidden="false" customHeight="false" outlineLevel="0" collapsed="false">
      <c r="A233" s="7"/>
      <c r="B233" s="25" t="n">
        <v>21</v>
      </c>
      <c r="C233" s="11" t="n">
        <f aca="false">(ABS(C25-E25)/C25)*100</f>
        <v>92.458398744113</v>
      </c>
      <c r="D233" s="25" t="n">
        <f aca="false">(ABS(D25-F25)/D25)*100</f>
        <v>10.2196772514315</v>
      </c>
      <c r="E233" s="24"/>
      <c r="F233" s="25" t="n">
        <f aca="false">(ABS(C25-G25)/C25)*100</f>
        <v>0</v>
      </c>
      <c r="G233" s="25" t="n">
        <f aca="false">(ABS(D25-H25)/D25)*100</f>
        <v>0</v>
      </c>
      <c r="H233" s="24"/>
    </row>
    <row r="234" customFormat="false" ht="15" hidden="false" customHeight="false" outlineLevel="0" collapsed="false">
      <c r="A234" s="7"/>
      <c r="B234" s="25" t="n">
        <v>22</v>
      </c>
      <c r="C234" s="11" t="n">
        <f aca="false">(ABS(C26-E26)/C26)*100</f>
        <v>90.6499215070644</v>
      </c>
      <c r="D234" s="25" t="n">
        <f aca="false">(ABS(D26-F26)/D26)*100</f>
        <v>10.019781363873</v>
      </c>
      <c r="E234" s="24"/>
      <c r="F234" s="25" t="n">
        <f aca="false">(ABS(C26-G26)/C26)*100</f>
        <v>0.0251177394034537</v>
      </c>
      <c r="G234" s="25" t="n">
        <f aca="false">(ABS(D26-H26)/D26)*100</f>
        <v>0.00277633177164671</v>
      </c>
      <c r="H234" s="24"/>
    </row>
    <row r="235" customFormat="false" ht="15" hidden="false" customHeight="false" outlineLevel="0" collapsed="false">
      <c r="A235" s="7"/>
      <c r="B235" s="25" t="n">
        <v>23</v>
      </c>
      <c r="C235" s="11" t="n">
        <f aca="false">(ABS(C27-E27)/C27)*100</f>
        <v>95.5981161695447</v>
      </c>
      <c r="D235" s="25" t="n">
        <f aca="false">(ABS(D27-F27)/D27)*100</f>
        <v>10.5667187228874</v>
      </c>
      <c r="E235" s="24"/>
      <c r="F235" s="25" t="n">
        <f aca="false">(ABS(C27-G27)/C27)*100</f>
        <v>0</v>
      </c>
      <c r="G235" s="25" t="n">
        <f aca="false">(ABS(D27-H27)/D27)*100</f>
        <v>0</v>
      </c>
      <c r="H235" s="24"/>
    </row>
    <row r="236" customFormat="false" ht="15" hidden="false" customHeight="false" outlineLevel="0" collapsed="false">
      <c r="A236" s="7"/>
      <c r="B236" s="25" t="n">
        <v>24</v>
      </c>
      <c r="C236" s="11" t="n">
        <f aca="false">(ABS(C28-E28)/C28)*100</f>
        <v>90.116169544741</v>
      </c>
      <c r="D236" s="25" t="n">
        <f aca="false">(ABS(D28-F28)/D28)*100</f>
        <v>9.96078431372549</v>
      </c>
      <c r="E236" s="24"/>
      <c r="F236" s="25" t="n">
        <f aca="false">(ABS(C28-G28)/C28)*100</f>
        <v>0</v>
      </c>
      <c r="G236" s="25" t="n">
        <f aca="false">(ABS(D28-H28)/D28)*100</f>
        <v>0</v>
      </c>
      <c r="H236" s="24"/>
    </row>
    <row r="237" customFormat="false" ht="15" hidden="false" customHeight="false" outlineLevel="0" collapsed="false">
      <c r="A237" s="7"/>
      <c r="B237" s="25" t="n">
        <v>25</v>
      </c>
      <c r="C237" s="11" t="n">
        <f aca="false">(ABS(C29-E29)/C29)*100</f>
        <v>85.2370486656201</v>
      </c>
      <c r="D237" s="25" t="n">
        <f aca="false">(ABS(D29-F29)/D29)*100</f>
        <v>9.42148186708312</v>
      </c>
      <c r="E237" s="24"/>
      <c r="F237" s="25" t="n">
        <f aca="false">(ABS(C29-G29)/C29)*100</f>
        <v>0</v>
      </c>
      <c r="G237" s="25" t="n">
        <f aca="false">(ABS(D29-H29)/D29)*100</f>
        <v>0</v>
      </c>
      <c r="H237" s="24"/>
    </row>
    <row r="238" customFormat="false" ht="15" hidden="false" customHeight="false" outlineLevel="0" collapsed="false">
      <c r="A238" s="7"/>
      <c r="B238" s="25" t="n">
        <v>26</v>
      </c>
      <c r="C238" s="11" t="n">
        <f aca="false">(ABS(C30-E30)/C30)*100</f>
        <v>99.5981161695447</v>
      </c>
      <c r="D238" s="25" t="n">
        <f aca="false">(ABS(D30-F30)/D30)*100</f>
        <v>11.0088495575221</v>
      </c>
      <c r="E238" s="24"/>
      <c r="F238" s="25" t="n">
        <f aca="false">(ABS(C30-G30)/C30)*100</f>
        <v>0</v>
      </c>
      <c r="G238" s="25" t="n">
        <f aca="false">(ABS(D30-H30)/D30)*100</f>
        <v>0</v>
      </c>
      <c r="H238" s="24"/>
    </row>
    <row r="239" customFormat="false" ht="15" hidden="false" customHeight="false" outlineLevel="0" collapsed="false">
      <c r="A239" s="7"/>
      <c r="B239" s="25" t="n">
        <v>27</v>
      </c>
      <c r="C239" s="11" t="n">
        <f aca="false">(ABS(C31-E31)/C31)*100</f>
        <v>98.894819466248</v>
      </c>
      <c r="D239" s="25" t="n">
        <f aca="false">(ABS(D31-F31)/D31)*100</f>
        <v>10.931112267916</v>
      </c>
      <c r="E239" s="24"/>
      <c r="F239" s="25" t="n">
        <f aca="false">(ABS(C31-G31)/C31)*100</f>
        <v>0</v>
      </c>
      <c r="G239" s="25" t="n">
        <f aca="false">(ABS(D31-H31)/D31)*100</f>
        <v>0</v>
      </c>
      <c r="H239" s="24"/>
    </row>
    <row r="240" customFormat="false" ht="15" hidden="false" customHeight="false" outlineLevel="0" collapsed="false">
      <c r="A240" s="7"/>
      <c r="B240" s="25" t="n">
        <v>28</v>
      </c>
      <c r="C240" s="11" t="n">
        <f aca="false">(ABS(C32-E32)/C32)*100</f>
        <v>99.9309262166405</v>
      </c>
      <c r="D240" s="25" t="n">
        <f aca="false">(ABS(D32-F32)/D32)*100</f>
        <v>11.0456359534964</v>
      </c>
      <c r="E240" s="24"/>
      <c r="F240" s="25" t="n">
        <f aca="false">(ABS(C32-G32)/C32)*100</f>
        <v>0</v>
      </c>
      <c r="G240" s="25" t="n">
        <f aca="false">(ABS(D32-H32)/D32)*100</f>
        <v>0</v>
      </c>
      <c r="H240" s="24"/>
    </row>
    <row r="241" customFormat="false" ht="15" hidden="false" customHeight="false" outlineLevel="0" collapsed="false">
      <c r="A241" s="7"/>
      <c r="B241" s="25" t="n">
        <v>29</v>
      </c>
      <c r="C241" s="11" t="n">
        <f aca="false">(ABS(C33-E33)/C33)*100</f>
        <v>99.8618437578498</v>
      </c>
      <c r="D241" s="25" t="n">
        <f aca="false">(ABS(D33-F33)/D33)*100</f>
        <v>11.0372303506483</v>
      </c>
      <c r="E241" s="24"/>
      <c r="F241" s="25" t="n">
        <f aca="false">(ABS(C33-G33)/C33)*100</f>
        <v>0</v>
      </c>
      <c r="G241" s="25" t="n">
        <f aca="false">(ABS(D33-H33)/D33)*100</f>
        <v>0</v>
      </c>
      <c r="H241" s="24"/>
    </row>
    <row r="242" customFormat="false" ht="15" hidden="false" customHeight="false" outlineLevel="0" collapsed="false">
      <c r="A242" s="7"/>
      <c r="B242" s="25" t="n">
        <v>30</v>
      </c>
      <c r="C242" s="11" t="n">
        <f aca="false">(ABS(C34-E34)/C34)*100</f>
        <v>98.7880690737834</v>
      </c>
      <c r="D242" s="25" t="n">
        <f aca="false">(ABS(D34-F34)/D34)*100</f>
        <v>10.9193128578865</v>
      </c>
      <c r="E242" s="24"/>
      <c r="F242" s="25" t="n">
        <f aca="false">(ABS(C34-G34)/C34)*100</f>
        <v>0.0125588697017268</v>
      </c>
      <c r="G242" s="25" t="n">
        <f aca="false">(ABS(D34-H34)/D34)*100</f>
        <v>0.00138816588582336</v>
      </c>
      <c r="H242" s="24"/>
    </row>
    <row r="243" customFormat="false" ht="15" hidden="false" customHeight="false" outlineLevel="0" collapsed="false">
      <c r="A243" s="7"/>
      <c r="B243" s="25" t="n">
        <v>31</v>
      </c>
      <c r="C243" s="11" t="n">
        <f aca="false">(ABS(C35-E35)/C35)*100</f>
        <v>99.905808477237</v>
      </c>
      <c r="D243" s="25" t="n">
        <f aca="false">(ABS(D35-F35)/D35)*100</f>
        <v>11.0428596217248</v>
      </c>
      <c r="E243" s="24"/>
      <c r="F243" s="25" t="n">
        <f aca="false">(ABS(C35-G35)/C35)*100</f>
        <v>0.00627943485086342</v>
      </c>
      <c r="G243" s="25" t="n">
        <f aca="false">(ABS(D35-H35)/D35)*100</f>
        <v>0.000694082942911678</v>
      </c>
      <c r="H243" s="24"/>
    </row>
    <row r="244" customFormat="false" ht="15" hidden="false" customHeight="false" outlineLevel="0" collapsed="false">
      <c r="A244" s="7"/>
      <c r="B244" s="25" t="n">
        <v>32</v>
      </c>
      <c r="C244" s="11" t="n">
        <f aca="false">(ABS(C36-E36)/C36)*100</f>
        <v>99.8744113029827</v>
      </c>
      <c r="D244" s="25" t="n">
        <f aca="false">(ABS(D36-F36)/D36)*100</f>
        <v>11.0393892070102</v>
      </c>
      <c r="E244" s="24"/>
      <c r="F244" s="25" t="n">
        <f aca="false">(ABS(C36-G36)/C36)*100</f>
        <v>0.00627943485086342</v>
      </c>
      <c r="G244" s="25" t="n">
        <f aca="false">(ABS(D36-H36)/D36)*100</f>
        <v>0.000694082942911678</v>
      </c>
      <c r="H244" s="24"/>
    </row>
    <row r="245" customFormat="false" ht="15" hidden="false" customHeight="false" outlineLevel="0" collapsed="false">
      <c r="A245" s="7"/>
      <c r="B245" s="25" t="n">
        <v>33</v>
      </c>
      <c r="C245" s="11" t="n">
        <f aca="false">(ABS(C37-E37)/C37)*100</f>
        <v>93.3626373626374</v>
      </c>
      <c r="D245" s="25" t="n">
        <f aca="false">(ABS(D37-F37)/D37)*100</f>
        <v>10.3196251952108</v>
      </c>
      <c r="E245" s="24"/>
      <c r="F245" s="25" t="n">
        <f aca="false">(ABS(C37-G37)/C37)*100</f>
        <v>0.00627943485086342</v>
      </c>
      <c r="G245" s="25" t="n">
        <f aca="false">(ABS(D37-H37)/D37)*100</f>
        <v>0.000694082942911678</v>
      </c>
      <c r="H245" s="24"/>
    </row>
    <row r="246" customFormat="false" ht="15" hidden="false" customHeight="false" outlineLevel="0" collapsed="false">
      <c r="A246" s="7"/>
      <c r="B246" s="25" t="n">
        <v>34</v>
      </c>
      <c r="C246" s="11" t="n">
        <f aca="false">(ABS(C38-E38)/C38)*100</f>
        <v>98.712715855573</v>
      </c>
      <c r="D246" s="25" t="n">
        <f aca="false">(ABS(D38-F38)/D38)*100</f>
        <v>10.9109838625716</v>
      </c>
      <c r="E246" s="24"/>
      <c r="F246" s="25" t="n">
        <f aca="false">(ABS(C38-G38)/C38)*100</f>
        <v>0.00627943485086342</v>
      </c>
      <c r="G246" s="25" t="n">
        <f aca="false">(ABS(D38-H38)/D38)*100</f>
        <v>0.000694082942911678</v>
      </c>
      <c r="H246" s="24"/>
    </row>
    <row r="247" customFormat="false" ht="15" hidden="false" customHeight="false" outlineLevel="0" collapsed="false">
      <c r="A247" s="7"/>
      <c r="B247" s="25" t="n">
        <v>35</v>
      </c>
      <c r="C247" s="11" t="n">
        <f aca="false">(ABS(C39-E39)/C39)*100</f>
        <v>99.9120879120879</v>
      </c>
      <c r="D247" s="25" t="n">
        <f aca="false">(ABS(D39-F39)/D39)*100</f>
        <v>11.0435537046677</v>
      </c>
      <c r="E247" s="24"/>
      <c r="F247" s="25" t="n">
        <f aca="false">(ABS(C39-G39)/C39)*100</f>
        <v>0.00627943485086342</v>
      </c>
      <c r="G247" s="25" t="n">
        <f aca="false">(ABS(D39-H39)/D39)*100</f>
        <v>0.000694082942911678</v>
      </c>
      <c r="H247" s="24"/>
    </row>
    <row r="248" customFormat="false" ht="15" hidden="false" customHeight="false" outlineLevel="0" collapsed="false">
      <c r="A248" s="7"/>
      <c r="B248" s="25" t="n">
        <v>36</v>
      </c>
      <c r="C248" s="11" t="n">
        <f aca="false">(ABS(C40-E40)/C40)*100</f>
        <v>95.723704866562</v>
      </c>
      <c r="D248" s="25" t="n">
        <f aca="false">(ABS(D40-F40)/D40)*100</f>
        <v>10.5806003817456</v>
      </c>
      <c r="E248" s="24"/>
      <c r="F248" s="25" t="n">
        <f aca="false">(ABS(C40-G40)/C40)*100</f>
        <v>0.00627943485086342</v>
      </c>
      <c r="G248" s="25" t="n">
        <f aca="false">(ABS(D40-H40)/D40)*100</f>
        <v>0.000694082942911678</v>
      </c>
      <c r="H248" s="24"/>
    </row>
    <row r="249" customFormat="false" ht="15" hidden="false" customHeight="false" outlineLevel="0" collapsed="false">
      <c r="A249" s="7"/>
      <c r="B249" s="25" t="n">
        <v>37</v>
      </c>
      <c r="C249" s="11" t="n">
        <f aca="false">(ABS(C41-E41)/C41)*100</f>
        <v>93.8594838952722</v>
      </c>
      <c r="D249" s="25" t="n">
        <f aca="false">(ABS(D41-F41)/D41)*100</f>
        <v>10.3759899495395</v>
      </c>
      <c r="E249" s="24"/>
      <c r="F249" s="25" t="n">
        <f aca="false">(ABS(C41-G41)/C41)*100</f>
        <v>0.0251145852954103</v>
      </c>
      <c r="G249" s="25" t="n">
        <f aca="false">(ABS(D41-H41)/D41)*100</f>
        <v>0.00277637031227225</v>
      </c>
      <c r="H249" s="24"/>
    </row>
    <row r="250" customFormat="false" ht="15" hidden="false" customHeight="false" outlineLevel="0" collapsed="false">
      <c r="A250" s="7"/>
      <c r="B250" s="25" t="n">
        <v>38</v>
      </c>
      <c r="C250" s="11" t="n">
        <f aca="false">(ABS(C42-E42)/C42)*100</f>
        <v>99.5604395604396</v>
      </c>
      <c r="D250" s="25" t="n">
        <f aca="false">(ABS(D42-F42)/D42)*100</f>
        <v>11.0046850598647</v>
      </c>
      <c r="E250" s="24"/>
      <c r="F250" s="25" t="n">
        <f aca="false">(ABS(C42-G42)/C42)*100</f>
        <v>0.00627943485086342</v>
      </c>
      <c r="G250" s="25" t="n">
        <f aca="false">(ABS(D42-H42)/D42)*100</f>
        <v>0.000694082942911678</v>
      </c>
      <c r="H250" s="24"/>
    </row>
    <row r="251" customFormat="false" ht="15" hidden="false" customHeight="false" outlineLevel="0" collapsed="false">
      <c r="A251" s="7"/>
      <c r="B251" s="25" t="n">
        <v>39</v>
      </c>
      <c r="C251" s="11" t="n">
        <f aca="false">(ABS(C43-E43)/C43)*100</f>
        <v>99.9183673469388</v>
      </c>
      <c r="D251" s="25" t="n">
        <f aca="false">(ABS(D43-F43)/D43)*100</f>
        <v>11.0442477876106</v>
      </c>
      <c r="E251" s="24"/>
      <c r="F251" s="25" t="n">
        <f aca="false">(ABS(C43-G43)/C43)*100</f>
        <v>0.00627943485086342</v>
      </c>
      <c r="G251" s="25" t="n">
        <f aca="false">(ABS(D43-H43)/D43)*100</f>
        <v>0.000694082942911678</v>
      </c>
      <c r="H251" s="24"/>
    </row>
    <row r="252" customFormat="false" ht="15" hidden="false" customHeight="false" outlineLevel="0" collapsed="false">
      <c r="A252" s="7"/>
      <c r="B252" s="25" t="n">
        <v>40</v>
      </c>
      <c r="C252" s="11" t="n">
        <f aca="false">(ABS(C44-E44)/C44)*100</f>
        <v>99.0266875981162</v>
      </c>
      <c r="D252" s="25" t="n">
        <f aca="false">(ABS(D44-F44)/D44)*100</f>
        <v>10.9456880097172</v>
      </c>
      <c r="E252" s="24"/>
      <c r="F252" s="25" t="n">
        <f aca="false">(ABS(C44-G44)/C44)*100</f>
        <v>0.00627943485086342</v>
      </c>
      <c r="G252" s="25" t="n">
        <f aca="false">(ABS(D44-H44)/D44)*100</f>
        <v>0.000694082942911678</v>
      </c>
      <c r="H252" s="24"/>
    </row>
    <row r="253" customFormat="false" ht="15" hidden="false" customHeight="false" outlineLevel="0" collapsed="false">
      <c r="A253" s="7"/>
      <c r="B253" s="25" t="n">
        <v>41</v>
      </c>
      <c r="C253" s="11" t="n">
        <f aca="false">(ABS(C45-E45)/C45)*100</f>
        <v>99.8869630746044</v>
      </c>
      <c r="D253" s="25" t="n">
        <f aca="false">(ABS(D45-F45)/D45)*100</f>
        <v>11.04000666315</v>
      </c>
      <c r="E253" s="24"/>
      <c r="F253" s="25" t="n">
        <f aca="false">(ABS(C45-G45)/C45)*100</f>
        <v>0.0125596583772921</v>
      </c>
      <c r="G253" s="25" t="n">
        <f aca="false">(ABS(D45-H45)/D45)*100</f>
        <v>0.0013881562508676</v>
      </c>
      <c r="H253" s="24"/>
    </row>
    <row r="254" customFormat="false" ht="15" hidden="false" customHeight="false" outlineLevel="0" collapsed="false">
      <c r="A254" s="7"/>
      <c r="B254" s="25" t="n">
        <v>42</v>
      </c>
      <c r="C254" s="11" t="n">
        <f aca="false">(ABS(C46-E46)/C46)*100</f>
        <v>99.9811616954474</v>
      </c>
      <c r="D254" s="25" t="n">
        <f aca="false">(ABS(D46-F46)/D46)*100</f>
        <v>11.0511886170397</v>
      </c>
      <c r="E254" s="24"/>
      <c r="F254" s="25" t="n">
        <f aca="false">(ABS(C46-G46)/C46)*100</f>
        <v>0.0188383045525903</v>
      </c>
      <c r="G254" s="25" t="n">
        <f aca="false">(ABS(D46-H46)/D46)*100</f>
        <v>0.00208224882873503</v>
      </c>
      <c r="H254" s="24"/>
    </row>
    <row r="255" customFormat="false" ht="15" hidden="false" customHeight="false" outlineLevel="0" collapsed="false">
      <c r="A255" s="7"/>
      <c r="B255" s="25" t="n">
        <v>43</v>
      </c>
      <c r="C255" s="11" t="n">
        <f aca="false">(ABS(C47-E47)/C47)*100</f>
        <v>99.9434850863422</v>
      </c>
      <c r="D255" s="25" t="n">
        <f aca="false">(ABS(D47-F47)/D47)*100</f>
        <v>11.0470241193823</v>
      </c>
      <c r="E255" s="24"/>
      <c r="F255" s="25" t="n">
        <f aca="false">(ABS(C47-G47)/C47)*100</f>
        <v>0.0188383045525903</v>
      </c>
      <c r="G255" s="25" t="n">
        <f aca="false">(ABS(D47-H47)/D47)*100</f>
        <v>0.00208224882873503</v>
      </c>
      <c r="H255" s="24"/>
    </row>
    <row r="256" customFormat="false" ht="15" hidden="false" customHeight="false" outlineLevel="0" collapsed="false">
      <c r="A256" s="7"/>
      <c r="B256" s="25" t="n">
        <v>44</v>
      </c>
      <c r="C256" s="11" t="n">
        <f aca="false">(ABS(C48-E48)/C48)*100</f>
        <v>99.9748822605965</v>
      </c>
      <c r="D256" s="25" t="n">
        <f aca="false">(ABS(D48-F48)/D48)*100</f>
        <v>11.0504945340968</v>
      </c>
      <c r="E256" s="24"/>
      <c r="F256" s="25" t="n">
        <f aca="false">(ABS(C48-G48)/C48)*100</f>
        <v>0.0188383045525903</v>
      </c>
      <c r="G256" s="25" t="n">
        <f aca="false">(ABS(D48-H48)/D48)*100</f>
        <v>0.00208224882873503</v>
      </c>
      <c r="H256" s="24"/>
    </row>
    <row r="257" customFormat="false" ht="15" hidden="false" customHeight="false" outlineLevel="0" collapsed="false">
      <c r="A257" s="7"/>
      <c r="B257" s="25" t="n">
        <v>45</v>
      </c>
      <c r="C257" s="11" t="n">
        <f aca="false">(ABS(C49-E49)/C49)*100</f>
        <v>95.4722431549862</v>
      </c>
      <c r="D257" s="25" t="n">
        <f aca="false">(ABS(D49-F49)/D49)*100</f>
        <v>10.55206974097</v>
      </c>
      <c r="E257" s="24"/>
      <c r="F257" s="25" t="n">
        <f aca="false">(ABS(C49-G49)/C49)*100</f>
        <v>0.0313991459432303</v>
      </c>
      <c r="G257" s="25" t="n">
        <f aca="false">(ABS(D49-H49)/D49)*100</f>
        <v>0.00347039062716899</v>
      </c>
      <c r="H257" s="24"/>
    </row>
    <row r="258" customFormat="false" ht="15" hidden="false" customHeight="false" outlineLevel="0" collapsed="false">
      <c r="A258" s="7"/>
      <c r="B258" s="25" t="n">
        <v>46</v>
      </c>
      <c r="C258" s="11" t="n">
        <f aca="false">(ABS(C50-E50)/C50)*100</f>
        <v>99.6169544740973</v>
      </c>
      <c r="D258" s="25" t="n">
        <f aca="false">(ABS(D50-F50)/D50)*100</f>
        <v>11.0109318063509</v>
      </c>
      <c r="E258" s="24"/>
      <c r="F258" s="25" t="n">
        <f aca="false">(ABS(C50-G50)/C50)*100</f>
        <v>0.0251177394034537</v>
      </c>
      <c r="G258" s="25" t="n">
        <f aca="false">(ABS(D50-H50)/D50)*100</f>
        <v>0.00277633177164671</v>
      </c>
      <c r="H258" s="24"/>
    </row>
    <row r="259" customFormat="false" ht="15" hidden="false" customHeight="false" outlineLevel="0" collapsed="false">
      <c r="A259" s="7"/>
      <c r="B259" s="25" t="n">
        <v>47</v>
      </c>
      <c r="C259" s="11" t="n">
        <f aca="false">(ABS(C51-E51)/C51)*100</f>
        <v>99.9686028257457</v>
      </c>
      <c r="D259" s="25" t="n">
        <f aca="false">(ABS(D51-F51)/D51)*100</f>
        <v>11.0498004511539</v>
      </c>
      <c r="E259" s="24"/>
      <c r="F259" s="25" t="n">
        <f aca="false">(ABS(C51-G51)/C51)*100</f>
        <v>0.0251177394034537</v>
      </c>
      <c r="G259" s="25" t="n">
        <f aca="false">(ABS(D51-H51)/D51)*100</f>
        <v>0.00277633177164671</v>
      </c>
      <c r="H259" s="24"/>
    </row>
    <row r="260" customFormat="false" ht="15" hidden="false" customHeight="false" outlineLevel="0" collapsed="false">
      <c r="A260" s="7"/>
      <c r="B260" s="25" t="n">
        <v>48</v>
      </c>
      <c r="C260" s="11" t="n">
        <f aca="false">(ABS(C52-E52)/C52)*100</f>
        <v>99.8241758241758</v>
      </c>
      <c r="D260" s="25" t="n">
        <f aca="false">(ABS(D52-F52)/D52)*100</f>
        <v>11.0338365434669</v>
      </c>
      <c r="E260" s="24"/>
      <c r="F260" s="25" t="n">
        <f aca="false">(ABS(C52-G52)/C52)*100</f>
        <v>0.0251177394034537</v>
      </c>
      <c r="G260" s="25" t="n">
        <f aca="false">(ABS(D52-H52)/D52)*100</f>
        <v>0.00277633177164671</v>
      </c>
      <c r="H260" s="24"/>
    </row>
    <row r="261" customFormat="false" ht="15" hidden="false" customHeight="false" outlineLevel="0" collapsed="false">
      <c r="A261" s="7"/>
      <c r="B261" s="25" t="n">
        <v>49</v>
      </c>
      <c r="C261" s="11" t="n">
        <f aca="false">(ABS(C53-E53)/C53)*100</f>
        <v>92.3704866562009</v>
      </c>
      <c r="D261" s="25" t="n">
        <f aca="false">(ABS(D53-F53)/D53)*100</f>
        <v>10.2099600902308</v>
      </c>
      <c r="E261" s="24"/>
      <c r="F261" s="25" t="n">
        <f aca="false">(ABS(C53-G53)/C53)*100</f>
        <v>0.0251177394034537</v>
      </c>
      <c r="G261" s="25" t="n">
        <f aca="false">(ABS(D53-H53)/D53)*100</f>
        <v>0.00277633177164671</v>
      </c>
      <c r="H261" s="24"/>
    </row>
    <row r="262" customFormat="false" ht="15" hidden="false" customHeight="false" outlineLevel="0" collapsed="false">
      <c r="A262" s="7"/>
      <c r="B262" s="25" t="n">
        <v>50</v>
      </c>
      <c r="C262" s="11" t="n">
        <f aca="false">(ABS(C54-E54)/C54)*100</f>
        <v>99.9183673469388</v>
      </c>
      <c r="D262" s="25" t="n">
        <f aca="false">(ABS(D54-F54)/D54)*100</f>
        <v>11.0442477876106</v>
      </c>
      <c r="E262" s="24"/>
      <c r="F262" s="25" t="n">
        <f aca="false">(ABS(C54-G54)/C54)*100</f>
        <v>0.0251177394034537</v>
      </c>
      <c r="G262" s="25" t="n">
        <f aca="false">(ABS(D54-H54)/D54)*100</f>
        <v>0.00277633177164671</v>
      </c>
      <c r="H262" s="24"/>
    </row>
    <row r="263" customFormat="false" ht="15" hidden="false" customHeight="false" outlineLevel="0" collapsed="false">
      <c r="A263" s="7"/>
      <c r="B263" s="25" t="n">
        <v>51</v>
      </c>
      <c r="C263" s="11" t="n">
        <f aca="false">(ABS(C55-E55)/C55)*100</f>
        <v>99.9623210248681</v>
      </c>
      <c r="D263" s="25" t="n">
        <f aca="false">(ABS(D55-F55)/D55)*100</f>
        <v>11.0483356006552</v>
      </c>
      <c r="E263" s="24"/>
      <c r="F263" s="25" t="n">
        <f aca="false">(ABS(C55-G55)/C55)*100</f>
        <v>0.0188394875659382</v>
      </c>
      <c r="G263" s="25" t="n">
        <f aca="false">(ABS(D55-H55)/D55)*100</f>
        <v>0.0020822343763014</v>
      </c>
      <c r="H263" s="24"/>
    </row>
    <row r="264" customFormat="false" ht="15" hidden="false" customHeight="false" outlineLevel="0" collapsed="false">
      <c r="A264" s="7"/>
      <c r="B264" s="25" t="n">
        <v>52</v>
      </c>
      <c r="C264" s="11" t="n">
        <f aca="false">(ABS(C56-E56)/C56)*100</f>
        <v>99.9372174786539</v>
      </c>
      <c r="D264" s="25" t="n">
        <f aca="false">(ABS(D56-F56)/D56)*100</f>
        <v>11.0486423454939</v>
      </c>
      <c r="E264" s="24"/>
      <c r="F264" s="25" t="n">
        <f aca="false">(ABS(C56-G56)/C56)*100</f>
        <v>0.00627825213460573</v>
      </c>
      <c r="G264" s="25" t="n">
        <f aca="false">(ABS(D56-H56)/D56)*100</f>
        <v>0.000694097395746571</v>
      </c>
      <c r="H264" s="24"/>
    </row>
    <row r="265" customFormat="false" ht="15" hidden="false" customHeight="false" outlineLevel="0" collapsed="false">
      <c r="A265" s="7"/>
      <c r="B265" s="25" t="n">
        <v>53</v>
      </c>
      <c r="C265" s="11" t="n">
        <f aca="false">(ABS(C57-E57)/C57)*100</f>
        <v>97.9787835038604</v>
      </c>
      <c r="D265" s="25" t="n">
        <f aca="false">(ABS(D57-F57)/D57)*100</f>
        <v>10.8343918539033</v>
      </c>
      <c r="E265" s="24"/>
      <c r="F265" s="25" t="n">
        <f aca="false">(ABS(C57-G57)/C57)*100</f>
        <v>0.00627706986378758</v>
      </c>
      <c r="G265" s="25" t="n">
        <f aca="false">(ABS(D57-H57)/D57)*100</f>
        <v>0.000694111849183377</v>
      </c>
      <c r="H265" s="24"/>
    </row>
    <row r="266" customFormat="false" ht="15" hidden="false" customHeight="false" outlineLevel="0" collapsed="false">
      <c r="A266" s="7"/>
      <c r="B266" s="25" t="n">
        <v>54</v>
      </c>
      <c r="C266" s="11" t="n">
        <f aca="false">(ABS(C58-E58)/C58)*100</f>
        <v>99.9120879120879</v>
      </c>
      <c r="D266" s="25" t="n">
        <f aca="false">(ABS(D58-F58)/D58)*100</f>
        <v>11.0435537046677</v>
      </c>
      <c r="E266" s="24"/>
      <c r="F266" s="25" t="n">
        <f aca="false">(ABS(C58-G58)/C58)*100</f>
        <v>0.0376766091051805</v>
      </c>
      <c r="G266" s="25" t="n">
        <f aca="false">(ABS(D58-H58)/D58)*100</f>
        <v>0.00416449765747007</v>
      </c>
      <c r="H266" s="24"/>
    </row>
    <row r="267" customFormat="false" ht="15" hidden="false" customHeight="false" outlineLevel="0" collapsed="false">
      <c r="A267" s="7"/>
      <c r="B267" s="25" t="n">
        <v>55</v>
      </c>
      <c r="C267" s="11" t="n">
        <f aca="false">(ABS(C59-E59)/C59)*100</f>
        <v>99.1019844260236</v>
      </c>
      <c r="D267" s="25" t="n">
        <f aca="false">(ABS(D59-F59)/D59)*100</f>
        <v>10.9532468974708</v>
      </c>
      <c r="E267" s="24"/>
      <c r="F267" s="25" t="n">
        <f aca="false">(ABS(C59-G59)/C59)*100</f>
        <v>0.0376789751318764</v>
      </c>
      <c r="G267" s="25" t="n">
        <f aca="false">(ABS(D59-H59)/D59)*100</f>
        <v>0.00416446875260279</v>
      </c>
      <c r="H267" s="24"/>
    </row>
    <row r="268" customFormat="false" ht="15" hidden="false" customHeight="false" outlineLevel="0" collapsed="false">
      <c r="A268" s="7"/>
      <c r="B268" s="25" t="n">
        <v>56</v>
      </c>
      <c r="C268" s="11" t="n">
        <f aca="false">(ABS(C60-E60)/C60)*100</f>
        <v>99.9309262166405</v>
      </c>
      <c r="D268" s="25" t="n">
        <f aca="false">(ABS(D60-F60)/D60)*100</f>
        <v>11.0456359534964</v>
      </c>
      <c r="E268" s="24"/>
      <c r="F268" s="25" t="n">
        <f aca="false">(ABS(C60-G60)/C60)*100</f>
        <v>0.0376766091051805</v>
      </c>
      <c r="G268" s="25" t="n">
        <f aca="false">(ABS(D60-H60)/D60)*100</f>
        <v>0.00416449765747007</v>
      </c>
      <c r="H268" s="24"/>
    </row>
    <row r="269" customFormat="false" ht="15" hidden="false" customHeight="false" outlineLevel="0" collapsed="false">
      <c r="A269" s="7"/>
      <c r="B269" s="25" t="n">
        <v>57</v>
      </c>
      <c r="C269" s="11" t="n">
        <f aca="false">(ABS(C61-E61)/C61)*100</f>
        <v>90.6875981161695</v>
      </c>
      <c r="D269" s="25" t="n">
        <f aca="false">(ABS(D61-F61)/D61)*100</f>
        <v>10.0239458615305</v>
      </c>
      <c r="E269" s="24"/>
      <c r="F269" s="25" t="n">
        <f aca="false">(ABS(C61-G61)/C61)*100</f>
        <v>0.0376766091051805</v>
      </c>
      <c r="G269" s="25" t="n">
        <f aca="false">(ABS(D61-H61)/D61)*100</f>
        <v>0.00416449765747007</v>
      </c>
      <c r="H269" s="24"/>
    </row>
    <row r="270" customFormat="false" ht="15" hidden="false" customHeight="false" outlineLevel="0" collapsed="false">
      <c r="A270" s="7"/>
      <c r="B270" s="25" t="n">
        <v>58</v>
      </c>
      <c r="C270" s="11" t="n">
        <f aca="false">(ABS(C62-E62)/C62)*100</f>
        <v>100</v>
      </c>
      <c r="D270" s="25" t="n">
        <f aca="false">(ABS(D62-F62)/D62)*100</f>
        <v>11.0571250086763</v>
      </c>
      <c r="E270" s="24"/>
      <c r="F270" s="25" t="n">
        <f aca="false">(ABS(C62-G62)/C62)*100</f>
        <v>0</v>
      </c>
      <c r="G270" s="25" t="n">
        <f aca="false">(ABS(D62-H62)/D62)*100</f>
        <v>0</v>
      </c>
      <c r="H270" s="24"/>
    </row>
    <row r="271" customFormat="false" ht="15" hidden="false" customHeight="false" outlineLevel="0" collapsed="false">
      <c r="A271" s="7"/>
      <c r="B271" s="25" t="n">
        <v>59</v>
      </c>
      <c r="C271" s="11" t="n">
        <f aca="false">(ABS(C63-E63)/C63)*100</f>
        <v>99.8695490122997</v>
      </c>
      <c r="D271" s="25" t="n">
        <f aca="false">(ABS(D63-F63)/D63)*100</f>
        <v>11.1721866270101</v>
      </c>
      <c r="E271" s="24"/>
      <c r="F271" s="25" t="n">
        <f aca="false">(ABS(C63-G63)/C63)*100</f>
        <v>0.00621195179525407</v>
      </c>
      <c r="G271" s="25" t="n">
        <f aca="false">(ABS(D63-H63)/D63)*100</f>
        <v>0.000694917374324193</v>
      </c>
      <c r="H271" s="24"/>
    </row>
    <row r="272" customFormat="false" ht="15" hidden="false" customHeight="false" outlineLevel="0" collapsed="false">
      <c r="A272" s="7"/>
      <c r="B272" s="25" t="n">
        <v>60</v>
      </c>
      <c r="C272" s="11" t="n">
        <f aca="false">(ABS(C64-E64)/C64)*100</f>
        <v>99.4097331240188</v>
      </c>
      <c r="D272" s="25" t="n">
        <f aca="false">(ABS(D64-F64)/D64)*100</f>
        <v>10.9880270692348</v>
      </c>
      <c r="E272" s="24"/>
      <c r="F272" s="25" t="n">
        <f aca="false">(ABS(C64-G64)/C64)*100</f>
        <v>0.0251177394034537</v>
      </c>
      <c r="G272" s="25" t="n">
        <f aca="false">(ABS(D64-H64)/D64)*100</f>
        <v>0.00277633177164671</v>
      </c>
      <c r="H272" s="24"/>
    </row>
    <row r="273" customFormat="false" ht="15" hidden="false" customHeight="false" outlineLevel="0" collapsed="false">
      <c r="A273" s="7"/>
      <c r="B273" s="25" t="n">
        <v>61</v>
      </c>
      <c r="C273" s="11" t="n">
        <f aca="false">(ABS(C65-E65)/C65)*100</f>
        <v>99.9372056514914</v>
      </c>
      <c r="D273" s="25" t="n">
        <f aca="false">(ABS(D65-F65)/D65)*100</f>
        <v>11.0463300364394</v>
      </c>
      <c r="E273" s="24"/>
      <c r="F273" s="25" t="n">
        <f aca="false">(ABS(C65-G65)/C65)*100</f>
        <v>0.00627943485086342</v>
      </c>
      <c r="G273" s="25" t="n">
        <f aca="false">(ABS(D65-H65)/D65)*100</f>
        <v>0.000694082942911678</v>
      </c>
      <c r="H273" s="24"/>
    </row>
    <row r="274" customFormat="false" ht="15" hidden="false" customHeight="false" outlineLevel="0" collapsed="false">
      <c r="A274" s="7"/>
      <c r="B274" s="25" t="n">
        <v>62</v>
      </c>
      <c r="C274" s="11" t="n">
        <f aca="false">(ABS(C66-E66)/C66)*100</f>
        <v>99.9748822605965</v>
      </c>
      <c r="D274" s="25" t="n">
        <f aca="false">(ABS(D66-F66)/D66)*100</f>
        <v>11.0504945340968</v>
      </c>
      <c r="E274" s="24"/>
      <c r="F274" s="25" t="n">
        <f aca="false">(ABS(C66-G66)/C66)*100</f>
        <v>0.0188383045525903</v>
      </c>
      <c r="G274" s="25" t="n">
        <f aca="false">(ABS(D66-H66)/D66)*100</f>
        <v>0.00208224882873503</v>
      </c>
      <c r="H274" s="24"/>
    </row>
    <row r="275" customFormat="false" ht="15" hidden="false" customHeight="false" outlineLevel="0" collapsed="false">
      <c r="A275" s="7"/>
      <c r="B275" s="25" t="n">
        <v>63</v>
      </c>
      <c r="C275" s="11" t="n">
        <f aca="false">(ABS(C67-E67)/C67)*100</f>
        <v>99.8869630746044</v>
      </c>
      <c r="D275" s="25" t="n">
        <f aca="false">(ABS(D67-F67)/D67)*100</f>
        <v>11.04000666315</v>
      </c>
      <c r="E275" s="24"/>
      <c r="F275" s="25" t="n">
        <f aca="false">(ABS(C67-G67)/C67)*100</f>
        <v>0.0251193167545843</v>
      </c>
      <c r="G275" s="25" t="n">
        <f aca="false">(ABS(D67-H67)/D67)*100</f>
        <v>0.0027763125017352</v>
      </c>
      <c r="H275" s="24"/>
    </row>
    <row r="276" customFormat="false" ht="15" hidden="false" customHeight="false" outlineLevel="0" collapsed="false">
      <c r="A276" s="7"/>
      <c r="B276" s="25" t="n">
        <v>64</v>
      </c>
      <c r="C276" s="11" t="n">
        <f aca="false">(ABS(C68-E68)/C68)*100</f>
        <v>99.7739403453689</v>
      </c>
      <c r="D276" s="25" t="n">
        <f aca="false">(ABS(D68-F68)/D68)*100</f>
        <v>11.0282838799237</v>
      </c>
      <c r="E276" s="24"/>
      <c r="F276" s="25" t="n">
        <f aca="false">(ABS(C68-G68)/C68)*100</f>
        <v>0.0251177394034537</v>
      </c>
      <c r="G276" s="25" t="n">
        <f aca="false">(ABS(D68-H68)/D68)*100</f>
        <v>0.00277633177164671</v>
      </c>
      <c r="H276" s="24"/>
    </row>
    <row r="277" customFormat="false" ht="15" hidden="false" customHeight="false" outlineLevel="0" collapsed="false">
      <c r="A277" s="7"/>
      <c r="B277" s="25" t="n">
        <v>65</v>
      </c>
      <c r="C277" s="11" t="n">
        <f aca="false">(ABS(C69-E69)/C69)*100</f>
        <v>99.7613814756672</v>
      </c>
      <c r="D277" s="25" t="n">
        <f aca="false">(ABS(D69-F69)/D69)*100</f>
        <v>11.0268957140378</v>
      </c>
      <c r="E277" s="24"/>
      <c r="F277" s="25" t="n">
        <f aca="false">(ABS(C69-G69)/C69)*100</f>
        <v>0.0251177394034537</v>
      </c>
      <c r="G277" s="25" t="n">
        <f aca="false">(ABS(D69-H69)/D69)*100</f>
        <v>0.00277633177164671</v>
      </c>
      <c r="H277" s="24"/>
    </row>
    <row r="278" customFormat="false" ht="15" hidden="false" customHeight="false" outlineLevel="0" collapsed="false">
      <c r="A278" s="7"/>
      <c r="B278" s="25" t="n">
        <v>66</v>
      </c>
      <c r="C278" s="11" t="n">
        <f aca="false">(ABS(C70-E70)/C70)*100</f>
        <v>99.9874450721908</v>
      </c>
      <c r="D278" s="25" t="n">
        <f aca="false">(ABS(D70-F70)/D70)*100</f>
        <v>11.0557367946137</v>
      </c>
      <c r="E278" s="24"/>
      <c r="F278" s="25" t="n">
        <f aca="false">(ABS(C70-G70)/C70)*100</f>
        <v>0</v>
      </c>
      <c r="G278" s="25" t="n">
        <f aca="false">(ABS(D70-H70)/D70)*100</f>
        <v>0</v>
      </c>
      <c r="H278" s="24"/>
    </row>
    <row r="279" customFormat="false" ht="15" hidden="false" customHeight="false" outlineLevel="0" collapsed="false">
      <c r="A279" s="7"/>
      <c r="B279" s="25" t="n">
        <v>67</v>
      </c>
      <c r="C279" s="11" t="n">
        <f aca="false">(ABS(C71-E71)/C71)*100</f>
        <v>99.5667189952904</v>
      </c>
      <c r="D279" s="25" t="n">
        <f aca="false">(ABS(D71-F71)/D71)*100</f>
        <v>11.0053791428076</v>
      </c>
      <c r="E279" s="24"/>
      <c r="F279" s="25" t="n">
        <f aca="false">(ABS(C71-G71)/C71)*100</f>
        <v>0.0251177394034537</v>
      </c>
      <c r="G279" s="25" t="n">
        <f aca="false">(ABS(D71-H71)/D71)*100</f>
        <v>0.00277633177164671</v>
      </c>
      <c r="H279" s="24"/>
    </row>
    <row r="280" customFormat="false" ht="15" hidden="false" customHeight="false" outlineLevel="0" collapsed="false">
      <c r="A280" s="7"/>
      <c r="B280" s="25" t="n">
        <v>68</v>
      </c>
      <c r="C280" s="11" t="n">
        <f aca="false">(ABS(C72-E72)/C72)*100</f>
        <v>99.7927786499215</v>
      </c>
      <c r="D280" s="25" t="n">
        <f aca="false">(ABS(D72-F72)/D72)*100</f>
        <v>11.0303661287524</v>
      </c>
      <c r="E280" s="24"/>
      <c r="F280" s="25" t="n">
        <f aca="false">(ABS(C72-G72)/C72)*100</f>
        <v>0.0251177394034537</v>
      </c>
      <c r="G280" s="25" t="n">
        <f aca="false">(ABS(D72-H72)/D72)*100</f>
        <v>0.00277633177164671</v>
      </c>
      <c r="H280" s="24"/>
    </row>
    <row r="281" customFormat="false" ht="15" hidden="false" customHeight="false" outlineLevel="0" collapsed="false">
      <c r="A281" s="7"/>
      <c r="B281" s="25" t="n">
        <v>69</v>
      </c>
      <c r="C281" s="11" t="n">
        <f aca="false">(ABS(C73-E73)/C73)*100</f>
        <v>99.9686028257457</v>
      </c>
      <c r="D281" s="25" t="n">
        <f aca="false">(ABS(D73-F73)/D73)*100</f>
        <v>11.0498004511539</v>
      </c>
      <c r="E281" s="24"/>
      <c r="F281" s="25" t="n">
        <f aca="false">(ABS(C73-G73)/C73)*100</f>
        <v>0.0251177394034537</v>
      </c>
      <c r="G281" s="25" t="n">
        <f aca="false">(ABS(D73-H73)/D73)*100</f>
        <v>0.00277633177164671</v>
      </c>
      <c r="H281" s="24"/>
    </row>
    <row r="282" customFormat="false" ht="15" hidden="false" customHeight="false" outlineLevel="0" collapsed="false">
      <c r="A282" s="7"/>
      <c r="B282" s="25" t="n">
        <v>70</v>
      </c>
      <c r="C282" s="11" t="n">
        <f aca="false">(ABS(C74-E74)/C74)*100</f>
        <v>99.861852433281</v>
      </c>
      <c r="D282" s="25" t="n">
        <f aca="false">(ABS(D74-F74)/D74)*100</f>
        <v>11.0380010411244</v>
      </c>
      <c r="E282" s="24"/>
      <c r="F282" s="25" t="n">
        <f aca="false">(ABS(C74-G74)/C74)*100</f>
        <v>0.0251177394034537</v>
      </c>
      <c r="G282" s="25" t="n">
        <f aca="false">(ABS(D74-H74)/D74)*100</f>
        <v>0.00277633177164671</v>
      </c>
      <c r="H282" s="24"/>
    </row>
    <row r="283" customFormat="false" ht="15" hidden="false" customHeight="false" outlineLevel="0" collapsed="false">
      <c r="A283" s="7"/>
      <c r="B283" s="25" t="n">
        <v>71</v>
      </c>
      <c r="C283" s="11" t="n">
        <f aca="false">(ABS(C75-E75)/C75)*100</f>
        <v>99.9874411302983</v>
      </c>
      <c r="D283" s="25" t="n">
        <f aca="false">(ABS(D75-F75)/D75)*100</f>
        <v>11.0518826999826</v>
      </c>
      <c r="E283" s="24"/>
      <c r="F283" s="25" t="n">
        <f aca="false">(ABS(C75-G75)/C75)*100</f>
        <v>0.0251177394034537</v>
      </c>
      <c r="G283" s="25" t="n">
        <f aca="false">(ABS(D75-H75)/D75)*100</f>
        <v>0.00277633177164671</v>
      </c>
      <c r="H283" s="24"/>
    </row>
    <row r="284" customFormat="false" ht="15" hidden="false" customHeight="false" outlineLevel="0" collapsed="false">
      <c r="A284" s="7"/>
      <c r="B284" s="25" t="n">
        <v>72</v>
      </c>
      <c r="C284" s="11" t="n">
        <f aca="false">(ABS(C76-E76)/C76)*100</f>
        <v>99.9874411302983</v>
      </c>
      <c r="D284" s="25" t="n">
        <f aca="false">(ABS(D76-F76)/D76)*100</f>
        <v>11.0518826999826</v>
      </c>
      <c r="E284" s="24"/>
      <c r="F284" s="25" t="n">
        <f aca="false">(ABS(C76-G76)/C76)*100</f>
        <v>0.0251177394034537</v>
      </c>
      <c r="G284" s="25" t="n">
        <f aca="false">(ABS(D76-H76)/D76)*100</f>
        <v>0.00277633177164671</v>
      </c>
      <c r="H284" s="24"/>
    </row>
    <row r="285" customFormat="false" ht="15" hidden="false" customHeight="false" outlineLevel="0" collapsed="false">
      <c r="A285" s="7"/>
      <c r="B285" s="25" t="n">
        <v>73</v>
      </c>
      <c r="C285" s="11" t="n">
        <f aca="false">(ABS(C77-E77)/C77)*100</f>
        <v>99.9874411302983</v>
      </c>
      <c r="D285" s="25" t="n">
        <f aca="false">(ABS(D77-F77)/D77)*100</f>
        <v>11.0518826999826</v>
      </c>
      <c r="E285" s="24"/>
      <c r="F285" s="25" t="n">
        <f aca="false">(ABS(C77-G77)/C77)*100</f>
        <v>0.0313971742543171</v>
      </c>
      <c r="G285" s="25" t="n">
        <f aca="false">(ABS(D77-H77)/D77)*100</f>
        <v>0.00347041471455839</v>
      </c>
      <c r="H285" s="24"/>
    </row>
    <row r="286" customFormat="false" ht="15" hidden="false" customHeight="false" outlineLevel="0" collapsed="false">
      <c r="A286" s="7"/>
      <c r="B286" s="25" t="n">
        <v>74</v>
      </c>
      <c r="C286" s="11" t="n">
        <f aca="false">(ABS(C78-E78)/C78)*100</f>
        <v>99.9874411302983</v>
      </c>
      <c r="D286" s="25" t="n">
        <f aca="false">(ABS(D78-F78)/D78)*100</f>
        <v>11.0518826999826</v>
      </c>
      <c r="E286" s="24"/>
      <c r="F286" s="25" t="n">
        <f aca="false">(ABS(C78-G78)/C78)*100</f>
        <v>0.0313971742543171</v>
      </c>
      <c r="G286" s="25" t="n">
        <f aca="false">(ABS(D78-H78)/D78)*100</f>
        <v>0.00347041471455839</v>
      </c>
      <c r="H286" s="24"/>
    </row>
    <row r="287" customFormat="false" ht="15" hidden="false" customHeight="false" outlineLevel="0" collapsed="false">
      <c r="A287" s="7"/>
      <c r="B287" s="25" t="n">
        <v>75</v>
      </c>
      <c r="C287" s="11" t="n">
        <f aca="false">(ABS(C79-E79)/C79)*100</f>
        <v>99.9874411302983</v>
      </c>
      <c r="D287" s="25" t="n">
        <f aca="false">(ABS(D79-F79)/D79)*100</f>
        <v>11.0518826999826</v>
      </c>
      <c r="E287" s="24"/>
      <c r="F287" s="25" t="n">
        <f aca="false">(ABS(C79-G79)/C79)*100</f>
        <v>0.0313971742543171</v>
      </c>
      <c r="G287" s="25" t="n">
        <f aca="false">(ABS(D79-H79)/D79)*100</f>
        <v>0.00347041471455839</v>
      </c>
      <c r="H287" s="24"/>
    </row>
    <row r="288" customFormat="false" ht="15" hidden="false" customHeight="false" outlineLevel="0" collapsed="false">
      <c r="A288" s="7"/>
      <c r="B288" s="25" t="n">
        <v>76</v>
      </c>
      <c r="C288" s="11" t="n">
        <f aca="false">(ABS(C80-E80)/C80)*100</f>
        <v>99.9372056514914</v>
      </c>
      <c r="D288" s="25" t="n">
        <f aca="false">(ABS(D80-F80)/D80)*100</f>
        <v>11.0463300364394</v>
      </c>
      <c r="E288" s="24"/>
      <c r="F288" s="25" t="n">
        <f aca="false">(ABS(C80-G80)/C80)*100</f>
        <v>0.0251177394034537</v>
      </c>
      <c r="G288" s="25" t="n">
        <f aca="false">(ABS(D80-H80)/D80)*100</f>
        <v>0.00277633177164671</v>
      </c>
      <c r="H288" s="24"/>
    </row>
    <row r="289" customFormat="false" ht="15" hidden="false" customHeight="false" outlineLevel="0" collapsed="false">
      <c r="A289" s="7"/>
      <c r="B289" s="25" t="n">
        <v>77</v>
      </c>
      <c r="C289" s="11" t="n">
        <f aca="false">(ABS(C81-E81)/C81)*100</f>
        <v>99.9434815373022</v>
      </c>
      <c r="D289" s="25" t="n">
        <f aca="false">(ABS(D81-F81)/D81)*100</f>
        <v>11.0462533662789</v>
      </c>
      <c r="E289" s="24"/>
      <c r="F289" s="25" t="n">
        <f aca="false">(ABS(C81-G81)/C81)*100</f>
        <v>0.0251193167545843</v>
      </c>
      <c r="G289" s="25" t="n">
        <f aca="false">(ABS(D81-H81)/D81)*100</f>
        <v>0.0027763125017352</v>
      </c>
      <c r="H289" s="24"/>
    </row>
    <row r="290" customFormat="false" ht="15" hidden="false" customHeight="false" outlineLevel="0" collapsed="false">
      <c r="A290" s="7"/>
      <c r="B290" s="25" t="n">
        <v>78</v>
      </c>
      <c r="C290" s="11" t="n">
        <f aca="false">(ABS(C82-E82)/C82)*100</f>
        <v>99.9937205651491</v>
      </c>
      <c r="D290" s="25" t="n">
        <f aca="false">(ABS(D82-F82)/D82)*100</f>
        <v>11.0525767829256</v>
      </c>
      <c r="E290" s="24"/>
      <c r="F290" s="25" t="n">
        <f aca="false">(ABS(C82-G82)/C82)*100</f>
        <v>0.0313971742543171</v>
      </c>
      <c r="G290" s="25" t="n">
        <f aca="false">(ABS(D82-H82)/D82)*100</f>
        <v>0.00347041471455839</v>
      </c>
      <c r="H290" s="24"/>
    </row>
    <row r="291" customFormat="false" ht="15" hidden="false" customHeight="false" outlineLevel="0" collapsed="false">
      <c r="A291" s="7"/>
      <c r="B291" s="25" t="n">
        <v>79</v>
      </c>
      <c r="C291" s="11" t="n">
        <f aca="false">(ABS(C83-E83)/C83)*100</f>
        <v>99.9937205651491</v>
      </c>
      <c r="D291" s="25" t="n">
        <f aca="false">(ABS(D83-F83)/D83)*100</f>
        <v>11.0525767829256</v>
      </c>
      <c r="E291" s="24"/>
      <c r="F291" s="25" t="n">
        <f aca="false">(ABS(C83-G83)/C83)*100</f>
        <v>0.0313971742543171</v>
      </c>
      <c r="G291" s="25" t="n">
        <f aca="false">(ABS(D83-H83)/D83)*100</f>
        <v>0.00347041471455839</v>
      </c>
      <c r="H291" s="24"/>
    </row>
    <row r="292" customFormat="false" ht="15" hidden="false" customHeight="false" outlineLevel="0" collapsed="false">
      <c r="A292" s="7"/>
      <c r="B292" s="25" t="n">
        <v>80</v>
      </c>
      <c r="C292" s="11" t="n">
        <f aca="false">(ABS(C84-E84)/C84)*100</f>
        <v>99.8618437578498</v>
      </c>
      <c r="D292" s="25" t="n">
        <f aca="false">(ABS(D84-F84)/D84)*100</f>
        <v>11.0372303506483</v>
      </c>
      <c r="E292" s="24"/>
      <c r="F292" s="25" t="n">
        <f aca="false">(ABS(C84-G84)/C84)*100</f>
        <v>0.0251193167545843</v>
      </c>
      <c r="G292" s="25" t="n">
        <f aca="false">(ABS(D84-H84)/D84)*100</f>
        <v>0.0027763125017352</v>
      </c>
      <c r="H292" s="24"/>
    </row>
    <row r="293" customFormat="false" ht="15" hidden="false" customHeight="false" outlineLevel="0" collapsed="false">
      <c r="A293" s="7"/>
      <c r="B293" s="25" t="n">
        <v>81</v>
      </c>
      <c r="C293" s="11" t="n">
        <f aca="false">(ABS(C85-E85)/C85)*100</f>
        <v>99.9874411302983</v>
      </c>
      <c r="D293" s="25" t="n">
        <f aca="false">(ABS(D85-F85)/D85)*100</f>
        <v>11.0518826999826</v>
      </c>
      <c r="E293" s="24"/>
      <c r="F293" s="25" t="n">
        <f aca="false">(ABS(C85-G85)/C85)*100</f>
        <v>0.0251177394034537</v>
      </c>
      <c r="G293" s="25" t="n">
        <f aca="false">(ABS(D85-H85)/D85)*100</f>
        <v>0.00277633177164671</v>
      </c>
      <c r="H293" s="24"/>
    </row>
    <row r="294" customFormat="false" ht="15" hidden="false" customHeight="false" outlineLevel="0" collapsed="false">
      <c r="A294" s="7"/>
      <c r="B294" s="25" t="n">
        <v>82</v>
      </c>
      <c r="C294" s="11" t="n">
        <f aca="false">(ABS(C86-E86)/C86)*100</f>
        <v>99.9623210248681</v>
      </c>
      <c r="D294" s="25" t="n">
        <f aca="false">(ABS(D86-F86)/D86)*100</f>
        <v>11.0483356006552</v>
      </c>
      <c r="E294" s="24"/>
      <c r="F294" s="25" t="n">
        <f aca="false">(ABS(C86-G86)/C86)*100</f>
        <v>0.0313991459432303</v>
      </c>
      <c r="G294" s="25" t="n">
        <f aca="false">(ABS(D86-H86)/D86)*100</f>
        <v>0.00347039062716899</v>
      </c>
      <c r="H294" s="24"/>
    </row>
    <row r="295" customFormat="false" ht="15" hidden="false" customHeight="false" outlineLevel="0" collapsed="false">
      <c r="A295" s="7"/>
      <c r="B295" s="25" t="n">
        <v>83</v>
      </c>
      <c r="C295" s="11" t="n">
        <f aca="false">(ABS(C87-E87)/C87)*100</f>
        <v>99.8241758241758</v>
      </c>
      <c r="D295" s="25" t="n">
        <f aca="false">(ABS(D87-F87)/D87)*100</f>
        <v>11.0338365434669</v>
      </c>
      <c r="E295" s="24"/>
      <c r="F295" s="25" t="n">
        <f aca="false">(ABS(C87-G87)/C87)*100</f>
        <v>0.0251177394034537</v>
      </c>
      <c r="G295" s="25" t="n">
        <f aca="false">(ABS(D87-H87)/D87)*100</f>
        <v>0.00277633177164671</v>
      </c>
      <c r="H295" s="24"/>
    </row>
    <row r="296" customFormat="false" ht="15" hidden="false" customHeight="false" outlineLevel="0" collapsed="false">
      <c r="A296" s="7"/>
      <c r="B296" s="25" t="n">
        <v>84</v>
      </c>
      <c r="C296" s="11" t="n">
        <f aca="false">(ABS(C88-E88)/C88)*100</f>
        <v>99.9874411302983</v>
      </c>
      <c r="D296" s="25" t="n">
        <f aca="false">(ABS(D88-F88)/D88)*100</f>
        <v>11.0518826999826</v>
      </c>
      <c r="E296" s="24"/>
      <c r="F296" s="25" t="n">
        <f aca="false">(ABS(C88-G88)/C88)*100</f>
        <v>0.0188383045525903</v>
      </c>
      <c r="G296" s="25" t="n">
        <f aca="false">(ABS(D88-H88)/D88)*100</f>
        <v>0.00208224882873503</v>
      </c>
      <c r="H296" s="24"/>
    </row>
    <row r="297" customFormat="false" ht="15" hidden="false" customHeight="false" outlineLevel="0" collapsed="false">
      <c r="A297" s="7"/>
      <c r="B297" s="25" t="n">
        <v>85</v>
      </c>
      <c r="C297" s="11" t="n">
        <f aca="false">(ABS(C89-E89)/C89)*100</f>
        <v>99.7676609105181</v>
      </c>
      <c r="D297" s="25" t="n">
        <f aca="false">(ABS(D89-F89)/D89)*100</f>
        <v>11.0275897969807</v>
      </c>
      <c r="E297" s="24"/>
      <c r="F297" s="25" t="n">
        <f aca="false">(ABS(C89-G89)/C89)*100</f>
        <v>0.0188383045525903</v>
      </c>
      <c r="G297" s="25" t="n">
        <f aca="false">(ABS(D89-H89)/D89)*100</f>
        <v>0.00208224882873503</v>
      </c>
      <c r="H297" s="24"/>
    </row>
    <row r="298" customFormat="false" ht="15" hidden="false" customHeight="false" outlineLevel="0" collapsed="false">
      <c r="A298" s="7"/>
      <c r="B298" s="25" t="n">
        <v>86</v>
      </c>
      <c r="C298" s="11" t="n">
        <f aca="false">(ABS(C90-E90)/C90)*100</f>
        <v>99.9811593292721</v>
      </c>
      <c r="D298" s="25" t="n">
        <f aca="false">(ABS(D90-F90)/D90)*100</f>
        <v>11.0496470637229</v>
      </c>
      <c r="E298" s="24"/>
      <c r="F298" s="25" t="n">
        <f aca="false">(ABS(C90-G90)/C90)*100</f>
        <v>0.0376813414557558</v>
      </c>
      <c r="G298" s="25" t="n">
        <f aca="false">(ABS(D90-H90)/D90)*100</f>
        <v>0.00416443984813676</v>
      </c>
      <c r="H298" s="24"/>
    </row>
    <row r="299" customFormat="false" ht="15" hidden="false" customHeight="false" outlineLevel="0" collapsed="false">
      <c r="A299" s="7"/>
      <c r="B299" s="25" t="n">
        <v>87</v>
      </c>
      <c r="C299" s="11" t="n">
        <f aca="false">(ABS(C91-E91)/C91)*100</f>
        <v>99.9434957307885</v>
      </c>
      <c r="D299" s="25" t="n">
        <f aca="false">(ABS(D91-F91)/D91)*100</f>
        <v>11.0493364428897</v>
      </c>
      <c r="E299" s="24"/>
      <c r="F299" s="25" t="n">
        <f aca="false">(ABS(C91-G91)/C91)*100</f>
        <v>0.00627825213460573</v>
      </c>
      <c r="G299" s="25" t="n">
        <f aca="false">(ABS(D91-H91)/D91)*100</f>
        <v>0.000694097395746571</v>
      </c>
      <c r="H299" s="24"/>
    </row>
    <row r="300" customFormat="false" ht="15" hidden="false" customHeight="false" outlineLevel="0" collapsed="false">
      <c r="A300" s="7"/>
      <c r="B300" s="25" t="n">
        <v>88</v>
      </c>
      <c r="C300" s="11" t="n">
        <f aca="false">(ABS(C92-E92)/C92)*100</f>
        <v>99.9623233908948</v>
      </c>
      <c r="D300" s="25" t="n">
        <f aca="false">(ABS(D92-F92)/D92)*100</f>
        <v>11.049106368211</v>
      </c>
      <c r="E300" s="24"/>
      <c r="F300" s="25" t="n">
        <f aca="false">(ABS(C92-G92)/C92)*100</f>
        <v>0.0251177394034537</v>
      </c>
      <c r="G300" s="25" t="n">
        <f aca="false">(ABS(D92-H92)/D92)*100</f>
        <v>0.00277633177164671</v>
      </c>
      <c r="H300" s="24"/>
    </row>
    <row r="301" customFormat="false" ht="15" hidden="false" customHeight="false" outlineLevel="0" collapsed="false">
      <c r="A301" s="7"/>
      <c r="B301" s="25" t="n">
        <v>89</v>
      </c>
      <c r="C301" s="11" t="n">
        <f aca="false">(ABS(C93-E93)/C93)*100</f>
        <v>99.6985871271586</v>
      </c>
      <c r="D301" s="25" t="n">
        <f aca="false">(ABS(D93-F93)/D93)*100</f>
        <v>11.0199548846087</v>
      </c>
      <c r="E301" s="24"/>
      <c r="F301" s="25" t="n">
        <f aca="false">(ABS(C93-G93)/C93)*100</f>
        <v>0.0251177394034537</v>
      </c>
      <c r="G301" s="25" t="n">
        <f aca="false">(ABS(D93-H93)/D93)*100</f>
        <v>0.00277633177164671</v>
      </c>
      <c r="H301" s="24"/>
    </row>
    <row r="302" customFormat="false" ht="15" hidden="false" customHeight="false" outlineLevel="0" collapsed="false">
      <c r="A302" s="7"/>
      <c r="B302" s="25" t="n">
        <v>90</v>
      </c>
      <c r="C302" s="11" t="n">
        <f aca="false">(ABS(C94-E94)/C94)*100</f>
        <v>99.9434850863422</v>
      </c>
      <c r="D302" s="25" t="n">
        <f aca="false">(ABS(D94-F94)/D94)*100</f>
        <v>11.0470241193823</v>
      </c>
      <c r="E302" s="24"/>
      <c r="F302" s="25" t="n">
        <f aca="false">(ABS(C94-G94)/C94)*100</f>
        <v>0.0251177394034537</v>
      </c>
      <c r="G302" s="25" t="n">
        <f aca="false">(ABS(D94-H94)/D94)*100</f>
        <v>0.00277633177164671</v>
      </c>
      <c r="H302" s="24"/>
    </row>
    <row r="303" customFormat="false" ht="15" hidden="false" customHeight="false" outlineLevel="0" collapsed="false">
      <c r="A303" s="7"/>
      <c r="B303" s="25" t="n">
        <v>91</v>
      </c>
      <c r="C303" s="11" t="n">
        <f aca="false">(ABS(C95-E95)/C95)*100</f>
        <v>99.8492935635793</v>
      </c>
      <c r="D303" s="25" t="n">
        <f aca="false">(ABS(D95-F95)/D95)*100</f>
        <v>11.0366128752386</v>
      </c>
      <c r="E303" s="24"/>
      <c r="F303" s="25" t="n">
        <f aca="false">(ABS(C95-G95)/C95)*100</f>
        <v>0.0251177394034537</v>
      </c>
      <c r="G303" s="25" t="n">
        <f aca="false">(ABS(D95-H95)/D95)*100</f>
        <v>0.00277633177164671</v>
      </c>
      <c r="H303" s="24"/>
    </row>
    <row r="304" customFormat="false" ht="15" hidden="false" customHeight="false" outlineLevel="0" collapsed="false">
      <c r="A304" s="7"/>
      <c r="B304" s="25" t="n">
        <v>92</v>
      </c>
      <c r="C304" s="11" t="n">
        <f aca="false">(ABS(C96-E96)/C96)*100</f>
        <v>87.7299843014129</v>
      </c>
      <c r="D304" s="25" t="n">
        <f aca="false">(ABS(D96-F96)/D96)*100</f>
        <v>9.69703279541905</v>
      </c>
      <c r="E304" s="24"/>
      <c r="F304" s="25" t="n">
        <f aca="false">(ABS(C96-G96)/C96)*100</f>
        <v>0.0251177394034537</v>
      </c>
      <c r="G304" s="25" t="n">
        <f aca="false">(ABS(D96-H96)/D96)*100</f>
        <v>0.00277633177164671</v>
      </c>
      <c r="H304" s="24"/>
    </row>
    <row r="305" customFormat="false" ht="15" hidden="false" customHeight="false" outlineLevel="0" collapsed="false">
      <c r="A305" s="7"/>
      <c r="B305" s="25" t="n">
        <v>93</v>
      </c>
      <c r="C305" s="11" t="n">
        <f aca="false">(ABS(C97-E97)/C97)*100</f>
        <v>99.8869701726845</v>
      </c>
      <c r="D305" s="25" t="n">
        <f aca="false">(ABS(D97-F97)/D97)*100</f>
        <v>11.0407773728961</v>
      </c>
      <c r="E305" s="24"/>
      <c r="F305" s="25" t="n">
        <f aca="false">(ABS(C97-G97)/C97)*100</f>
        <v>0.0251177394034537</v>
      </c>
      <c r="G305" s="25" t="n">
        <f aca="false">(ABS(D97-H97)/D97)*100</f>
        <v>0.00277633177164671</v>
      </c>
      <c r="H305" s="24"/>
    </row>
    <row r="306" customFormat="false" ht="15" hidden="false" customHeight="false" outlineLevel="0" collapsed="false">
      <c r="A306" s="7"/>
      <c r="B306" s="25" t="n">
        <v>94</v>
      </c>
      <c r="C306" s="11" t="n">
        <f aca="false">(ABS(C98-E98)/C98)*100</f>
        <v>99.9434850863422</v>
      </c>
      <c r="D306" s="25" t="n">
        <f aca="false">(ABS(D98-F98)/D98)*100</f>
        <v>11.0470241193823</v>
      </c>
      <c r="E306" s="24"/>
      <c r="F306" s="25" t="n">
        <f aca="false">(ABS(C98-G98)/C98)*100</f>
        <v>0.0251177394034537</v>
      </c>
      <c r="G306" s="25" t="n">
        <f aca="false">(ABS(D98-H98)/D98)*100</f>
        <v>0.00277633177164671</v>
      </c>
      <c r="H306" s="24"/>
    </row>
    <row r="307" customFormat="false" ht="15" hidden="false" customHeight="false" outlineLevel="0" collapsed="false">
      <c r="A307" s="7"/>
      <c r="B307" s="25" t="n">
        <v>95</v>
      </c>
      <c r="C307" s="11" t="n">
        <f aca="false">(ABS(C99-E99)/C99)*100</f>
        <v>99.9623233908948</v>
      </c>
      <c r="D307" s="25" t="n">
        <f aca="false">(ABS(D99-F99)/D99)*100</f>
        <v>11.049106368211</v>
      </c>
      <c r="E307" s="24"/>
      <c r="F307" s="25" t="n">
        <f aca="false">(ABS(C99-G99)/C99)*100</f>
        <v>0.0251177394034537</v>
      </c>
      <c r="G307" s="25" t="n">
        <f aca="false">(ABS(D99-H99)/D99)*100</f>
        <v>0.00277633177164671</v>
      </c>
      <c r="H307" s="24"/>
    </row>
    <row r="308" customFormat="false" ht="15" hidden="false" customHeight="false" outlineLevel="0" collapsed="false">
      <c r="A308" s="7"/>
      <c r="B308" s="25" t="n">
        <v>96</v>
      </c>
      <c r="C308" s="11" t="n">
        <f aca="false">(ABS(C100-E100)/C100)*100</f>
        <v>99.956043956044</v>
      </c>
      <c r="D308" s="25" t="n">
        <f aca="false">(ABS(D100-F100)/D100)*100</f>
        <v>11.0484122852681</v>
      </c>
      <c r="E308" s="24"/>
      <c r="F308" s="25" t="n">
        <f aca="false">(ABS(C100-G100)/C100)*100</f>
        <v>0.0313971742543171</v>
      </c>
      <c r="G308" s="25" t="n">
        <f aca="false">(ABS(D100-H100)/D100)*100</f>
        <v>0.00347041471455839</v>
      </c>
      <c r="H308" s="24"/>
    </row>
    <row r="309" customFormat="false" ht="15" hidden="false" customHeight="false" outlineLevel="0" collapsed="false">
      <c r="A309" s="7"/>
      <c r="B309" s="25" t="n">
        <v>97</v>
      </c>
      <c r="C309" s="11" t="n">
        <f aca="false">(ABS(C101-E101)/C101)*100</f>
        <v>99.8241647827179</v>
      </c>
      <c r="D309" s="25" t="n">
        <f aca="false">(ABS(D101-F101)/D101)*100</f>
        <v>11.0330658818957</v>
      </c>
      <c r="E309" s="24"/>
      <c r="F309" s="25" t="n">
        <f aca="false">(ABS(C101-G101)/C101)*100</f>
        <v>0.0313991459432303</v>
      </c>
      <c r="G309" s="25" t="n">
        <f aca="false">(ABS(D101-H101)/D101)*100</f>
        <v>0.00347039062716899</v>
      </c>
      <c r="H309" s="24"/>
    </row>
    <row r="310" customFormat="false" ht="15" hidden="false" customHeight="false" outlineLevel="0" collapsed="false">
      <c r="A310" s="7"/>
      <c r="B310" s="25" t="n">
        <v>98</v>
      </c>
      <c r="C310" s="11" t="n">
        <f aca="false">(ABS(C102-E102)/C102)*100</f>
        <v>99.9058025621703</v>
      </c>
      <c r="D310" s="25" t="n">
        <f aca="false">(ABS(D102-F102)/D102)*100</f>
        <v>11.0420888975263</v>
      </c>
      <c r="E310" s="24"/>
      <c r="F310" s="25" t="n">
        <f aca="false">(ABS(C102-G102)/C102)*100</f>
        <v>0.0313991459432303</v>
      </c>
      <c r="G310" s="25" t="n">
        <f aca="false">(ABS(D102-H102)/D102)*100</f>
        <v>0.00347039062716899</v>
      </c>
      <c r="H310" s="24"/>
    </row>
    <row r="311" customFormat="false" ht="15" hidden="false" customHeight="false" outlineLevel="0" collapsed="false">
      <c r="A311" s="7"/>
      <c r="B311" s="25" t="n">
        <v>99</v>
      </c>
      <c r="C311" s="11" t="n">
        <f aca="false">(ABS(C103-E103)/C103)*100</f>
        <v>99.9874403416227</v>
      </c>
      <c r="D311" s="25" t="n">
        <f aca="false">(ABS(D103-F103)/D103)*100</f>
        <v>11.0511119131569</v>
      </c>
      <c r="E311" s="24"/>
      <c r="F311" s="25" t="n">
        <f aca="false">(ABS(C103-G103)/C103)*100</f>
        <v>0.0313991459432303</v>
      </c>
      <c r="G311" s="25" t="n">
        <f aca="false">(ABS(D103-H103)/D103)*100</f>
        <v>0.00347039062716899</v>
      </c>
      <c r="H311" s="24"/>
    </row>
    <row r="312" customFormat="false" ht="15" hidden="false" customHeight="false" outlineLevel="0" collapsed="false">
      <c r="A312" s="7"/>
      <c r="B312" s="25" t="n">
        <v>100</v>
      </c>
      <c r="C312" s="11" t="n">
        <f aca="false">(ABS(C104-E104)/C104)*100</f>
        <v>97.7963335007534</v>
      </c>
      <c r="D312" s="25" t="n">
        <f aca="false">(ABS(D104-F104)/D104)*100</f>
        <v>10.8119551335443</v>
      </c>
      <c r="E312" s="24"/>
      <c r="F312" s="25" t="n">
        <f aca="false">(ABS(C104-G104)/C104)*100</f>
        <v>0.00627825213460573</v>
      </c>
      <c r="G312" s="25" t="n">
        <f aca="false">(ABS(D104-H104)/D104)*100</f>
        <v>0.000694097395746571</v>
      </c>
      <c r="H312" s="24"/>
    </row>
    <row r="313" customFormat="false" ht="15" hidden="false" customHeight="false" outlineLevel="0" collapsed="false">
      <c r="A313" s="7"/>
      <c r="B313" s="25" t="n">
        <v>101</v>
      </c>
      <c r="C313" s="11" t="n">
        <f aca="false">(ABS(C105-E105)/C105)*100</f>
        <v>99.8751092793806</v>
      </c>
      <c r="D313" s="25" t="n">
        <f aca="false">(ABS(D105-F105)/D105)*100</f>
        <v>11.1080243912603</v>
      </c>
      <c r="E313" s="24"/>
      <c r="F313" s="25" t="n">
        <f aca="false">(ABS(C105-G105)/C105)*100</f>
        <v>0.0124890720619458</v>
      </c>
      <c r="G313" s="25" t="n">
        <f aca="false">(ABS(D105-H105)/D105)*100</f>
        <v>0.00138902393288236</v>
      </c>
      <c r="H313" s="24"/>
    </row>
    <row r="314" customFormat="false" ht="15" hidden="false" customHeight="false" outlineLevel="0" collapsed="false">
      <c r="A314" s="7"/>
      <c r="B314" s="25" t="n">
        <v>102</v>
      </c>
      <c r="C314" s="11" t="n">
        <f aca="false">(ABS(C106-E106)/C106)*100</f>
        <v>99.9434850863422</v>
      </c>
      <c r="D314" s="25" t="n">
        <f aca="false">(ABS(D106-F106)/D106)*100</f>
        <v>11.0470241193823</v>
      </c>
      <c r="E314" s="24"/>
      <c r="F314" s="25" t="n">
        <f aca="false">(ABS(C106-G106)/C106)*100</f>
        <v>0.0251177394034537</v>
      </c>
      <c r="G314" s="25" t="n">
        <f aca="false">(ABS(D106-H106)/D106)*100</f>
        <v>0.00277633177164671</v>
      </c>
      <c r="H314" s="24"/>
    </row>
    <row r="315" customFormat="false" ht="15" hidden="false" customHeight="false" outlineLevel="0" collapsed="false">
      <c r="A315" s="7"/>
      <c r="B315" s="25" t="n">
        <v>103</v>
      </c>
      <c r="C315" s="11" t="n">
        <f aca="false">(ABS(C107-E107)/C107)*100</f>
        <v>83.7990580847724</v>
      </c>
      <c r="D315" s="25" t="n">
        <f aca="false">(ABS(D107-F107)/D107)*100</f>
        <v>9.26253687315634</v>
      </c>
      <c r="E315" s="24"/>
      <c r="F315" s="25" t="n">
        <f aca="false">(ABS(C107-G107)/C107)*100</f>
        <v>0.0251177394034537</v>
      </c>
      <c r="G315" s="25" t="n">
        <f aca="false">(ABS(D107-H107)/D107)*100</f>
        <v>0.00277633177164671</v>
      </c>
      <c r="H315" s="24"/>
    </row>
    <row r="316" customFormat="false" ht="15" hidden="false" customHeight="false" outlineLevel="0" collapsed="false">
      <c r="A316" s="7"/>
      <c r="B316" s="25" t="n">
        <v>104</v>
      </c>
      <c r="C316" s="11" t="n">
        <f aca="false">(ABS(C108-E108)/C108)*100</f>
        <v>99.7551020408163</v>
      </c>
      <c r="D316" s="25" t="n">
        <f aca="false">(ABS(D108-F108)/D108)*100</f>
        <v>11.0262016310949</v>
      </c>
      <c r="E316" s="24"/>
      <c r="F316" s="25" t="n">
        <f aca="false">(ABS(C108-G108)/C108)*100</f>
        <v>0.0251177394034537</v>
      </c>
      <c r="G316" s="25" t="n">
        <f aca="false">(ABS(D108-H108)/D108)*100</f>
        <v>0.00277633177164671</v>
      </c>
      <c r="H316" s="24"/>
    </row>
    <row r="317" customFormat="false" ht="15" hidden="false" customHeight="false" outlineLevel="0" collapsed="false">
      <c r="A317" s="7"/>
      <c r="B317" s="25" t="n">
        <v>105</v>
      </c>
      <c r="C317" s="11" t="n">
        <f aca="false">(ABS(C109-E109)/C109)*100</f>
        <v>92.6337603617182</v>
      </c>
      <c r="D317" s="25" t="n">
        <f aca="false">(ABS(D109-F109)/D109)*100</f>
        <v>10.238346428274</v>
      </c>
      <c r="E317" s="24"/>
      <c r="F317" s="25" t="n">
        <f aca="false">(ABS(C109-G109)/C109)*100</f>
        <v>0.0251193167545843</v>
      </c>
      <c r="G317" s="25" t="n">
        <f aca="false">(ABS(D109-H109)/D109)*100</f>
        <v>0.0027763125017352</v>
      </c>
      <c r="H317" s="24"/>
    </row>
    <row r="318" customFormat="false" ht="15" hidden="false" customHeight="false" outlineLevel="0" collapsed="false">
      <c r="A318" s="7"/>
      <c r="B318" s="25" t="n">
        <v>106</v>
      </c>
      <c r="C318" s="11" t="n">
        <f aca="false">(ABS(C110-E110)/C110)*100</f>
        <v>98.2166405023548</v>
      </c>
      <c r="D318" s="25" t="n">
        <f aca="false">(ABS(D110-F110)/D110)*100</f>
        <v>10.8561513100816</v>
      </c>
      <c r="E318" s="24"/>
      <c r="F318" s="25" t="n">
        <f aca="false">(ABS(C110-G110)/C110)*100</f>
        <v>0.0251177394034537</v>
      </c>
      <c r="G318" s="25" t="n">
        <f aca="false">(ABS(D110-H110)/D110)*100</f>
        <v>0.00277633177164671</v>
      </c>
      <c r="H318" s="24"/>
    </row>
    <row r="319" customFormat="false" ht="15" hidden="false" customHeight="false" outlineLevel="0" collapsed="false">
      <c r="A319" s="7"/>
      <c r="B319" s="25" t="n">
        <v>107</v>
      </c>
      <c r="C319" s="11" t="n">
        <f aca="false">(ABS(C111-E111)/C111)*100</f>
        <v>99.9748806832454</v>
      </c>
      <c r="D319" s="25" t="n">
        <f aca="false">(ABS(D111-F111)/D111)*100</f>
        <v>11.0497237569061</v>
      </c>
      <c r="E319" s="24"/>
      <c r="F319" s="25" t="n">
        <f aca="false">(ABS(C111-G111)/C111)*100</f>
        <v>0.0251193167545843</v>
      </c>
      <c r="G319" s="25" t="n">
        <f aca="false">(ABS(D111-H111)/D111)*100</f>
        <v>0.0027763125017352</v>
      </c>
      <c r="H319" s="24"/>
    </row>
    <row r="320" customFormat="false" ht="15" hidden="false" customHeight="false" outlineLevel="0" collapsed="false">
      <c r="A320" s="7"/>
      <c r="B320" s="25" t="n">
        <v>108</v>
      </c>
      <c r="C320" s="11" t="n">
        <f aca="false">(ABS(C112-E112)/C112)*100</f>
        <v>99.805325295152</v>
      </c>
      <c r="D320" s="25" t="n">
        <f aca="false">(ABS(D112-F112)/D112)*100</f>
        <v>11.0309836475194</v>
      </c>
      <c r="E320" s="24"/>
      <c r="F320" s="25" t="n">
        <f aca="false">(ABS(C112-G112)/C112)*100</f>
        <v>0.0251193167545843</v>
      </c>
      <c r="G320" s="25" t="n">
        <f aca="false">(ABS(D112-H112)/D112)*100</f>
        <v>0.0027763125017352</v>
      </c>
      <c r="H320" s="24"/>
    </row>
    <row r="321" customFormat="false" ht="15" hidden="false" customHeight="false" outlineLevel="0" collapsed="false">
      <c r="A321" s="7"/>
      <c r="B321" s="25" t="n">
        <v>109</v>
      </c>
      <c r="C321" s="11" t="n">
        <f aca="false">(ABS(C113-E113)/C113)*100</f>
        <v>99.4097331240188</v>
      </c>
      <c r="D321" s="25" t="n">
        <f aca="false">(ABS(D113-F113)/D113)*100</f>
        <v>10.9880270692348</v>
      </c>
      <c r="E321" s="24"/>
      <c r="F321" s="25" t="n">
        <f aca="false">(ABS(C113-G113)/C113)*100</f>
        <v>0.0251177394034537</v>
      </c>
      <c r="G321" s="25" t="n">
        <f aca="false">(ABS(D113-H113)/D113)*100</f>
        <v>0.00277633177164671</v>
      </c>
      <c r="H321" s="24"/>
    </row>
    <row r="322" customFormat="false" ht="15" hidden="false" customHeight="false" outlineLevel="0" collapsed="false">
      <c r="A322" s="7"/>
      <c r="B322" s="25" t="n">
        <v>110</v>
      </c>
      <c r="C322" s="11" t="n">
        <f aca="false">(ABS(C114-E114)/C114)*100</f>
        <v>99.9623328520309</v>
      </c>
      <c r="D322" s="25" t="n">
        <f aca="false">(ABS(D114-F114)/D114)*100</f>
        <v>11.0521895454325</v>
      </c>
      <c r="E322" s="24"/>
      <c r="F322" s="25" t="n">
        <f aca="false">(ABS(C114-G114)/C114)*100</f>
        <v>0.00627785799485216</v>
      </c>
      <c r="G322" s="25" t="n">
        <f aca="false">(ABS(D114-H114)/D114)*100</f>
        <v>0.000694102213491959</v>
      </c>
      <c r="H322" s="24"/>
    </row>
    <row r="323" customFormat="false" ht="15" hidden="false" customHeight="false" outlineLevel="0" collapsed="false">
      <c r="A323" s="7"/>
      <c r="B323" s="25" t="n">
        <v>111</v>
      </c>
      <c r="C323" s="11" t="n">
        <f aca="false">(ABS(C115-E115)/C115)*100</f>
        <v>99.9811605124341</v>
      </c>
      <c r="D323" s="25" t="n">
        <f aca="false">(ABS(D115-F115)/D115)*100</f>
        <v>11.0504178350315</v>
      </c>
      <c r="E323" s="24"/>
      <c r="F323" s="25" t="n">
        <f aca="false">(ABS(C115-G115)/C115)*100</f>
        <v>0.0251193167545843</v>
      </c>
      <c r="G323" s="25" t="n">
        <f aca="false">(ABS(D115-H115)/D115)*100</f>
        <v>0.0027763125017352</v>
      </c>
      <c r="H323" s="24"/>
    </row>
    <row r="324" customFormat="false" ht="15" hidden="false" customHeight="false" outlineLevel="0" collapsed="false">
      <c r="A324" s="7"/>
      <c r="B324" s="25" t="n">
        <v>112</v>
      </c>
      <c r="C324" s="11" t="n">
        <f aca="false">(ABS(C116-E116)/C116)*100</f>
        <v>99.9748822605965</v>
      </c>
      <c r="D324" s="25" t="n">
        <f aca="false">(ABS(D116-F116)/D116)*100</f>
        <v>11.0504945340968</v>
      </c>
      <c r="E324" s="24"/>
      <c r="F324" s="25" t="n">
        <f aca="false">(ABS(C116-G116)/C116)*100</f>
        <v>0.0313971742543171</v>
      </c>
      <c r="G324" s="25" t="n">
        <f aca="false">(ABS(D116-H116)/D116)*100</f>
        <v>0.00347041471455839</v>
      </c>
      <c r="H324" s="24"/>
    </row>
    <row r="325" customFormat="false" ht="15" hidden="false" customHeight="false" outlineLevel="0" collapsed="false">
      <c r="A325" s="7"/>
      <c r="B325" s="25" t="n">
        <v>113</v>
      </c>
      <c r="C325" s="11" t="n">
        <f aca="false">(ABS(C117-E117)/C117)*100</f>
        <v>99.5101733232856</v>
      </c>
      <c r="D325" s="25" t="n">
        <f aca="false">(ABS(D117-F117)/D117)*100</f>
        <v>10.998361975624</v>
      </c>
      <c r="E325" s="24"/>
      <c r="F325" s="25" t="n">
        <f aca="false">(ABS(C117-G117)/C117)*100</f>
        <v>0.0313991459432303</v>
      </c>
      <c r="G325" s="25" t="n">
        <f aca="false">(ABS(D117-H117)/D117)*100</f>
        <v>0.00347039062716899</v>
      </c>
      <c r="H325" s="24"/>
    </row>
    <row r="326" customFormat="false" ht="15" hidden="false" customHeight="false" outlineLevel="0" collapsed="false">
      <c r="A326" s="7"/>
      <c r="B326" s="25" t="n">
        <v>114</v>
      </c>
      <c r="C326" s="11" t="n">
        <f aca="false">(ABS(C118-E118)/C118)*100</f>
        <v>99.9748822605965</v>
      </c>
      <c r="D326" s="25" t="n">
        <f aca="false">(ABS(D118-F118)/D118)*100</f>
        <v>11.0504945340968</v>
      </c>
      <c r="E326" s="24"/>
      <c r="F326" s="25" t="n">
        <f aca="false">(ABS(C118-G118)/C118)*100</f>
        <v>0.0313971742543171</v>
      </c>
      <c r="G326" s="25" t="n">
        <f aca="false">(ABS(D118-H118)/D118)*100</f>
        <v>0.00347041471455839</v>
      </c>
      <c r="H326" s="24"/>
    </row>
    <row r="327" customFormat="false" ht="15" hidden="false" customHeight="false" outlineLevel="0" collapsed="false">
      <c r="A327" s="7"/>
      <c r="B327" s="25" t="n">
        <v>115</v>
      </c>
      <c r="C327" s="11" t="n">
        <f aca="false">(ABS(C119-E119)/C119)*100</f>
        <v>99.8053375196232</v>
      </c>
      <c r="D327" s="25" t="n">
        <f aca="false">(ABS(D119-F119)/D119)*100</f>
        <v>11.0317542946382</v>
      </c>
      <c r="E327" s="24"/>
      <c r="F327" s="25" t="n">
        <f aca="false">(ABS(C119-G119)/C119)*100</f>
        <v>0.0313971742543171</v>
      </c>
      <c r="G327" s="25" t="n">
        <f aca="false">(ABS(D119-H119)/D119)*100</f>
        <v>0.00347041471455839</v>
      </c>
      <c r="H327" s="24"/>
    </row>
    <row r="328" customFormat="false" ht="15" hidden="false" customHeight="false" outlineLevel="0" collapsed="false">
      <c r="A328" s="7"/>
      <c r="B328" s="25" t="n">
        <v>116</v>
      </c>
      <c r="C328" s="11" t="n">
        <f aca="false">(ABS(C120-E120)/C120)*100</f>
        <v>97.8967855349071</v>
      </c>
      <c r="D328" s="25" t="n">
        <f aca="false">(ABS(D120-F120)/D120)*100</f>
        <v>10.8230606918763</v>
      </c>
      <c r="E328" s="24"/>
      <c r="F328" s="25" t="n">
        <f aca="false">(ABS(C120-G120)/C120)*100</f>
        <v>0</v>
      </c>
      <c r="G328" s="25" t="n">
        <f aca="false">(ABS(D120-H120)/D120)*100</f>
        <v>0</v>
      </c>
      <c r="H328" s="24"/>
    </row>
    <row r="329" customFormat="false" ht="15" hidden="false" customHeight="false" outlineLevel="0" collapsed="false">
      <c r="A329" s="7"/>
      <c r="B329" s="25" t="n">
        <v>117</v>
      </c>
      <c r="C329" s="11" t="n">
        <f aca="false">(ABS(C121-E121)/C121)*100</f>
        <v>99.8744113029827</v>
      </c>
      <c r="D329" s="25" t="n">
        <f aca="false">(ABS(D121-F121)/D121)*100</f>
        <v>11.0393892070102</v>
      </c>
      <c r="E329" s="24"/>
      <c r="F329" s="25" t="n">
        <f aca="false">(ABS(C121-G121)/C121)*100</f>
        <v>0.0188383045525903</v>
      </c>
      <c r="G329" s="25" t="n">
        <f aca="false">(ABS(D121-H121)/D121)*100</f>
        <v>0.00208224882873503</v>
      </c>
      <c r="H329" s="24"/>
    </row>
    <row r="330" customFormat="false" ht="15" hidden="false" customHeight="false" outlineLevel="0" collapsed="false">
      <c r="A330" s="7"/>
      <c r="B330" s="25" t="n">
        <v>118</v>
      </c>
      <c r="C330" s="11" t="n">
        <f aca="false">(ABS(C122-E122)/C122)*100</f>
        <v>99.9874411302983</v>
      </c>
      <c r="D330" s="25" t="n">
        <f aca="false">(ABS(D122-F122)/D122)*100</f>
        <v>11.0518826999826</v>
      </c>
      <c r="E330" s="24"/>
      <c r="F330" s="25" t="n">
        <f aca="false">(ABS(C122-G122)/C122)*100</f>
        <v>0.0188383045525903</v>
      </c>
      <c r="G330" s="25" t="n">
        <f aca="false">(ABS(D122-H122)/D122)*100</f>
        <v>0.00208224882873503</v>
      </c>
      <c r="H330" s="24"/>
    </row>
    <row r="331" customFormat="false" ht="15" hidden="false" customHeight="false" outlineLevel="0" collapsed="false">
      <c r="A331" s="7"/>
      <c r="B331" s="25" t="n">
        <v>119</v>
      </c>
      <c r="C331" s="11" t="n">
        <f aca="false">(ABS(C123-E123)/C123)*100</f>
        <v>99.7990580847724</v>
      </c>
      <c r="D331" s="25" t="n">
        <f aca="false">(ABS(D123-F123)/D123)*100</f>
        <v>11.0310602116953</v>
      </c>
      <c r="E331" s="24"/>
      <c r="F331" s="25" t="n">
        <f aca="false">(ABS(C123-G123)/C123)*100</f>
        <v>0.0188383045525903</v>
      </c>
      <c r="G331" s="25" t="n">
        <f aca="false">(ABS(D123-H123)/D123)*100</f>
        <v>0.00208224882873503</v>
      </c>
      <c r="H331" s="24"/>
    </row>
    <row r="332" customFormat="false" ht="15" hidden="false" customHeight="false" outlineLevel="0" collapsed="false">
      <c r="A332" s="7"/>
      <c r="B332" s="25" t="n">
        <v>120</v>
      </c>
      <c r="C332" s="11" t="n">
        <f aca="false">(ABS(C124-E124)/C124)*100</f>
        <v>99.9372056514914</v>
      </c>
      <c r="D332" s="25" t="n">
        <f aca="false">(ABS(D124-F124)/D124)*100</f>
        <v>11.0463300364394</v>
      </c>
      <c r="E332" s="24"/>
      <c r="F332" s="25" t="n">
        <f aca="false">(ABS(C124-G124)/C124)*100</f>
        <v>0.0188383045525903</v>
      </c>
      <c r="G332" s="25" t="n">
        <f aca="false">(ABS(D124-H124)/D124)*100</f>
        <v>0.00208224882873503</v>
      </c>
      <c r="H332" s="24"/>
    </row>
    <row r="333" customFormat="false" ht="15" hidden="false" customHeight="false" outlineLevel="0" collapsed="false">
      <c r="A333" s="7"/>
      <c r="B333" s="25" t="n">
        <v>121</v>
      </c>
      <c r="C333" s="11" t="n">
        <f aca="false">(ABS(C125-E125)/C125)*100</f>
        <v>92.1507064364207</v>
      </c>
      <c r="D333" s="25" t="n">
        <f aca="false">(ABS(D125-F125)/D125)*100</f>
        <v>10.1856671872289</v>
      </c>
      <c r="E333" s="24"/>
      <c r="F333" s="25" t="n">
        <f aca="false">(ABS(C125-G125)/C125)*100</f>
        <v>0.0188383045525903</v>
      </c>
      <c r="G333" s="25" t="n">
        <f aca="false">(ABS(D125-H125)/D125)*100</f>
        <v>0.00208224882873503</v>
      </c>
      <c r="H333" s="24"/>
    </row>
    <row r="334" customFormat="false" ht="15" hidden="false" customHeight="false" outlineLevel="0" collapsed="false">
      <c r="A334" s="7"/>
      <c r="B334" s="25" t="n">
        <v>122</v>
      </c>
      <c r="C334" s="11" t="n">
        <f aca="false">(ABS(C126-E126)/C126)*100</f>
        <v>99.2275810097965</v>
      </c>
      <c r="D334" s="25" t="n">
        <f aca="false">(ABS(D126-F126)/D126)*100</f>
        <v>10.9671284599795</v>
      </c>
      <c r="E334" s="24"/>
      <c r="F334" s="25" t="n">
        <f aca="false">(ABS(C126-G126)/C126)*100</f>
        <v>0.0188394875659382</v>
      </c>
      <c r="G334" s="25" t="n">
        <f aca="false">(ABS(D126-H126)/D126)*100</f>
        <v>0.0020822343763014</v>
      </c>
      <c r="H334" s="24"/>
    </row>
    <row r="335" customFormat="false" ht="15" hidden="false" customHeight="false" outlineLevel="0" collapsed="false">
      <c r="A335" s="7"/>
      <c r="B335" s="25" t="n">
        <v>123</v>
      </c>
      <c r="C335" s="11" t="n">
        <f aca="false">(ABS(C127-E127)/C127)*100</f>
        <v>96.2888540031397</v>
      </c>
      <c r="D335" s="25" t="n">
        <f aca="false">(ABS(D127-F127)/D127)*100</f>
        <v>10.6430678466077</v>
      </c>
      <c r="E335" s="24"/>
      <c r="F335" s="25" t="n">
        <f aca="false">(ABS(C127-G127)/C127)*100</f>
        <v>0.0188383045525903</v>
      </c>
      <c r="G335" s="25" t="n">
        <f aca="false">(ABS(D127-H127)/D127)*100</f>
        <v>0.00208224882873503</v>
      </c>
      <c r="H335" s="24"/>
    </row>
    <row r="336" customFormat="false" ht="15" hidden="false" customHeight="false" outlineLevel="0" collapsed="false">
      <c r="A336" s="7"/>
      <c r="B336" s="25" t="n">
        <v>124</v>
      </c>
      <c r="C336" s="11" t="n">
        <f aca="false">(ABS(C128-E128)/C128)*100</f>
        <v>99.8995479658463</v>
      </c>
      <c r="D336" s="25" t="n">
        <f aca="false">(ABS(D128-F128)/D128)*100</f>
        <v>11.0444777611194</v>
      </c>
      <c r="E336" s="24"/>
      <c r="F336" s="25" t="n">
        <f aca="false">(ABS(C128-G128)/C128)*100</f>
        <v>0.0125565042692115</v>
      </c>
      <c r="G336" s="25" t="n">
        <f aca="false">(ABS(D128-H128)/D128)*100</f>
        <v>0.00138819479149314</v>
      </c>
      <c r="H336" s="24"/>
    </row>
    <row r="337" customFormat="false" ht="15" hidden="false" customHeight="false" outlineLevel="0" collapsed="false">
      <c r="A337" s="7"/>
      <c r="B337" s="25" t="n">
        <v>125</v>
      </c>
      <c r="C337" s="11" t="n">
        <f aca="false">(ABS(C129-E129)/C129)*100</f>
        <v>99.9246467817896</v>
      </c>
      <c r="D337" s="25" t="n">
        <f aca="false">(ABS(D129-F129)/D129)*100</f>
        <v>11.0449418705535</v>
      </c>
      <c r="E337" s="24"/>
      <c r="F337" s="25" t="n">
        <f aca="false">(ABS(C129-G129)/C129)*100</f>
        <v>0.0188383045525903</v>
      </c>
      <c r="G337" s="25" t="n">
        <f aca="false">(ABS(D129-H129)/D129)*100</f>
        <v>0.00208224882873503</v>
      </c>
      <c r="H337" s="24"/>
    </row>
    <row r="338" customFormat="false" ht="15" hidden="false" customHeight="false" outlineLevel="0" collapsed="false">
      <c r="A338" s="7"/>
      <c r="B338" s="25" t="n">
        <v>126</v>
      </c>
      <c r="C338" s="11" t="n">
        <f aca="false">(ABS(C130-E130)/C130)*100</f>
        <v>99.8806907378336</v>
      </c>
      <c r="D338" s="25" t="n">
        <f aca="false">(ABS(D130-F130)/D130)*100</f>
        <v>11.0400832899531</v>
      </c>
      <c r="E338" s="24"/>
      <c r="F338" s="25" t="n">
        <f aca="false">(ABS(C130-G130)/C130)*100</f>
        <v>0.0125588697017268</v>
      </c>
      <c r="G338" s="25" t="n">
        <f aca="false">(ABS(D130-H130)/D130)*100</f>
        <v>0.00138816588582336</v>
      </c>
      <c r="H338" s="24"/>
    </row>
    <row r="339" customFormat="false" ht="15" hidden="false" customHeight="false" outlineLevel="0" collapsed="false">
      <c r="A339" s="7"/>
      <c r="B339" s="25" t="n">
        <v>127</v>
      </c>
      <c r="C339" s="11" t="n">
        <f aca="false">(ABS(C131-E131)/C131)*100</f>
        <v>96.094191522763</v>
      </c>
      <c r="D339" s="25" t="n">
        <f aca="false">(ABS(D131-F131)/D131)*100</f>
        <v>10.6215512753774</v>
      </c>
      <c r="E339" s="24"/>
      <c r="F339" s="25" t="n">
        <f aca="false">(ABS(C131-G131)/C131)*100</f>
        <v>0.0125588697017268</v>
      </c>
      <c r="G339" s="25" t="n">
        <f aca="false">(ABS(D131-H131)/D131)*100</f>
        <v>0.00138816588582336</v>
      </c>
      <c r="H339" s="24"/>
    </row>
    <row r="340" customFormat="false" ht="15" hidden="false" customHeight="false" outlineLevel="0" collapsed="false">
      <c r="A340" s="7"/>
      <c r="B340" s="25" t="n">
        <v>128</v>
      </c>
      <c r="C340" s="11" t="n">
        <f aca="false">(ABS(C132-E132)/C132)*100</f>
        <v>97.4692288369756</v>
      </c>
      <c r="D340" s="25" t="n">
        <f aca="false">(ABS(D132-F132)/D132)*100</f>
        <v>10.772786584858</v>
      </c>
      <c r="E340" s="24"/>
      <c r="F340" s="25" t="n">
        <f aca="false">(ABS(C132-G132)/C132)*100</f>
        <v>0.0188394875659382</v>
      </c>
      <c r="G340" s="25" t="n">
        <f aca="false">(ABS(D132-H132)/D132)*100</f>
        <v>0.0020822343763014</v>
      </c>
      <c r="H340" s="24"/>
    </row>
    <row r="341" customFormat="false" ht="15" hidden="false" customHeight="false" outlineLevel="0" collapsed="false">
      <c r="A341" s="7"/>
      <c r="B341" s="25" t="n">
        <v>129</v>
      </c>
      <c r="C341" s="11" t="n">
        <f aca="false">(ABS(C133-E133)/C133)*100</f>
        <v>99.8932697137117</v>
      </c>
      <c r="D341" s="25" t="n">
        <f aca="false">(ABS(D133-F133)/D133)*100</f>
        <v>11.0437836637237</v>
      </c>
      <c r="E341" s="24"/>
      <c r="F341" s="25" t="n">
        <f aca="false">(ABS(C133-G133)/C133)*100</f>
        <v>0.00627825213460573</v>
      </c>
      <c r="G341" s="25" t="n">
        <f aca="false">(ABS(D133-H133)/D133)*100</f>
        <v>0.000694097395746571</v>
      </c>
      <c r="H341" s="24"/>
    </row>
    <row r="342" customFormat="false" ht="15" hidden="false" customHeight="false" outlineLevel="0" collapsed="false">
      <c r="A342" s="7"/>
      <c r="B342" s="25" t="n">
        <v>130</v>
      </c>
      <c r="C342" s="11" t="n">
        <f aca="false">(ABS(C134-E134)/C134)*100</f>
        <v>99.912082391359</v>
      </c>
      <c r="D342" s="25" t="n">
        <f aca="false">(ABS(D134-F134)/D134)*100</f>
        <v>11.0427829756517</v>
      </c>
      <c r="E342" s="24"/>
      <c r="F342" s="25" t="n">
        <f aca="false">(ABS(C134-G134)/C134)*100</f>
        <v>0.0251193167545843</v>
      </c>
      <c r="G342" s="25" t="n">
        <f aca="false">(ABS(D134-H134)/D134)*100</f>
        <v>0.0027763125017352</v>
      </c>
      <c r="H342" s="24"/>
    </row>
    <row r="343" customFormat="false" ht="15" hidden="false" customHeight="false" outlineLevel="0" collapsed="false">
      <c r="A343" s="7"/>
      <c r="B343" s="25" t="n">
        <v>131</v>
      </c>
      <c r="C343" s="11" t="n">
        <f aca="false">(ABS(C135-E135)/C135)*100</f>
        <v>94.2229199372057</v>
      </c>
      <c r="D343" s="25" t="n">
        <f aca="false">(ABS(D135-F135)/D135)*100</f>
        <v>10.4147145583897</v>
      </c>
      <c r="E343" s="24"/>
      <c r="F343" s="25" t="n">
        <f aca="false">(ABS(C135-G135)/C135)*100</f>
        <v>0.0251177394034537</v>
      </c>
      <c r="G343" s="25" t="n">
        <f aca="false">(ABS(D135-H135)/D135)*100</f>
        <v>0.00277633177164671</v>
      </c>
      <c r="H343" s="24"/>
    </row>
    <row r="344" customFormat="false" ht="15" hidden="false" customHeight="false" outlineLevel="0" collapsed="false">
      <c r="A344" s="7"/>
      <c r="B344" s="25" t="n">
        <v>132</v>
      </c>
      <c r="C344" s="11" t="n">
        <f aca="false">(ABS(C136-E136)/C136)*100</f>
        <v>99.032967032967</v>
      </c>
      <c r="D344" s="25" t="n">
        <f aca="false">(ABS(D136-F136)/D136)*100</f>
        <v>10.9463820926601</v>
      </c>
      <c r="E344" s="24"/>
      <c r="F344" s="25" t="n">
        <f aca="false">(ABS(C136-G136)/C136)*100</f>
        <v>0.0313971742543171</v>
      </c>
      <c r="G344" s="25" t="n">
        <f aca="false">(ABS(D136-H136)/D136)*100</f>
        <v>0.00347041471455839</v>
      </c>
      <c r="H344" s="24"/>
    </row>
    <row r="345" customFormat="false" ht="15" hidden="false" customHeight="false" outlineLevel="0" collapsed="false">
      <c r="A345" s="7"/>
      <c r="B345" s="25" t="n">
        <v>133</v>
      </c>
      <c r="C345" s="11" t="n">
        <f aca="false">(ABS(C137-E137)/C137)*100</f>
        <v>99.7613664908315</v>
      </c>
      <c r="D345" s="25" t="n">
        <f aca="false">(ABS(D137-F137)/D137)*100</f>
        <v>11.0261251006413</v>
      </c>
      <c r="E345" s="24"/>
      <c r="F345" s="25" t="n">
        <f aca="false">(ABS(C137-G137)/C137)*100</f>
        <v>0.0251193167545843</v>
      </c>
      <c r="G345" s="25" t="n">
        <f aca="false">(ABS(D137-H137)/D137)*100</f>
        <v>0.0027763125017352</v>
      </c>
      <c r="H345" s="24"/>
    </row>
    <row r="346" customFormat="false" ht="15" hidden="false" customHeight="false" outlineLevel="0" collapsed="false">
      <c r="A346" s="7"/>
      <c r="B346" s="25" t="n">
        <v>134</v>
      </c>
      <c r="C346" s="11" t="n">
        <f aca="false">(ABS(C138-E138)/C138)*100</f>
        <v>100</v>
      </c>
      <c r="D346" s="25" t="n">
        <f aca="false">(ABS(D138-F138)/D138)*100</f>
        <v>11.0532708658685</v>
      </c>
      <c r="E346" s="24"/>
      <c r="F346" s="25" t="n">
        <f aca="false">(ABS(C138-G138)/C138)*100</f>
        <v>0.0376766091051805</v>
      </c>
      <c r="G346" s="25" t="n">
        <f aca="false">(ABS(D138-H138)/D138)*100</f>
        <v>0.00416449765747007</v>
      </c>
      <c r="H346" s="24"/>
    </row>
    <row r="347" customFormat="false" ht="15" hidden="false" customHeight="false" outlineLevel="0" collapsed="false">
      <c r="A347" s="7"/>
      <c r="B347" s="25" t="n">
        <v>135</v>
      </c>
      <c r="C347" s="11" t="n">
        <f aca="false">(ABS(C139-E139)/C139)*100</f>
        <v>99.9497613664908</v>
      </c>
      <c r="D347" s="25" t="n">
        <f aca="false">(ABS(D139-F139)/D139)*100</f>
        <v>11.0469474444043</v>
      </c>
      <c r="E347" s="24"/>
      <c r="F347" s="25" t="n">
        <f aca="false">(ABS(C139-G139)/C139)*100</f>
        <v>0.0251193167545843</v>
      </c>
      <c r="G347" s="25" t="n">
        <f aca="false">(ABS(D139-H139)/D139)*100</f>
        <v>0.0027763125017352</v>
      </c>
      <c r="H347" s="24"/>
    </row>
    <row r="348" customFormat="false" ht="15" hidden="false" customHeight="false" outlineLevel="0" collapsed="false">
      <c r="A348" s="7"/>
      <c r="B348" s="25" t="n">
        <v>136</v>
      </c>
      <c r="C348" s="11" t="n">
        <f aca="false">(ABS(C140-E140)/C140)*100</f>
        <v>99.5291310899046</v>
      </c>
      <c r="D348" s="25" t="n">
        <f aca="false">(ABS(D140-F140)/D140)*100</f>
        <v>11.0035260147704</v>
      </c>
      <c r="E348" s="24"/>
      <c r="F348" s="25" t="n">
        <f aca="false">(ABS(C140-G140)/C140)*100</f>
        <v>0</v>
      </c>
      <c r="G348" s="25" t="n">
        <f aca="false">(ABS(D140-H140)/D140)*100</f>
        <v>0</v>
      </c>
      <c r="H348" s="24"/>
    </row>
    <row r="349" customFormat="false" ht="15" hidden="false" customHeight="false" outlineLevel="0" collapsed="false">
      <c r="A349" s="7"/>
      <c r="B349" s="25" t="n">
        <v>137</v>
      </c>
      <c r="C349" s="11" t="n">
        <f aca="false">(ABS(C141-E141)/C141)*100</f>
        <v>99.9058025621703</v>
      </c>
      <c r="D349" s="25" t="n">
        <f aca="false">(ABS(D141-F141)/D141)*100</f>
        <v>11.0420888975263</v>
      </c>
      <c r="E349" s="24"/>
      <c r="F349" s="25" t="n">
        <f aca="false">(ABS(C141-G141)/C141)*100</f>
        <v>0.0251193167545843</v>
      </c>
      <c r="G349" s="25" t="n">
        <f aca="false">(ABS(D141-H141)/D141)*100</f>
        <v>0.0027763125017352</v>
      </c>
      <c r="H349" s="24"/>
    </row>
    <row r="350" customFormat="false" ht="15" hidden="false" customHeight="false" outlineLevel="0" collapsed="false">
      <c r="A350" s="7"/>
      <c r="B350" s="25" t="n">
        <v>138</v>
      </c>
      <c r="C350" s="11" t="n">
        <f aca="false">(ABS(C142-E142)/C142)*100</f>
        <v>100</v>
      </c>
      <c r="D350" s="25" t="n">
        <f aca="false">(ABS(D142-F142)/D142)*100</f>
        <v>11.0532708658685</v>
      </c>
      <c r="E350" s="24"/>
      <c r="F350" s="25" t="n">
        <f aca="false">(ABS(C142-G142)/C142)*100</f>
        <v>0.0251177394034537</v>
      </c>
      <c r="G350" s="25" t="n">
        <f aca="false">(ABS(D142-H142)/D142)*100</f>
        <v>0.00277633177164671</v>
      </c>
      <c r="H350" s="24"/>
    </row>
    <row r="351" customFormat="false" ht="15" hidden="false" customHeight="false" outlineLevel="0" collapsed="false">
      <c r="A351" s="7"/>
      <c r="B351" s="25" t="n">
        <v>139</v>
      </c>
      <c r="C351" s="11" t="n">
        <f aca="false">(ABS(C143-E143)/C143)*100</f>
        <v>99.6671899529042</v>
      </c>
      <c r="D351" s="25" t="n">
        <f aca="false">(ABS(D143-F143)/D143)*100</f>
        <v>11.0164844698942</v>
      </c>
      <c r="E351" s="24"/>
      <c r="F351" s="25" t="n">
        <f aca="false">(ABS(C143-G143)/C143)*100</f>
        <v>0.0251177394034537</v>
      </c>
      <c r="G351" s="25" t="n">
        <f aca="false">(ABS(D143-H143)/D143)*100</f>
        <v>0.00277633177164671</v>
      </c>
      <c r="H351" s="24"/>
    </row>
    <row r="352" customFormat="false" ht="15" hidden="false" customHeight="false" outlineLevel="0" collapsed="false">
      <c r="A352" s="7"/>
      <c r="B352" s="25" t="n">
        <v>140</v>
      </c>
      <c r="C352" s="11" t="n">
        <f aca="false">(ABS(C144-E144)/C144)*100</f>
        <v>97.2755806654112</v>
      </c>
      <c r="D352" s="25" t="n">
        <f aca="false">(ABS(D144-F144)/D144)*100</f>
        <v>10.7558825570903</v>
      </c>
      <c r="E352" s="24"/>
      <c r="F352" s="25" t="n">
        <f aca="false">(ABS(C144-G144)/C144)*100</f>
        <v>0.0313873195229127</v>
      </c>
      <c r="G352" s="25" t="n">
        <f aca="false">(ABS(D144-H144)/D144)*100</f>
        <v>0.00347053515652114</v>
      </c>
      <c r="H352" s="24"/>
    </row>
    <row r="353" customFormat="false" ht="15" hidden="false" customHeight="false" outlineLevel="0" collapsed="false">
      <c r="A353" s="7"/>
      <c r="B353" s="25" t="n">
        <v>141</v>
      </c>
      <c r="C353" s="11" t="n">
        <f aca="false">(ABS(C145-E145)/C145)*100</f>
        <v>99.8367346938776</v>
      </c>
      <c r="D353" s="25" t="n">
        <f aca="false">(ABS(D145-F145)/D145)*100</f>
        <v>11.0352247093528</v>
      </c>
      <c r="E353" s="24"/>
      <c r="F353" s="25" t="n">
        <f aca="false">(ABS(C145-G145)/C145)*100</f>
        <v>0.0251177394034537</v>
      </c>
      <c r="G353" s="25" t="n">
        <f aca="false">(ABS(D145-H145)/D145)*100</f>
        <v>0.00277633177164671</v>
      </c>
      <c r="H353" s="24"/>
    </row>
    <row r="354" customFormat="false" ht="15" hidden="false" customHeight="false" outlineLevel="0" collapsed="false">
      <c r="A354" s="7"/>
      <c r="B354" s="25" t="n">
        <v>142</v>
      </c>
      <c r="C354" s="11" t="n">
        <f aca="false">(ABS(C146-E146)/C146)*100</f>
        <v>99.9874411302983</v>
      </c>
      <c r="D354" s="25" t="n">
        <f aca="false">(ABS(D146-F146)/D146)*100</f>
        <v>11.0518826999826</v>
      </c>
      <c r="E354" s="24"/>
      <c r="F354" s="25" t="n">
        <f aca="false">(ABS(C146-G146)/C146)*100</f>
        <v>0.0251177394034537</v>
      </c>
      <c r="G354" s="25" t="n">
        <f aca="false">(ABS(D146-H146)/D146)*100</f>
        <v>0.00277633177164671</v>
      </c>
      <c r="H354" s="24"/>
    </row>
    <row r="355" customFormat="false" ht="15" hidden="false" customHeight="false" outlineLevel="0" collapsed="false">
      <c r="A355" s="7"/>
      <c r="B355" s="25" t="n">
        <v>143</v>
      </c>
      <c r="C355" s="11" t="n">
        <f aca="false">(ABS(C147-E147)/C147)*100</f>
        <v>99.9874411302983</v>
      </c>
      <c r="D355" s="25" t="n">
        <f aca="false">(ABS(D147-F147)/D147)*100</f>
        <v>11.0518826999826</v>
      </c>
      <c r="E355" s="24"/>
      <c r="F355" s="25" t="n">
        <f aca="false">(ABS(C147-G147)/C147)*100</f>
        <v>0.0251177394034537</v>
      </c>
      <c r="G355" s="25" t="n">
        <f aca="false">(ABS(D147-H147)/D147)*100</f>
        <v>0.00277633177164671</v>
      </c>
      <c r="H355" s="24"/>
    </row>
    <row r="356" customFormat="false" ht="15" hidden="false" customHeight="false" outlineLevel="0" collapsed="false">
      <c r="A356" s="7"/>
      <c r="B356" s="25" t="n">
        <v>144</v>
      </c>
      <c r="C356" s="11" t="n">
        <f aca="false">(ABS(C148-E148)/C148)*100</f>
        <v>100</v>
      </c>
      <c r="D356" s="25" t="n">
        <f aca="false">(ABS(D148-F148)/D148)*100</f>
        <v>11.0525000694078</v>
      </c>
      <c r="E356" s="24"/>
      <c r="F356" s="25" t="n">
        <f aca="false">(ABS(C148-G148)/C148)*100</f>
        <v>0.0251193167545843</v>
      </c>
      <c r="G356" s="25" t="n">
        <f aca="false">(ABS(D148-H148)/D148)*100</f>
        <v>0.0027763125017352</v>
      </c>
      <c r="H356" s="24"/>
    </row>
    <row r="357" customFormat="false" ht="15" hidden="false" customHeight="false" outlineLevel="0" collapsed="false">
      <c r="A357" s="7"/>
      <c r="B357" s="25" t="n">
        <v>145</v>
      </c>
      <c r="C357" s="11" t="n">
        <f aca="false">(ABS(C149-E149)/C149)*100</f>
        <v>99.9183622205476</v>
      </c>
      <c r="D357" s="25" t="n">
        <f aca="false">(ABS(D149-F149)/D149)*100</f>
        <v>11.0434770537772</v>
      </c>
      <c r="E357" s="24"/>
      <c r="F357" s="25" t="n">
        <f aca="false">(ABS(C149-G149)/C149)*100</f>
        <v>0.0251193167545843</v>
      </c>
      <c r="G357" s="25" t="n">
        <f aca="false">(ABS(D149-H149)/D149)*100</f>
        <v>0.0027763125017352</v>
      </c>
      <c r="H357" s="24"/>
    </row>
    <row r="358" customFormat="false" ht="15" hidden="false" customHeight="false" outlineLevel="0" collapsed="false">
      <c r="A358" s="7"/>
      <c r="B358" s="25" t="n">
        <v>146</v>
      </c>
      <c r="C358" s="11" t="n">
        <f aca="false">(ABS(C150-E150)/C150)*100</f>
        <v>98.0973312401884</v>
      </c>
      <c r="D358" s="25" t="n">
        <f aca="false">(ABS(D150-F150)/D150)*100</f>
        <v>10.8429637341662</v>
      </c>
      <c r="E358" s="24"/>
      <c r="F358" s="25" t="n">
        <f aca="false">(ABS(C150-G150)/C150)*100</f>
        <v>0.0251177394034537</v>
      </c>
      <c r="G358" s="25" t="n">
        <f aca="false">(ABS(D150-H150)/D150)*100</f>
        <v>0.00277633177164671</v>
      </c>
      <c r="H358" s="24"/>
    </row>
    <row r="359" customFormat="false" ht="15" hidden="false" customHeight="false" outlineLevel="0" collapsed="false">
      <c r="A359" s="7"/>
      <c r="B359" s="25" t="n">
        <v>147</v>
      </c>
      <c r="C359" s="11" t="n">
        <f aca="false">(ABS(C151-E151)/C151)*100</f>
        <v>99.5102040816327</v>
      </c>
      <c r="D359" s="25" t="n">
        <f aca="false">(ABS(D151-F151)/D151)*100</f>
        <v>10.9991323963214</v>
      </c>
      <c r="E359" s="24"/>
      <c r="F359" s="25" t="n">
        <f aca="false">(ABS(C151-G151)/C151)*100</f>
        <v>0.0251177394034537</v>
      </c>
      <c r="G359" s="25" t="n">
        <f aca="false">(ABS(D151-H151)/D151)*100</f>
        <v>0.00277633177164671</v>
      </c>
      <c r="H359" s="24"/>
    </row>
    <row r="360" customFormat="false" ht="15" hidden="false" customHeight="false" outlineLevel="0" collapsed="false">
      <c r="A360" s="7"/>
      <c r="B360" s="25" t="n">
        <v>148</v>
      </c>
      <c r="C360" s="11" t="n">
        <f aca="false">(ABS(C152-E152)/C152)*100</f>
        <v>99.6483516483517</v>
      </c>
      <c r="D360" s="25" t="n">
        <f aca="false">(ABS(D152-F152)/D152)*100</f>
        <v>11.0144022210654</v>
      </c>
      <c r="E360" s="24"/>
      <c r="F360" s="25" t="n">
        <f aca="false">(ABS(C152-G152)/C152)*100</f>
        <v>0.0251177394034537</v>
      </c>
      <c r="G360" s="25" t="n">
        <f aca="false">(ABS(D152-H152)/D152)*100</f>
        <v>0.00277633177164671</v>
      </c>
      <c r="H360" s="24"/>
    </row>
    <row r="361" customFormat="false" ht="15" hidden="false" customHeight="false" outlineLevel="0" collapsed="false">
      <c r="A361" s="7"/>
      <c r="B361" s="25" t="n">
        <v>149</v>
      </c>
      <c r="C361" s="11" t="n">
        <f aca="false">(ABS(C153-E153)/C153)*100</f>
        <v>96.5149136577708</v>
      </c>
      <c r="D361" s="25" t="n">
        <f aca="false">(ABS(D153-F153)/D153)*100</f>
        <v>10.6680548325525</v>
      </c>
      <c r="E361" s="24"/>
      <c r="F361" s="25" t="n">
        <f aca="false">(ABS(C153-G153)/C153)*100</f>
        <v>0.0313971742543171</v>
      </c>
      <c r="G361" s="25" t="n">
        <f aca="false">(ABS(D153-H153)/D153)*100</f>
        <v>0.00347041471455839</v>
      </c>
      <c r="H361" s="24"/>
    </row>
    <row r="362" customFormat="false" ht="15" hidden="false" customHeight="false" outlineLevel="0" collapsed="false">
      <c r="A362" s="7"/>
      <c r="B362" s="25" t="n">
        <v>150</v>
      </c>
      <c r="C362" s="11" t="n">
        <f aca="false">(ABS(C154-E154)/C154)*100</f>
        <v>99.9183673469388</v>
      </c>
      <c r="D362" s="25" t="n">
        <f aca="false">(ABS(D154-F154)/D154)*100</f>
        <v>11.0442477876106</v>
      </c>
      <c r="E362" s="24"/>
      <c r="F362" s="25" t="n">
        <f aca="false">(ABS(C154-G154)/C154)*100</f>
        <v>0.0313971742543171</v>
      </c>
      <c r="G362" s="25" t="n">
        <f aca="false">(ABS(D154-H154)/D154)*100</f>
        <v>0.00347041471455839</v>
      </c>
      <c r="H362" s="24"/>
    </row>
    <row r="363" customFormat="false" ht="15" hidden="false" customHeight="false" outlineLevel="0" collapsed="false">
      <c r="A363" s="7"/>
      <c r="B363" s="25" t="n">
        <v>151</v>
      </c>
      <c r="C363" s="11" t="n">
        <f aca="false">(ABS(C155-E155)/C155)*100</f>
        <v>99.6924042686755</v>
      </c>
      <c r="D363" s="25" t="n">
        <f aca="false">(ABS(D155-F155)/D155)*100</f>
        <v>11.0231137641424</v>
      </c>
      <c r="E363" s="24"/>
      <c r="F363" s="25" t="n">
        <f aca="false">(ABS(C155-G155)/C155)*100</f>
        <v>0.00627746390458255</v>
      </c>
      <c r="G363" s="25" t="n">
        <f aca="false">(ABS(D155-H155)/D155)*100</f>
        <v>0.000694107031304227</v>
      </c>
      <c r="H363" s="24"/>
    </row>
    <row r="364" customFormat="false" ht="15" hidden="false" customHeight="false" outlineLevel="0" collapsed="false">
      <c r="A364" s="7"/>
      <c r="B364" s="25" t="n">
        <v>152</v>
      </c>
      <c r="C364" s="11" t="n">
        <f aca="false">(ABS(C156-E156)/C156)*100</f>
        <v>99.6169544740973</v>
      </c>
      <c r="D364" s="25" t="n">
        <f aca="false">(ABS(D156-F156)/D156)*100</f>
        <v>11.0109318063509</v>
      </c>
      <c r="E364" s="24"/>
      <c r="F364" s="25" t="n">
        <f aca="false">(ABS(C156-G156)/C156)*100</f>
        <v>0.0188383045525903</v>
      </c>
      <c r="G364" s="25" t="n">
        <f aca="false">(ABS(D156-H156)/D156)*100</f>
        <v>0.00208224882873503</v>
      </c>
      <c r="H364" s="24"/>
    </row>
    <row r="365" customFormat="false" ht="15" hidden="false" customHeight="false" outlineLevel="0" collapsed="false">
      <c r="A365" s="7"/>
      <c r="B365" s="25" t="n">
        <v>153</v>
      </c>
      <c r="C365" s="11" t="n">
        <f aca="false">(ABS(C157-E157)/C157)*100</f>
        <v>99.9309262166405</v>
      </c>
      <c r="D365" s="25" t="n">
        <f aca="false">(ABS(D157-F157)/D157)*100</f>
        <v>11.0456359534964</v>
      </c>
      <c r="E365" s="24"/>
      <c r="F365" s="25" t="n">
        <f aca="false">(ABS(C157-G157)/C157)*100</f>
        <v>0.0125588697017268</v>
      </c>
      <c r="G365" s="25" t="n">
        <f aca="false">(ABS(D157-H157)/D157)*100</f>
        <v>0.00138816588582336</v>
      </c>
      <c r="H365" s="24"/>
    </row>
    <row r="366" customFormat="false" ht="15" hidden="false" customHeight="false" outlineLevel="0" collapsed="false">
      <c r="A366" s="7"/>
      <c r="B366" s="25" t="n">
        <v>154</v>
      </c>
      <c r="C366" s="11" t="n">
        <f aca="false">(ABS(C158-E158)/C158)*100</f>
        <v>99.9686028257457</v>
      </c>
      <c r="D366" s="25" t="n">
        <f aca="false">(ABS(D158-F158)/D158)*100</f>
        <v>11.0498004511539</v>
      </c>
      <c r="E366" s="24"/>
      <c r="F366" s="25" t="n">
        <f aca="false">(ABS(C158-G158)/C158)*100</f>
        <v>0.0125588697017268</v>
      </c>
      <c r="G366" s="25" t="n">
        <f aca="false">(ABS(D158-H158)/D158)*100</f>
        <v>0.00138816588582336</v>
      </c>
      <c r="H366" s="24"/>
    </row>
    <row r="367" customFormat="false" ht="15" hidden="false" customHeight="false" outlineLevel="0" collapsed="false">
      <c r="A367" s="7"/>
      <c r="B367" s="25" t="n">
        <v>155</v>
      </c>
      <c r="C367" s="11" t="n">
        <f aca="false">(ABS(C159-E159)/C159)*100</f>
        <v>99.9183673469388</v>
      </c>
      <c r="D367" s="25" t="n">
        <f aca="false">(ABS(D159-F159)/D159)*100</f>
        <v>11.0442477876106</v>
      </c>
      <c r="E367" s="24"/>
      <c r="F367" s="25" t="n">
        <f aca="false">(ABS(C159-G159)/C159)*100</f>
        <v>0.0125588697017268</v>
      </c>
      <c r="G367" s="25" t="n">
        <f aca="false">(ABS(D159-H159)/D159)*100</f>
        <v>0.00138816588582336</v>
      </c>
      <c r="H367" s="24"/>
    </row>
    <row r="368" customFormat="false" ht="15" hidden="false" customHeight="false" outlineLevel="0" collapsed="false">
      <c r="A368" s="7"/>
      <c r="B368" s="25" t="n">
        <v>156</v>
      </c>
      <c r="C368" s="11" t="n">
        <f aca="false">(ABS(C160-E160)/C160)*100</f>
        <v>99.9372056514914</v>
      </c>
      <c r="D368" s="25" t="n">
        <f aca="false">(ABS(D160-F160)/D160)*100</f>
        <v>11.0463300364394</v>
      </c>
      <c r="E368" s="24"/>
      <c r="F368" s="25" t="n">
        <f aca="false">(ABS(C160-G160)/C160)*100</f>
        <v>0.0188383045525903</v>
      </c>
      <c r="G368" s="25" t="n">
        <f aca="false">(ABS(D160-H160)/D160)*100</f>
        <v>0.00208224882873503</v>
      </c>
      <c r="H368" s="24"/>
    </row>
    <row r="369" customFormat="false" ht="15" hidden="false" customHeight="false" outlineLevel="0" collapsed="false">
      <c r="A369" s="7"/>
      <c r="B369" s="25" t="n">
        <v>157</v>
      </c>
      <c r="C369" s="11" t="n">
        <f aca="false">(ABS(C161-E161)/C161)*100</f>
        <v>99.956043956044</v>
      </c>
      <c r="D369" s="25" t="n">
        <f aca="false">(ABS(D161-F161)/D161)*100</f>
        <v>11.0484122852681</v>
      </c>
      <c r="E369" s="24"/>
      <c r="F369" s="25" t="n">
        <f aca="false">(ABS(C161-G161)/C161)*100</f>
        <v>0.0125588697017268</v>
      </c>
      <c r="G369" s="25" t="n">
        <f aca="false">(ABS(D161-H161)/D161)*100</f>
        <v>0.00138816588582336</v>
      </c>
      <c r="H369" s="24"/>
    </row>
    <row r="370" customFormat="false" ht="15" hidden="false" customHeight="false" outlineLevel="0" collapsed="false">
      <c r="A370" s="7"/>
      <c r="B370" s="25" t="n">
        <v>158</v>
      </c>
      <c r="C370" s="11" t="n">
        <f aca="false">(ABS(C162-E162)/C162)*100</f>
        <v>95.5664405928159</v>
      </c>
      <c r="D370" s="25" t="n">
        <f aca="false">(ABS(D162-F162)/D162)*100</f>
        <v>10.5624809128516</v>
      </c>
      <c r="E370" s="24"/>
      <c r="F370" s="25" t="n">
        <f aca="false">(ABS(C162-G162)/C162)*100</f>
        <v>0.0125596583772921</v>
      </c>
      <c r="G370" s="25" t="n">
        <f aca="false">(ABS(D162-H162)/D162)*100</f>
        <v>0.0013881562508676</v>
      </c>
      <c r="H370" s="24"/>
    </row>
    <row r="371" customFormat="false" ht="15" hidden="false" customHeight="false" outlineLevel="0" collapsed="false">
      <c r="A371" s="7"/>
      <c r="B371" s="25" t="n">
        <v>159</v>
      </c>
      <c r="C371" s="11" t="n">
        <f aca="false">(ABS(C163-E163)/C163)*100</f>
        <v>99.8618437578498</v>
      </c>
      <c r="D371" s="25" t="n">
        <f aca="false">(ABS(D163-F163)/D163)*100</f>
        <v>11.0372303506483</v>
      </c>
      <c r="E371" s="24"/>
      <c r="F371" s="25" t="n">
        <f aca="false">(ABS(C163-G163)/C163)*100</f>
        <v>0.0125596583772921</v>
      </c>
      <c r="G371" s="25" t="n">
        <f aca="false">(ABS(D163-H163)/D163)*100</f>
        <v>0.0013881562508676</v>
      </c>
      <c r="H371" s="24"/>
    </row>
    <row r="372" customFormat="false" ht="15" hidden="false" customHeight="false" outlineLevel="0" collapsed="false">
      <c r="A372" s="7"/>
      <c r="B372" s="25" t="n">
        <v>160</v>
      </c>
      <c r="C372" s="11" t="n">
        <f aca="false">(ABS(C164-E164)/C164)*100</f>
        <v>99.9497645211931</v>
      </c>
      <c r="D372" s="25" t="n">
        <f aca="false">(ABS(D164-F164)/D164)*100</f>
        <v>11.0477182023252</v>
      </c>
      <c r="E372" s="24"/>
      <c r="F372" s="25" t="n">
        <f aca="false">(ABS(C164-G164)/C164)*100</f>
        <v>0.0188383045525903</v>
      </c>
      <c r="G372" s="25" t="n">
        <f aca="false">(ABS(D164-H164)/D164)*100</f>
        <v>0.00208224882873503</v>
      </c>
      <c r="H372" s="24"/>
    </row>
    <row r="373" customFormat="false" ht="15" hidden="false" customHeight="false" outlineLevel="0" collapsed="false">
      <c r="A373" s="7"/>
      <c r="B373" s="25" t="n">
        <v>161</v>
      </c>
      <c r="C373" s="11" t="n">
        <f aca="false">(ABS(C165-E165)/C165)*100</f>
        <v>99.9623233908948</v>
      </c>
      <c r="D373" s="25" t="n">
        <f aca="false">(ABS(D165-F165)/D165)*100</f>
        <v>11.049106368211</v>
      </c>
      <c r="E373" s="24"/>
      <c r="F373" s="25" t="n">
        <f aca="false">(ABS(C165-G165)/C165)*100</f>
        <v>0.0188383045525903</v>
      </c>
      <c r="G373" s="25" t="n">
        <f aca="false">(ABS(D165-H165)/D165)*100</f>
        <v>0.00208224882873503</v>
      </c>
      <c r="H373" s="24"/>
    </row>
    <row r="374" customFormat="false" ht="15" hidden="false" customHeight="false" outlineLevel="0" collapsed="false">
      <c r="A374" s="7"/>
      <c r="B374" s="25" t="n">
        <v>162</v>
      </c>
      <c r="C374" s="11" t="n">
        <f aca="false">(ABS(C166-E166)/C166)*100</f>
        <v>99.5855312735494</v>
      </c>
      <c r="D374" s="25" t="n">
        <f aca="false">(ABS(D166-F166)/D166)*100</f>
        <v>11.0066909131292</v>
      </c>
      <c r="E374" s="24"/>
      <c r="F374" s="25" t="n">
        <f aca="false">(ABS(C166-G166)/C166)*100</f>
        <v>0.0251193167545843</v>
      </c>
      <c r="G374" s="25" t="n">
        <f aca="false">(ABS(D166-H166)/D166)*100</f>
        <v>0.0027763125017352</v>
      </c>
      <c r="H374" s="24"/>
    </row>
    <row r="375" customFormat="false" ht="15" hidden="false" customHeight="false" outlineLevel="0" collapsed="false">
      <c r="A375" s="7"/>
      <c r="B375" s="25" t="n">
        <v>163</v>
      </c>
      <c r="C375" s="11" t="n">
        <f aca="false">(ABS(C167-E167)/C167)*100</f>
        <v>99.9497645211931</v>
      </c>
      <c r="D375" s="25" t="n">
        <f aca="false">(ABS(D167-F167)/D167)*100</f>
        <v>11.0477182023252</v>
      </c>
      <c r="E375" s="24"/>
      <c r="F375" s="25" t="n">
        <f aca="false">(ABS(C167-G167)/C167)*100</f>
        <v>0.0251177394034537</v>
      </c>
      <c r="G375" s="25" t="n">
        <f aca="false">(ABS(D167-H167)/D167)*100</f>
        <v>0.00277633177164671</v>
      </c>
      <c r="H375" s="24"/>
    </row>
    <row r="376" customFormat="false" ht="15" hidden="false" customHeight="false" outlineLevel="0" collapsed="false">
      <c r="A376" s="7"/>
      <c r="B376" s="25" t="n">
        <v>164</v>
      </c>
      <c r="C376" s="11" t="n">
        <f aca="false">(ABS(C168-E168)/C168)*100</f>
        <v>99.9748822605965</v>
      </c>
      <c r="D376" s="25" t="n">
        <f aca="false">(ABS(D168-F168)/D168)*100</f>
        <v>11.0504945340968</v>
      </c>
      <c r="E376" s="24"/>
      <c r="F376" s="25" t="n">
        <f aca="false">(ABS(C168-G168)/C168)*100</f>
        <v>0.0313971742543171</v>
      </c>
      <c r="G376" s="25" t="n">
        <f aca="false">(ABS(D168-H168)/D168)*100</f>
        <v>0.00347041471455839</v>
      </c>
      <c r="H376" s="24"/>
    </row>
    <row r="377" customFormat="false" ht="15" hidden="false" customHeight="false" outlineLevel="0" collapsed="false">
      <c r="A377" s="7"/>
      <c r="B377" s="25" t="n">
        <v>165</v>
      </c>
      <c r="C377" s="11" t="n">
        <f aca="false">(ABS(C169-E169)/C169)*100</f>
        <v>99.9497645211931</v>
      </c>
      <c r="D377" s="25" t="n">
        <f aca="false">(ABS(D169-F169)/D169)*100</f>
        <v>11.0477182023252</v>
      </c>
      <c r="E377" s="24"/>
      <c r="F377" s="25" t="n">
        <f aca="false">(ABS(C169-G169)/C169)*100</f>
        <v>0.0313971742543171</v>
      </c>
      <c r="G377" s="25" t="n">
        <f aca="false">(ABS(D169-H169)/D169)*100</f>
        <v>0.00347041471455839</v>
      </c>
      <c r="H377" s="24"/>
    </row>
    <row r="378" customFormat="false" ht="15" hidden="false" customHeight="false" outlineLevel="0" collapsed="false">
      <c r="A378" s="7"/>
      <c r="B378" s="25" t="n">
        <v>166</v>
      </c>
      <c r="C378" s="11" t="n">
        <f aca="false">(ABS(C170-E170)/C170)*100</f>
        <v>99.9623233908948</v>
      </c>
      <c r="D378" s="25" t="n">
        <f aca="false">(ABS(D170-F170)/D170)*100</f>
        <v>11.049106368211</v>
      </c>
      <c r="E378" s="24"/>
      <c r="F378" s="25" t="n">
        <f aca="false">(ABS(C170-G170)/C170)*100</f>
        <v>0.0313971742543171</v>
      </c>
      <c r="G378" s="25" t="n">
        <f aca="false">(ABS(D170-H170)/D170)*100</f>
        <v>0.00347041471455839</v>
      </c>
      <c r="H378" s="24"/>
    </row>
    <row r="379" customFormat="false" ht="15" hidden="false" customHeight="false" outlineLevel="0" collapsed="false">
      <c r="A379" s="7"/>
      <c r="B379" s="25" t="n">
        <v>167</v>
      </c>
      <c r="C379" s="11" t="n">
        <f aca="false">(ABS(C171-E171)/C171)*100</f>
        <v>99.1522762951334</v>
      </c>
      <c r="D379" s="25" t="n">
        <f aca="false">(ABS(D171-F171)/D171)*100</f>
        <v>10.9595696685754</v>
      </c>
      <c r="E379" s="24"/>
      <c r="F379" s="25" t="n">
        <f aca="false">(ABS(C171-G171)/C171)*100</f>
        <v>0.00627943485086342</v>
      </c>
      <c r="G379" s="25" t="n">
        <f aca="false">(ABS(D171-H171)/D171)*100</f>
        <v>0.000694082942911678</v>
      </c>
      <c r="H379" s="24"/>
    </row>
    <row r="380" customFormat="false" ht="15" hidden="false" customHeight="false" outlineLevel="0" collapsed="false">
      <c r="A380" s="7"/>
      <c r="B380" s="25" t="n">
        <v>168</v>
      </c>
      <c r="C380" s="11" t="n">
        <f aca="false">(ABS(C172-E172)/C172)*100</f>
        <v>99.9686028257457</v>
      </c>
      <c r="D380" s="25" t="n">
        <f aca="false">(ABS(D172-F172)/D172)*100</f>
        <v>11.0498004511539</v>
      </c>
      <c r="E380" s="24"/>
      <c r="F380" s="25" t="n">
        <f aca="false">(ABS(C172-G172)/C172)*100</f>
        <v>0.0251177394034537</v>
      </c>
      <c r="G380" s="25" t="n">
        <f aca="false">(ABS(D172-H172)/D172)*100</f>
        <v>0.00277633177164671</v>
      </c>
      <c r="H380" s="24"/>
    </row>
    <row r="381" customFormat="false" ht="15" hidden="false" customHeight="false" outlineLevel="0" collapsed="false">
      <c r="A381" s="7"/>
      <c r="B381" s="25" t="n">
        <v>169</v>
      </c>
      <c r="C381" s="11" t="n">
        <f aca="false">(ABS(C173-E173)/C173)*100</f>
        <v>99.874442840103</v>
      </c>
      <c r="D381" s="25" t="n">
        <f aca="false">(ABS(D173-F173)/D173)*100</f>
        <v>11.0424721144436</v>
      </c>
      <c r="E381" s="24"/>
      <c r="F381" s="25" t="n">
        <f aca="false">(ABS(C173-G173)/C173)*100</f>
        <v>0.0251114319794086</v>
      </c>
      <c r="G381" s="25" t="n">
        <f aca="false">(ABS(D173-H173)/D173)*100</f>
        <v>0.00277640885396784</v>
      </c>
      <c r="H381" s="24"/>
    </row>
    <row r="382" customFormat="false" ht="15" hidden="false" customHeight="false" outlineLevel="0" collapsed="false">
      <c r="A382" s="7"/>
      <c r="B382" s="25" t="n">
        <v>170</v>
      </c>
      <c r="C382" s="11" t="n">
        <f aca="false">(ABS(C174-E174)/C174)*100</f>
        <v>99.8681318681319</v>
      </c>
      <c r="D382" s="25" t="n">
        <f aca="false">(ABS(D174-F174)/D174)*100</f>
        <v>11.0386951240673</v>
      </c>
      <c r="E382" s="24"/>
      <c r="F382" s="25" t="n">
        <f aca="false">(ABS(C174-G174)/C174)*100</f>
        <v>0.0251177394034537</v>
      </c>
      <c r="G382" s="25" t="n">
        <f aca="false">(ABS(D174-H174)/D174)*100</f>
        <v>0.00277633177164671</v>
      </c>
      <c r="H382" s="24"/>
    </row>
    <row r="383" customFormat="false" ht="15" hidden="false" customHeight="false" outlineLevel="0" collapsed="false">
      <c r="A383" s="7"/>
      <c r="B383" s="25" t="n">
        <v>171</v>
      </c>
      <c r="C383" s="11" t="n">
        <f aca="false">(ABS(C175-E175)/C175)*100</f>
        <v>99.956043956044</v>
      </c>
      <c r="D383" s="25" t="n">
        <f aca="false">(ABS(D175-F175)/D175)*100</f>
        <v>11.0484122852681</v>
      </c>
      <c r="E383" s="24"/>
      <c r="F383" s="25" t="n">
        <f aca="false">(ABS(C175-G175)/C175)*100</f>
        <v>0.0251177394034537</v>
      </c>
      <c r="G383" s="25" t="n">
        <f aca="false">(ABS(D175-H175)/D175)*100</f>
        <v>0.00277633177164671</v>
      </c>
      <c r="H383" s="24"/>
    </row>
    <row r="384" customFormat="false" ht="15" hidden="false" customHeight="false" outlineLevel="0" collapsed="false">
      <c r="A384" s="7"/>
      <c r="B384" s="25" t="n">
        <v>172</v>
      </c>
      <c r="C384" s="11" t="n">
        <f aca="false">(ABS(C176-E176)/C176)*100</f>
        <v>99.8995227329817</v>
      </c>
      <c r="D384" s="25" t="n">
        <f aca="false">(ABS(D176-F176)/D176)*100</f>
        <v>11.0413948194009</v>
      </c>
      <c r="E384" s="24"/>
      <c r="F384" s="25" t="n">
        <f aca="false">(ABS(C176-G176)/C176)*100</f>
        <v>0.0188394875659382</v>
      </c>
      <c r="G384" s="25" t="n">
        <f aca="false">(ABS(D176-H176)/D176)*100</f>
        <v>0.0020822343763014</v>
      </c>
      <c r="H384" s="24"/>
    </row>
    <row r="385" customFormat="false" ht="15" hidden="false" customHeight="false" outlineLevel="0" collapsed="false">
      <c r="A385" s="7"/>
      <c r="B385" s="25" t="n">
        <v>173</v>
      </c>
      <c r="C385" s="11" t="n">
        <f aca="false">(ABS(C177-E177)/C177)*100</f>
        <v>99.956043956044</v>
      </c>
      <c r="D385" s="25" t="n">
        <f aca="false">(ABS(D177-F177)/D177)*100</f>
        <v>11.0484122852681</v>
      </c>
      <c r="E385" s="24"/>
      <c r="F385" s="25" t="n">
        <f aca="false">(ABS(C177-G177)/C177)*100</f>
        <v>0.0188383045525903</v>
      </c>
      <c r="G385" s="25" t="n">
        <f aca="false">(ABS(D177-H177)/D177)*100</f>
        <v>0.00208224882873503</v>
      </c>
      <c r="H385" s="24"/>
    </row>
    <row r="386" customFormat="false" ht="15" hidden="false" customHeight="false" outlineLevel="0" collapsed="false">
      <c r="A386" s="7"/>
      <c r="B386" s="25" t="n">
        <v>174</v>
      </c>
      <c r="C386" s="11" t="n">
        <f aca="false">(ABS(C178-E178)/C178)*100</f>
        <v>99.9686028257457</v>
      </c>
      <c r="D386" s="25" t="n">
        <f aca="false">(ABS(D178-F178)/D178)*100</f>
        <v>11.0498004511539</v>
      </c>
      <c r="E386" s="24"/>
      <c r="F386" s="25" t="n">
        <f aca="false">(ABS(C178-G178)/C178)*100</f>
        <v>0.0188383045525903</v>
      </c>
      <c r="G386" s="25" t="n">
        <f aca="false">(ABS(D178-H178)/D178)*100</f>
        <v>0.00208224882873503</v>
      </c>
      <c r="H386" s="24"/>
    </row>
    <row r="387" customFormat="false" ht="15" hidden="false" customHeight="false" outlineLevel="0" collapsed="false">
      <c r="A387" s="7"/>
      <c r="B387" s="25" t="n">
        <v>175</v>
      </c>
      <c r="C387" s="11" t="n">
        <f aca="false">(ABS(C179-E179)/C179)*100</f>
        <v>99.9874411302983</v>
      </c>
      <c r="D387" s="25" t="n">
        <f aca="false">(ABS(D179-F179)/D179)*100</f>
        <v>11.0518826999826</v>
      </c>
      <c r="E387" s="24"/>
      <c r="F387" s="25" t="n">
        <f aca="false">(ABS(C179-G179)/C179)*100</f>
        <v>0.0188383045525903</v>
      </c>
      <c r="G387" s="25" t="n">
        <f aca="false">(ABS(D179-H179)/D179)*100</f>
        <v>0.00208224882873503</v>
      </c>
      <c r="H387" s="24"/>
    </row>
    <row r="388" customFormat="false" ht="15" hidden="false" customHeight="false" outlineLevel="0" collapsed="false">
      <c r="A388" s="7"/>
      <c r="B388" s="25" t="n">
        <v>176</v>
      </c>
      <c r="C388" s="11" t="n">
        <f aca="false">(ABS(C180-E180)/C180)*100</f>
        <v>99.9811616954474</v>
      </c>
      <c r="D388" s="25" t="n">
        <f aca="false">(ABS(D180-F180)/D180)*100</f>
        <v>11.0511886170397</v>
      </c>
      <c r="E388" s="24"/>
      <c r="F388" s="25" t="n">
        <f aca="false">(ABS(C180-G180)/C180)*100</f>
        <v>0.0188383045525903</v>
      </c>
      <c r="G388" s="25" t="n">
        <f aca="false">(ABS(D180-H180)/D180)*100</f>
        <v>0.00208224882873503</v>
      </c>
      <c r="H388" s="24"/>
    </row>
    <row r="389" customFormat="false" ht="15" hidden="false" customHeight="false" outlineLevel="0" collapsed="false">
      <c r="A389" s="7"/>
      <c r="B389" s="25" t="n">
        <v>177</v>
      </c>
      <c r="C389" s="11" t="n">
        <f aca="false">(ABS(C181-E181)/C181)*100</f>
        <v>99.9497645211931</v>
      </c>
      <c r="D389" s="25" t="n">
        <f aca="false">(ABS(D181-F181)/D181)*100</f>
        <v>11.0477182023252</v>
      </c>
      <c r="E389" s="24"/>
      <c r="F389" s="25" t="n">
        <f aca="false">(ABS(C181-G181)/C181)*100</f>
        <v>0.0251177394034537</v>
      </c>
      <c r="G389" s="25" t="n">
        <f aca="false">(ABS(D181-H181)/D181)*100</f>
        <v>0.00277633177164671</v>
      </c>
      <c r="H389" s="24"/>
    </row>
    <row r="390" customFormat="false" ht="15" hidden="false" customHeight="false" outlineLevel="0" collapsed="false">
      <c r="A390" s="7"/>
      <c r="B390" s="25" t="n">
        <v>178</v>
      </c>
      <c r="C390" s="11" t="n">
        <f aca="false">(ABS(C182-E182)/C182)*100</f>
        <v>99.9623233908948</v>
      </c>
      <c r="D390" s="25" t="n">
        <f aca="false">(ABS(D182-F182)/D182)*100</f>
        <v>11.049106368211</v>
      </c>
      <c r="E390" s="24"/>
      <c r="F390" s="25" t="n">
        <f aca="false">(ABS(C182-G182)/C182)*100</f>
        <v>0.0251177394034537</v>
      </c>
      <c r="G390" s="25" t="n">
        <f aca="false">(ABS(D182-H182)/D182)*100</f>
        <v>0.00277633177164671</v>
      </c>
      <c r="H390" s="24"/>
    </row>
    <row r="391" customFormat="false" ht="15" hidden="false" customHeight="false" outlineLevel="0" collapsed="false">
      <c r="A391" s="7"/>
      <c r="B391" s="25" t="n">
        <v>179</v>
      </c>
      <c r="C391" s="11" t="n">
        <f aca="false">(ABS(C183-E183)/C183)*100</f>
        <v>99.7236875156996</v>
      </c>
      <c r="D391" s="25" t="n">
        <f aca="false">(ABS(D183-F183)/D183)*100</f>
        <v>11.0219606318887</v>
      </c>
      <c r="E391" s="24"/>
      <c r="F391" s="25" t="n">
        <f aca="false">(ABS(C183-G183)/C183)*100</f>
        <v>0.0251193167545843</v>
      </c>
      <c r="G391" s="25" t="n">
        <f aca="false">(ABS(D183-H183)/D183)*100</f>
        <v>0.0027763125017352</v>
      </c>
      <c r="H391" s="24"/>
    </row>
    <row r="392" customFormat="false" ht="15" hidden="false" customHeight="false" outlineLevel="0" collapsed="false">
      <c r="A392" s="7"/>
      <c r="B392" s="25" t="n">
        <v>180</v>
      </c>
      <c r="C392" s="11" t="n">
        <f aca="false">(ABS(C184-E184)/C184)*100</f>
        <v>95.4662480376766</v>
      </c>
      <c r="D392" s="25" t="n">
        <f aca="false">(ABS(D184-F184)/D184)*100</f>
        <v>10.5521429810862</v>
      </c>
      <c r="E392" s="24"/>
      <c r="F392" s="25" t="n">
        <f aca="false">(ABS(C184-G184)/C184)*100</f>
        <v>0.0188383045525903</v>
      </c>
      <c r="G392" s="25" t="n">
        <f aca="false">(ABS(D184-H184)/D184)*100</f>
        <v>0.00208224882873503</v>
      </c>
      <c r="H392" s="24"/>
    </row>
    <row r="393" customFormat="false" ht="15" hidden="false" customHeight="false" outlineLevel="0" collapsed="false">
      <c r="A393" s="7"/>
      <c r="B393" s="25" t="n">
        <v>181</v>
      </c>
      <c r="C393" s="11" t="n">
        <f aca="false">(ABS(C185-E185)/C185)*100</f>
        <v>99.9497645211931</v>
      </c>
      <c r="D393" s="25" t="n">
        <f aca="false">(ABS(D185-F185)/D185)*100</f>
        <v>11.0477182023252</v>
      </c>
      <c r="E393" s="24"/>
      <c r="F393" s="25" t="n">
        <f aca="false">(ABS(C185-G185)/C185)*100</f>
        <v>0.0188383045525903</v>
      </c>
      <c r="G393" s="25" t="n">
        <f aca="false">(ABS(D185-H185)/D185)*100</f>
        <v>0.00208224882873503</v>
      </c>
      <c r="H393" s="24"/>
    </row>
    <row r="394" customFormat="false" ht="15" hidden="false" customHeight="false" outlineLevel="0" collapsed="false">
      <c r="A394" s="7"/>
      <c r="B394" s="25" t="n">
        <v>182</v>
      </c>
      <c r="C394" s="11" t="n">
        <f aca="false">(ABS(C186-E186)/C186)*100</f>
        <v>99.9748806832454</v>
      </c>
      <c r="D394" s="25" t="n">
        <f aca="false">(ABS(D186-F186)/D186)*100</f>
        <v>11.0497237569061</v>
      </c>
      <c r="E394" s="24"/>
      <c r="F394" s="25" t="n">
        <f aca="false">(ABS(C186-G186)/C186)*100</f>
        <v>0.0188394875659382</v>
      </c>
      <c r="G394" s="25" t="n">
        <f aca="false">(ABS(D186-H186)/D186)*100</f>
        <v>0.0020822343763014</v>
      </c>
      <c r="H394" s="24"/>
    </row>
    <row r="395" customFormat="false" ht="15" hidden="false" customHeight="false" outlineLevel="0" collapsed="false">
      <c r="A395" s="7"/>
      <c r="B395" s="25" t="n">
        <v>183</v>
      </c>
      <c r="C395" s="11" t="n">
        <f aca="false">(ABS(C187-E187)/C187)*100</f>
        <v>99.8995290423862</v>
      </c>
      <c r="D395" s="25" t="n">
        <f aca="false">(ABS(D187-F187)/D187)*100</f>
        <v>11.0421655387819</v>
      </c>
      <c r="E395" s="24"/>
      <c r="F395" s="25" t="n">
        <f aca="false">(ABS(C187-G187)/C187)*100</f>
        <v>0.0188383045525903</v>
      </c>
      <c r="G395" s="25" t="n">
        <f aca="false">(ABS(D187-H187)/D187)*100</f>
        <v>0.00208224882873503</v>
      </c>
      <c r="H395" s="24"/>
    </row>
    <row r="396" customFormat="false" ht="15" hidden="false" customHeight="false" outlineLevel="0" collapsed="false">
      <c r="A396" s="7"/>
      <c r="B396" s="25" t="n">
        <v>184</v>
      </c>
      <c r="C396" s="11" t="n">
        <f aca="false">(ABS(C188-E188)/C188)*100</f>
        <v>99.893242903793</v>
      </c>
      <c r="D396" s="25" t="n">
        <f aca="false">(ABS(D188-F188)/D188)*100</f>
        <v>11.0407007412754</v>
      </c>
      <c r="E396" s="24"/>
      <c r="F396" s="25" t="n">
        <f aca="false">(ABS(C188-G188)/C188)*100</f>
        <v>0.0188394875659382</v>
      </c>
      <c r="G396" s="25" t="n">
        <f aca="false">(ABS(D188-H188)/D188)*100</f>
        <v>0.0020822343763014</v>
      </c>
      <c r="H396" s="24"/>
    </row>
    <row r="397" customFormat="false" ht="15" hidden="false" customHeight="false" outlineLevel="0" collapsed="false">
      <c r="A397" s="7"/>
      <c r="B397" s="25" t="n">
        <v>185</v>
      </c>
      <c r="C397" s="11" t="n">
        <f aca="false">(ABS(C189-E189)/C189)*100</f>
        <v>99.4035660472125</v>
      </c>
      <c r="D397" s="25" t="n">
        <f aca="false">(ABS(D189-F189)/D189)*100</f>
        <v>10.9896440668555</v>
      </c>
      <c r="E397" s="24"/>
      <c r="F397" s="25" t="n">
        <f aca="false">(ABS(C189-G189)/C189)*100</f>
        <v>0</v>
      </c>
      <c r="G397" s="25" t="n">
        <f aca="false">(ABS(D189-H189)/D189)*100</f>
        <v>0</v>
      </c>
      <c r="H397" s="24"/>
    </row>
    <row r="398" customFormat="false" ht="15" hidden="false" customHeight="false" outlineLevel="0" collapsed="false">
      <c r="A398" s="7"/>
      <c r="B398" s="25" t="n">
        <v>186</v>
      </c>
      <c r="C398" s="11" t="n">
        <f aca="false">(ABS(C190-E190)/C190)*100</f>
        <v>99.9497613664908</v>
      </c>
      <c r="D398" s="25" t="n">
        <f aca="false">(ABS(D190-F190)/D190)*100</f>
        <v>11.0469474444043</v>
      </c>
      <c r="E398" s="24"/>
      <c r="F398" s="25" t="n">
        <f aca="false">(ABS(C190-G190)/C190)*100</f>
        <v>0.0188394875659382</v>
      </c>
      <c r="G398" s="25" t="n">
        <f aca="false">(ABS(D190-H190)/D190)*100</f>
        <v>0.0020822343763014</v>
      </c>
      <c r="H398" s="24"/>
    </row>
    <row r="399" customFormat="false" ht="15" hidden="false" customHeight="false" outlineLevel="0" collapsed="false">
      <c r="A399" s="7"/>
      <c r="B399" s="25" t="n">
        <v>187</v>
      </c>
      <c r="C399" s="11" t="n">
        <f aca="false">(ABS(C191-E191)/C191)*100</f>
        <v>99.9811616954474</v>
      </c>
      <c r="D399" s="25" t="n">
        <f aca="false">(ABS(D191-F191)/D191)*100</f>
        <v>11.0511886170397</v>
      </c>
      <c r="E399" s="24"/>
      <c r="F399" s="25" t="n">
        <f aca="false">(ABS(C191-G191)/C191)*100</f>
        <v>0.0125588697017268</v>
      </c>
      <c r="G399" s="25" t="n">
        <f aca="false">(ABS(D191-H191)/D191)*100</f>
        <v>0.00138816588582336</v>
      </c>
      <c r="H399" s="24"/>
    </row>
    <row r="400" customFormat="false" ht="15" hidden="false" customHeight="false" outlineLevel="0" collapsed="false">
      <c r="A400" s="7"/>
      <c r="B400" s="25" t="n">
        <v>188</v>
      </c>
      <c r="C400" s="11" t="n">
        <f aca="false">(ABS(C192-E192)/C192)*100</f>
        <v>99.9937205651491</v>
      </c>
      <c r="D400" s="25" t="n">
        <f aca="false">(ABS(D192-F192)/D192)*100</f>
        <v>11.0525767829256</v>
      </c>
      <c r="E400" s="24"/>
      <c r="F400" s="25" t="n">
        <f aca="false">(ABS(C192-G192)/C192)*100</f>
        <v>0.0188383045525903</v>
      </c>
      <c r="G400" s="25" t="n">
        <f aca="false">(ABS(D192-H192)/D192)*100</f>
        <v>0.00208224882873503</v>
      </c>
      <c r="H400" s="24"/>
    </row>
    <row r="401" customFormat="false" ht="15" hidden="false" customHeight="false" outlineLevel="0" collapsed="false">
      <c r="A401" s="7"/>
      <c r="B401" s="25" t="n">
        <v>189</v>
      </c>
      <c r="C401" s="11" t="n">
        <f aca="false">(ABS(C193-E193)/C193)*100</f>
        <v>99.9811616954474</v>
      </c>
      <c r="D401" s="25" t="n">
        <f aca="false">(ABS(D193-F193)/D193)*100</f>
        <v>11.0511886170397</v>
      </c>
      <c r="E401" s="24"/>
      <c r="F401" s="25" t="n">
        <f aca="false">(ABS(C193-G193)/C193)*100</f>
        <v>0.0188383045525903</v>
      </c>
      <c r="G401" s="25" t="n">
        <f aca="false">(ABS(D193-H193)/D193)*100</f>
        <v>0.00208224882873503</v>
      </c>
      <c r="H401" s="24"/>
    </row>
    <row r="402" customFormat="false" ht="15" hidden="false" customHeight="false" outlineLevel="0" collapsed="false">
      <c r="A402" s="7"/>
      <c r="B402" s="25" t="n">
        <v>190</v>
      </c>
      <c r="C402" s="11" t="n">
        <f aca="false">(ABS(C194-E194)/C194)*100</f>
        <v>99.893242903793</v>
      </c>
      <c r="D402" s="25" t="n">
        <f aca="false">(ABS(D194-F194)/D194)*100</f>
        <v>11.0407007412754</v>
      </c>
      <c r="E402" s="24"/>
      <c r="F402" s="25" t="n">
        <f aca="false">(ABS(C194-G194)/C194)*100</f>
        <v>0.0125596583772921</v>
      </c>
      <c r="G402" s="25" t="n">
        <f aca="false">(ABS(D194-H194)/D194)*100</f>
        <v>0.0013881562508676</v>
      </c>
      <c r="H402" s="24"/>
    </row>
    <row r="403" customFormat="false" ht="15" hidden="false" customHeight="false" outlineLevel="0" collapsed="false">
      <c r="A403" s="7"/>
      <c r="B403" s="25" t="n">
        <v>191</v>
      </c>
      <c r="C403" s="11" t="n">
        <f aca="false">(ABS(C195-E195)/C195)*100</f>
        <v>99.9372056514914</v>
      </c>
      <c r="D403" s="25" t="n">
        <f aca="false">(ABS(D195-F195)/D195)*100</f>
        <v>11.0463300364394</v>
      </c>
      <c r="E403" s="24"/>
      <c r="F403" s="25" t="n">
        <f aca="false">(ABS(C195-G195)/C195)*100</f>
        <v>0.0188383045525903</v>
      </c>
      <c r="G403" s="25" t="n">
        <f aca="false">(ABS(D195-H195)/D195)*100</f>
        <v>0.00208224882873503</v>
      </c>
      <c r="H403" s="24"/>
    </row>
    <row r="404" customFormat="false" ht="15" hidden="false" customHeight="false" outlineLevel="0" collapsed="false">
      <c r="A404" s="7"/>
      <c r="B404" s="25" t="n">
        <v>192</v>
      </c>
      <c r="C404" s="11" t="n">
        <f aca="false">(ABS(C196-E196)/C196)*100</f>
        <v>99.9748822605965</v>
      </c>
      <c r="D404" s="25" t="n">
        <f aca="false">(ABS(D196-F196)/D196)*100</f>
        <v>11.0504945340968</v>
      </c>
      <c r="E404" s="24"/>
      <c r="F404" s="25" t="n">
        <f aca="false">(ABS(C196-G196)/C196)*100</f>
        <v>0.0188383045525903</v>
      </c>
      <c r="G404" s="25" t="n">
        <f aca="false">(ABS(D196-H196)/D196)*100</f>
        <v>0.00208224882873503</v>
      </c>
      <c r="H404" s="24"/>
    </row>
    <row r="405" customFormat="false" ht="15" hidden="false" customHeight="false" outlineLevel="0" collapsed="false">
      <c r="A405" s="7"/>
      <c r="B405" s="25" t="n">
        <v>193</v>
      </c>
      <c r="C405" s="11" t="n">
        <f aca="false">(ABS(C197-E197)/C197)*100</f>
        <v>99.8806832454157</v>
      </c>
      <c r="D405" s="25" t="n">
        <f aca="false">(ABS(D197-F197)/D197)*100</f>
        <v>11.0393125850246</v>
      </c>
      <c r="E405" s="24"/>
      <c r="F405" s="25" t="n">
        <f aca="false">(ABS(C197-G197)/C197)*100</f>
        <v>0.0251193167545843</v>
      </c>
      <c r="G405" s="25" t="n">
        <f aca="false">(ABS(D197-H197)/D197)*100</f>
        <v>0.0027763125017352</v>
      </c>
      <c r="H405" s="24"/>
    </row>
    <row r="406" customFormat="false" ht="15" hidden="false" customHeight="false" outlineLevel="0" collapsed="false">
      <c r="A406" s="7"/>
      <c r="B406" s="25" t="n">
        <v>194</v>
      </c>
      <c r="C406" s="11" t="n">
        <f aca="false">(ABS(C198-E198)/C198)*100</f>
        <v>94.8822605965463</v>
      </c>
      <c r="D406" s="25" t="n">
        <f aca="false">(ABS(D198-F198)/D198)*100</f>
        <v>10.4875932673955</v>
      </c>
      <c r="E406" s="24"/>
      <c r="F406" s="25" t="n">
        <f aca="false">(ABS(C198-G198)/C198)*100</f>
        <v>0.0188383045525903</v>
      </c>
      <c r="G406" s="25" t="n">
        <f aca="false">(ABS(D198-H198)/D198)*100</f>
        <v>0.00208224882873503</v>
      </c>
      <c r="H406" s="24"/>
    </row>
    <row r="407" customFormat="false" ht="15" hidden="false" customHeight="false" outlineLevel="0" collapsed="false">
      <c r="A407" s="7"/>
      <c r="B407" s="25" t="n">
        <v>195</v>
      </c>
      <c r="C407" s="11" t="n">
        <f aca="false">(ABS(C199-E199)/C199)*100</f>
        <v>99.9560411956795</v>
      </c>
      <c r="D407" s="25" t="n">
        <f aca="false">(ABS(D199-F199)/D199)*100</f>
        <v>11.0476415225298</v>
      </c>
      <c r="E407" s="24"/>
      <c r="F407" s="25" t="n">
        <f aca="false">(ABS(C199-G199)/C199)*100</f>
        <v>0.0188394875659382</v>
      </c>
      <c r="G407" s="25" t="n">
        <f aca="false">(ABS(D199-H199)/D199)*100</f>
        <v>0.0020822343763014</v>
      </c>
      <c r="H407" s="24"/>
    </row>
    <row r="408" customFormat="false" ht="15" hidden="false" customHeight="false" outlineLevel="0" collapsed="false">
      <c r="A408" s="7"/>
      <c r="B408" s="25" t="n">
        <v>196</v>
      </c>
      <c r="C408" s="11" t="n">
        <f aca="false">(ABS(C200-E200)/C200)*100</f>
        <v>95.7864992150707</v>
      </c>
      <c r="D408" s="25" t="n">
        <f aca="false">(ABS(D200-F200)/D200)*100</f>
        <v>10.5875412111747</v>
      </c>
      <c r="E408" s="24"/>
      <c r="F408" s="25" t="n">
        <f aca="false">(ABS(C200-G200)/C200)*100</f>
        <v>0.0313971742543171</v>
      </c>
      <c r="G408" s="25" t="n">
        <f aca="false">(ABS(D200-H200)/D200)*100</f>
        <v>0.00347041471455839</v>
      </c>
      <c r="H408" s="24"/>
    </row>
    <row r="409" customFormat="false" ht="15" hidden="false" customHeight="false" outlineLevel="0" collapsed="false">
      <c r="A409" s="7"/>
      <c r="B409" s="25" t="n">
        <v>197</v>
      </c>
      <c r="C409" s="11" t="n">
        <f aca="false">(ABS(C201-E201)/C201)*100</f>
        <v>99.8555729984302</v>
      </c>
      <c r="D409" s="25" t="n">
        <f aca="false">(ABS(D201-F201)/D201)*100</f>
        <v>11.0373069581815</v>
      </c>
      <c r="E409" s="24"/>
      <c r="F409" s="25" t="n">
        <f aca="false">(ABS(C201-G201)/C201)*100</f>
        <v>0.0313971742543171</v>
      </c>
      <c r="G409" s="25" t="n">
        <f aca="false">(ABS(D201-H201)/D201)*100</f>
        <v>0.00347041471455839</v>
      </c>
      <c r="H409" s="24"/>
    </row>
    <row r="410" customFormat="false" ht="15" hidden="false" customHeight="false" outlineLevel="0" collapsed="false">
      <c r="A410" s="7"/>
      <c r="B410" s="25" t="n">
        <v>198</v>
      </c>
      <c r="C410" s="11" t="n">
        <f aca="false">(ABS(C202-E202)/C202)*100</f>
        <v>99.7111278573223</v>
      </c>
      <c r="D410" s="25" t="n">
        <f aca="false">(ABS(D202-F202)/D202)*100</f>
        <v>11.0205724756379</v>
      </c>
      <c r="E410" s="24"/>
      <c r="F410" s="25" t="n">
        <f aca="false">(ABS(C202-G202)/C202)*100</f>
        <v>0.0251193167545843</v>
      </c>
      <c r="G410" s="25" t="n">
        <f aca="false">(ABS(D202-H202)/D202)*100</f>
        <v>0.0027763125017352</v>
      </c>
      <c r="H410" s="24"/>
    </row>
    <row r="411" customFormat="false" ht="15" hidden="false" customHeight="false" outlineLevel="0" collapsed="false">
      <c r="A411" s="7"/>
      <c r="B411" s="25" t="n">
        <v>199</v>
      </c>
      <c r="C411" s="11" t="n">
        <f aca="false">(ABS(C203-E203)/C203)*100</f>
        <v>98.8383045525903</v>
      </c>
      <c r="D411" s="25" t="n">
        <f aca="false">(ABS(D203-F203)/D203)*100</f>
        <v>10.9248655214298</v>
      </c>
      <c r="E411" s="26" t="s">
        <v>10</v>
      </c>
      <c r="F411" s="25" t="n">
        <f aca="false">(ABS(C203-G203)/C203)*100</f>
        <v>0.0313971742543171</v>
      </c>
      <c r="G411" s="25" t="n">
        <f aca="false">(ABS(D203-H203)/D203)*100</f>
        <v>0.00347041471455839</v>
      </c>
      <c r="H411" s="26" t="s">
        <v>10</v>
      </c>
    </row>
    <row r="412" customFormat="false" ht="15" hidden="false" customHeight="false" outlineLevel="0" collapsed="false">
      <c r="A412" s="7"/>
      <c r="B412" s="14" t="s">
        <v>8</v>
      </c>
      <c r="C412" s="15" t="n">
        <f aca="false">(ABS(SUM(C4:C144)-SUM(E4:E144))/SUM(C4:C144))*100</f>
        <v>97.9961731359846</v>
      </c>
      <c r="D412" s="17" t="n">
        <f aca="false">(ABS(SUM(D4:D144)-SUM(F4:F144))/SUM(D4:D144))*100</f>
        <v>10.8332717592935</v>
      </c>
      <c r="E412" s="27" t="n">
        <f aca="false">SUM(C212:D411)/(200*2)</f>
        <v>54.6556753877517</v>
      </c>
      <c r="F412" s="17" t="n">
        <f aca="false">(ABS(SUM(C4:C144)-SUM(G4:G144))/SUM(C4:C144))*100</f>
        <v>0.0179008533185377</v>
      </c>
      <c r="G412" s="17" t="n">
        <f aca="false">(ABS(SUM(D4:D144)-SUM(H4:H144))/SUM(D4:D144))*100</f>
        <v>0.00197890185419658</v>
      </c>
      <c r="H412" s="27" t="n">
        <f aca="false">SUM(F212:G411)/(200*2)</f>
        <v>0.0108261272826044</v>
      </c>
    </row>
  </sheetData>
  <mergeCells count="11">
    <mergeCell ref="B1:B3"/>
    <mergeCell ref="C1:D2"/>
    <mergeCell ref="E1:H1"/>
    <mergeCell ref="E2:F2"/>
    <mergeCell ref="G2:H2"/>
    <mergeCell ref="A3:A204"/>
    <mergeCell ref="B209:B211"/>
    <mergeCell ref="C209:H209"/>
    <mergeCell ref="C210:E210"/>
    <mergeCell ref="F210:H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409" activeCellId="0" sqref="M409"/>
    </sheetView>
  </sheetViews>
  <sheetFormatPr defaultColWidth="8.68359375" defaultRowHeight="15" zeroHeight="false" outlineLevelRow="0" outlineLevelCol="0"/>
  <cols>
    <col collapsed="false" customWidth="true" hidden="false" outlineLevel="0" max="2" min="2" style="1" width="13.35"/>
    <col collapsed="false" customWidth="true" hidden="false" outlineLevel="0" max="3" min="3" style="1" width="11.39"/>
    <col collapsed="false" customWidth="true" hidden="false" outlineLevel="0" max="4" min="4" style="1" width="11.26"/>
    <col collapsed="false" customWidth="true" hidden="false" outlineLevel="0" max="5" min="5" style="1" width="16.83"/>
    <col collapsed="false" customWidth="true" hidden="false" outlineLevel="0" max="6" min="6" style="1" width="12.51"/>
    <col collapsed="false" customWidth="true" hidden="false" outlineLevel="0" max="7" min="7" style="1" width="13.07"/>
    <col collapsed="false" customWidth="true" hidden="false" outlineLevel="0" max="8" min="8" style="1" width="20.58"/>
    <col collapsed="false" customWidth="true" hidden="false" outlineLevel="0" max="9" min="9" style="1" width="13.63"/>
    <col collapsed="false" customWidth="true" hidden="false" outlineLevel="0" max="11" min="10" style="1" width="12.66"/>
    <col collapsed="false" customWidth="true" hidden="false" outlineLevel="0" max="12" min="12" style="1" width="21.14"/>
    <col collapsed="false" customWidth="true" hidden="false" outlineLevel="0" max="13" min="13" style="1" width="13.22"/>
    <col collapsed="false" customWidth="true" hidden="false" outlineLevel="0" max="14" min="14" style="1" width="21"/>
  </cols>
  <sheetData>
    <row r="1" customFormat="false" ht="15" hidden="false" customHeight="false" outlineLevel="0" collapsed="false">
      <c r="A1" s="2"/>
      <c r="B1" s="3" t="s">
        <v>0</v>
      </c>
      <c r="C1" s="28" t="s">
        <v>12</v>
      </c>
      <c r="D1" s="28"/>
      <c r="E1" s="20" t="s">
        <v>13</v>
      </c>
      <c r="F1" s="20"/>
      <c r="G1" s="20"/>
      <c r="H1" s="20"/>
      <c r="I1" s="4" t="s">
        <v>14</v>
      </c>
      <c r="J1" s="4"/>
      <c r="K1" s="4"/>
      <c r="L1" s="4"/>
    </row>
    <row r="2" customFormat="false" ht="15" hidden="false" customHeight="false" outlineLevel="0" collapsed="false">
      <c r="A2" s="2"/>
      <c r="B2" s="3"/>
      <c r="C2" s="28"/>
      <c r="D2" s="28"/>
      <c r="E2" s="29" t="s">
        <v>3</v>
      </c>
      <c r="F2" s="29"/>
      <c r="G2" s="6" t="s">
        <v>4</v>
      </c>
      <c r="H2" s="6"/>
      <c r="I2" s="5" t="s">
        <v>3</v>
      </c>
      <c r="J2" s="5"/>
      <c r="K2" s="6" t="s">
        <v>4</v>
      </c>
      <c r="L2" s="6"/>
    </row>
    <row r="3" customFormat="false" ht="15" hidden="false" customHeight="false" outlineLevel="0" collapsed="false">
      <c r="A3" s="7" t="s">
        <v>15</v>
      </c>
      <c r="B3" s="3"/>
      <c r="C3" s="8" t="s">
        <v>6</v>
      </c>
      <c r="D3" s="30" t="s">
        <v>7</v>
      </c>
      <c r="E3" s="22" t="str">
        <f aca="false">'Color clustering'!E3</f>
        <v>#e65a49</v>
      </c>
      <c r="F3" s="31" t="str">
        <f aca="false">'Color clustering'!F3</f>
        <v>#ffffff</v>
      </c>
      <c r="G3" s="8" t="str">
        <f aca="false">'Color clustering'!G3</f>
        <v>#e65a49</v>
      </c>
      <c r="H3" s="32" t="str">
        <f aca="false">'Color clustering'!H3</f>
        <v>#ffffff</v>
      </c>
      <c r="I3" s="8" t="str">
        <f aca="false">'Color classification'!E3</f>
        <v>#e65a49</v>
      </c>
      <c r="J3" s="31" t="str">
        <f aca="false">'Color classification'!F3</f>
        <v>#ffffff</v>
      </c>
      <c r="K3" s="8" t="str">
        <f aca="false">'Color classification'!G3</f>
        <v>#e65a49</v>
      </c>
      <c r="L3" s="32" t="str">
        <f aca="false">'Color classification'!H3</f>
        <v>#ffffff</v>
      </c>
    </row>
    <row r="4" customFormat="false" ht="15" hidden="false" customHeight="false" outlineLevel="0" collapsed="false">
      <c r="A4" s="7"/>
      <c r="B4" s="2" t="n">
        <v>0</v>
      </c>
      <c r="C4" s="11" t="n">
        <v>15925</v>
      </c>
      <c r="D4" s="2" t="n">
        <v>144075</v>
      </c>
      <c r="E4" s="11" t="n">
        <f aca="false">'Color clustering'!E4</f>
        <v>15933</v>
      </c>
      <c r="F4" s="13" t="n">
        <f aca="false">'Color clustering'!F4</f>
        <v>144067</v>
      </c>
      <c r="G4" s="25" t="n">
        <f aca="false">'Color clustering'!G4</f>
        <v>15933</v>
      </c>
      <c r="H4" s="12" t="n">
        <f aca="false">'Color clustering'!H4</f>
        <v>144067</v>
      </c>
      <c r="I4" s="25" t="n">
        <f aca="false">'Color classification'!E4</f>
        <v>15927</v>
      </c>
      <c r="J4" s="13" t="n">
        <f aca="false">'Color classification'!F4</f>
        <v>144073</v>
      </c>
      <c r="K4" s="25" t="n">
        <f aca="false">'Color classification'!G4</f>
        <v>15927</v>
      </c>
      <c r="L4" s="12" t="n">
        <f aca="false">'Color classification'!H4</f>
        <v>144073</v>
      </c>
    </row>
    <row r="5" customFormat="false" ht="15" hidden="false" customHeight="false" outlineLevel="0" collapsed="false">
      <c r="A5" s="7"/>
      <c r="B5" s="2" t="n">
        <v>1</v>
      </c>
      <c r="C5" s="11" t="n">
        <v>15925</v>
      </c>
      <c r="D5" s="2" t="n">
        <v>144075</v>
      </c>
      <c r="E5" s="11" t="n">
        <f aca="false">'Color clustering'!E5</f>
        <v>518</v>
      </c>
      <c r="F5" s="13" t="n">
        <f aca="false">'Color clustering'!F5</f>
        <v>159482</v>
      </c>
      <c r="G5" s="25" t="n">
        <f aca="false">'Color clustering'!G5</f>
        <v>15925</v>
      </c>
      <c r="H5" s="12" t="n">
        <f aca="false">'Color clustering'!H5</f>
        <v>144075</v>
      </c>
      <c r="I5" s="25" t="n">
        <f aca="false">'Color classification'!E5</f>
        <v>23</v>
      </c>
      <c r="J5" s="13" t="n">
        <f aca="false">'Color classification'!F5</f>
        <v>159977</v>
      </c>
      <c r="K5" s="25" t="n">
        <f aca="false">'Color classification'!G5</f>
        <v>15927</v>
      </c>
      <c r="L5" s="12" t="n">
        <f aca="false">'Color classification'!H5</f>
        <v>144073</v>
      </c>
    </row>
    <row r="6" customFormat="false" ht="15" hidden="false" customHeight="false" outlineLevel="0" collapsed="false">
      <c r="A6" s="7"/>
      <c r="B6" s="2" t="n">
        <v>2</v>
      </c>
      <c r="C6" s="11" t="n">
        <v>15925</v>
      </c>
      <c r="D6" s="2" t="n">
        <v>144075</v>
      </c>
      <c r="E6" s="11" t="n">
        <f aca="false">'Color clustering'!E6</f>
        <v>4</v>
      </c>
      <c r="F6" s="13" t="n">
        <f aca="false">'Color clustering'!F6</f>
        <v>159996</v>
      </c>
      <c r="G6" s="25" t="n">
        <f aca="false">'Color clustering'!G6</f>
        <v>15929</v>
      </c>
      <c r="H6" s="12" t="n">
        <f aca="false">'Color clustering'!H6</f>
        <v>144071</v>
      </c>
      <c r="I6" s="25" t="n">
        <f aca="false">'Color classification'!E6</f>
        <v>16</v>
      </c>
      <c r="J6" s="13" t="n">
        <f aca="false">'Color classification'!F6</f>
        <v>159984</v>
      </c>
      <c r="K6" s="25" t="n">
        <f aca="false">'Color classification'!G6</f>
        <v>15928</v>
      </c>
      <c r="L6" s="12" t="n">
        <f aca="false">'Color classification'!H6</f>
        <v>144072</v>
      </c>
    </row>
    <row r="7" customFormat="false" ht="15" hidden="false" customHeight="false" outlineLevel="0" collapsed="false">
      <c r="A7" s="7"/>
      <c r="B7" s="2" t="n">
        <v>3</v>
      </c>
      <c r="C7" s="11" t="n">
        <v>15925</v>
      </c>
      <c r="D7" s="2" t="n">
        <v>144075</v>
      </c>
      <c r="E7" s="11" t="n">
        <f aca="false">'Color clustering'!E7</f>
        <v>0</v>
      </c>
      <c r="F7" s="13" t="n">
        <f aca="false">'Color clustering'!F7</f>
        <v>160000</v>
      </c>
      <c r="G7" s="25" t="n">
        <f aca="false">'Color clustering'!G7</f>
        <v>15930</v>
      </c>
      <c r="H7" s="12" t="n">
        <f aca="false">'Color clustering'!H7</f>
        <v>144070</v>
      </c>
      <c r="I7" s="25" t="n">
        <f aca="false">'Color classification'!E7</f>
        <v>0</v>
      </c>
      <c r="J7" s="13" t="n">
        <f aca="false">'Color classification'!F7</f>
        <v>160000</v>
      </c>
      <c r="K7" s="25" t="n">
        <f aca="false">'Color classification'!G7</f>
        <v>15929</v>
      </c>
      <c r="L7" s="12" t="n">
        <f aca="false">'Color classification'!H7</f>
        <v>144071</v>
      </c>
    </row>
    <row r="8" customFormat="false" ht="15" hidden="false" customHeight="false" outlineLevel="0" collapsed="false">
      <c r="A8" s="7"/>
      <c r="B8" s="2" t="n">
        <v>4</v>
      </c>
      <c r="C8" s="11" t="n">
        <v>15925</v>
      </c>
      <c r="D8" s="2" t="n">
        <v>144075</v>
      </c>
      <c r="E8" s="11" t="n">
        <f aca="false">'Color clustering'!E8</f>
        <v>35</v>
      </c>
      <c r="F8" s="13" t="n">
        <f aca="false">'Color clustering'!F8</f>
        <v>159965</v>
      </c>
      <c r="G8" s="25" t="n">
        <f aca="false">'Color clustering'!G8</f>
        <v>16096</v>
      </c>
      <c r="H8" s="12" t="n">
        <f aca="false">'Color clustering'!H8</f>
        <v>143904</v>
      </c>
      <c r="I8" s="25" t="n">
        <f aca="false">'Color classification'!E8</f>
        <v>8</v>
      </c>
      <c r="J8" s="13" t="n">
        <f aca="false">'Color classification'!F8</f>
        <v>159992</v>
      </c>
      <c r="K8" s="25" t="n">
        <f aca="false">'Color classification'!G8</f>
        <v>15926</v>
      </c>
      <c r="L8" s="12" t="n">
        <f aca="false">'Color classification'!H8</f>
        <v>144074</v>
      </c>
    </row>
    <row r="9" customFormat="false" ht="15" hidden="false" customHeight="false" outlineLevel="0" collapsed="false">
      <c r="A9" s="7"/>
      <c r="B9" s="2" t="n">
        <v>5</v>
      </c>
      <c r="C9" s="11" t="n">
        <v>15925</v>
      </c>
      <c r="D9" s="2" t="n">
        <v>144075</v>
      </c>
      <c r="E9" s="11" t="n">
        <f aca="false">'Color clustering'!E9</f>
        <v>4</v>
      </c>
      <c r="F9" s="13" t="n">
        <f aca="false">'Color clustering'!F9</f>
        <v>159996</v>
      </c>
      <c r="G9" s="25" t="n">
        <f aca="false">'Color clustering'!G9</f>
        <v>15928</v>
      </c>
      <c r="H9" s="12" t="n">
        <f aca="false">'Color clustering'!H9</f>
        <v>144072</v>
      </c>
      <c r="I9" s="25" t="n">
        <f aca="false">'Color classification'!E9</f>
        <v>5</v>
      </c>
      <c r="J9" s="13" t="n">
        <f aca="false">'Color classification'!F9</f>
        <v>159995</v>
      </c>
      <c r="K9" s="25" t="n">
        <f aca="false">'Color classification'!G9</f>
        <v>15929</v>
      </c>
      <c r="L9" s="12" t="n">
        <f aca="false">'Color classification'!H9</f>
        <v>144071</v>
      </c>
    </row>
    <row r="10" customFormat="false" ht="15" hidden="false" customHeight="false" outlineLevel="0" collapsed="false">
      <c r="A10" s="7"/>
      <c r="B10" s="2" t="n">
        <v>6</v>
      </c>
      <c r="C10" s="11" t="n">
        <v>15925</v>
      </c>
      <c r="D10" s="2" t="n">
        <v>144075</v>
      </c>
      <c r="E10" s="11" t="n">
        <f aca="false">'Color clustering'!E10</f>
        <v>0</v>
      </c>
      <c r="F10" s="13" t="n">
        <f aca="false">'Color clustering'!F10</f>
        <v>160000</v>
      </c>
      <c r="G10" s="25" t="n">
        <f aca="false">'Color clustering'!G10</f>
        <v>15930</v>
      </c>
      <c r="H10" s="12" t="n">
        <f aca="false">'Color clustering'!H10</f>
        <v>144070</v>
      </c>
      <c r="I10" s="25" t="n">
        <f aca="false">'Color classification'!E10</f>
        <v>10</v>
      </c>
      <c r="J10" s="13" t="n">
        <f aca="false">'Color classification'!F10</f>
        <v>159990</v>
      </c>
      <c r="K10" s="25" t="n">
        <f aca="false">'Color classification'!G10</f>
        <v>15928</v>
      </c>
      <c r="L10" s="12" t="n">
        <f aca="false">'Color classification'!H10</f>
        <v>144072</v>
      </c>
    </row>
    <row r="11" customFormat="false" ht="15" hidden="false" customHeight="false" outlineLevel="0" collapsed="false">
      <c r="A11" s="7"/>
      <c r="B11" s="2" t="n">
        <v>7</v>
      </c>
      <c r="C11" s="11" t="n">
        <v>15925</v>
      </c>
      <c r="D11" s="2" t="n">
        <v>144075</v>
      </c>
      <c r="E11" s="11" t="n">
        <f aca="false">'Color clustering'!E11</f>
        <v>4</v>
      </c>
      <c r="F11" s="13" t="n">
        <f aca="false">'Color clustering'!F11</f>
        <v>159996</v>
      </c>
      <c r="G11" s="25" t="n">
        <f aca="false">'Color clustering'!G11</f>
        <v>15929</v>
      </c>
      <c r="H11" s="12" t="n">
        <f aca="false">'Color clustering'!H11</f>
        <v>144071</v>
      </c>
      <c r="I11" s="25" t="n">
        <f aca="false">'Color classification'!E11</f>
        <v>1</v>
      </c>
      <c r="J11" s="13" t="n">
        <f aca="false">'Color classification'!F11</f>
        <v>159999</v>
      </c>
      <c r="K11" s="25" t="n">
        <f aca="false">'Color classification'!G11</f>
        <v>15929</v>
      </c>
      <c r="L11" s="12" t="n">
        <f aca="false">'Color classification'!H11</f>
        <v>144071</v>
      </c>
    </row>
    <row r="12" customFormat="false" ht="15" hidden="false" customHeight="false" outlineLevel="0" collapsed="false">
      <c r="A12" s="7"/>
      <c r="B12" s="2" t="n">
        <v>8</v>
      </c>
      <c r="C12" s="11" t="n">
        <v>15925</v>
      </c>
      <c r="D12" s="2" t="n">
        <v>144075</v>
      </c>
      <c r="E12" s="11" t="n">
        <f aca="false">'Color clustering'!E12</f>
        <v>2</v>
      </c>
      <c r="F12" s="13" t="n">
        <f aca="false">'Color clustering'!F12</f>
        <v>159998</v>
      </c>
      <c r="G12" s="25" t="n">
        <f aca="false">'Color clustering'!G12</f>
        <v>15929</v>
      </c>
      <c r="H12" s="12" t="n">
        <f aca="false">'Color clustering'!H12</f>
        <v>144071</v>
      </c>
      <c r="I12" s="25" t="n">
        <f aca="false">'Color classification'!E12</f>
        <v>7</v>
      </c>
      <c r="J12" s="13" t="n">
        <f aca="false">'Color classification'!F12</f>
        <v>159993</v>
      </c>
      <c r="K12" s="25" t="n">
        <f aca="false">'Color classification'!G12</f>
        <v>15927</v>
      </c>
      <c r="L12" s="12" t="n">
        <f aca="false">'Color classification'!H12</f>
        <v>144073</v>
      </c>
    </row>
    <row r="13" customFormat="false" ht="15" hidden="false" customHeight="false" outlineLevel="0" collapsed="false">
      <c r="A13" s="7"/>
      <c r="B13" s="2" t="n">
        <v>9</v>
      </c>
      <c r="C13" s="11" t="n">
        <v>15925</v>
      </c>
      <c r="D13" s="2" t="n">
        <v>144075</v>
      </c>
      <c r="E13" s="11" t="n">
        <f aca="false">'Color clustering'!E13</f>
        <v>0</v>
      </c>
      <c r="F13" s="13" t="n">
        <f aca="false">'Color clustering'!F13</f>
        <v>160000</v>
      </c>
      <c r="G13" s="25" t="n">
        <f aca="false">'Color clustering'!G13</f>
        <v>15929</v>
      </c>
      <c r="H13" s="12" t="n">
        <f aca="false">'Color clustering'!H13</f>
        <v>144071</v>
      </c>
      <c r="I13" s="25" t="n">
        <f aca="false">'Color classification'!E13</f>
        <v>0</v>
      </c>
      <c r="J13" s="13" t="n">
        <f aca="false">'Color classification'!F13</f>
        <v>160000</v>
      </c>
      <c r="K13" s="25" t="n">
        <f aca="false">'Color classification'!G13</f>
        <v>15927</v>
      </c>
      <c r="L13" s="12" t="n">
        <f aca="false">'Color classification'!H13</f>
        <v>144073</v>
      </c>
    </row>
    <row r="14" customFormat="false" ht="15" hidden="false" customHeight="false" outlineLevel="0" collapsed="false">
      <c r="A14" s="7"/>
      <c r="B14" s="2" t="n">
        <v>10</v>
      </c>
      <c r="C14" s="11" t="n">
        <v>15925</v>
      </c>
      <c r="D14" s="2" t="n">
        <v>144075</v>
      </c>
      <c r="E14" s="11" t="n">
        <f aca="false">'Color clustering'!E14</f>
        <v>7</v>
      </c>
      <c r="F14" s="13" t="n">
        <f aca="false">'Color clustering'!F14</f>
        <v>159993</v>
      </c>
      <c r="G14" s="25" t="n">
        <f aca="false">'Color clustering'!G14</f>
        <v>15926</v>
      </c>
      <c r="H14" s="12" t="n">
        <f aca="false">'Color clustering'!H14</f>
        <v>144074</v>
      </c>
      <c r="I14" s="25" t="n">
        <f aca="false">'Color classification'!E14</f>
        <v>27</v>
      </c>
      <c r="J14" s="13" t="n">
        <f aca="false">'Color classification'!F14</f>
        <v>159973</v>
      </c>
      <c r="K14" s="25" t="n">
        <f aca="false">'Color classification'!G14</f>
        <v>15927</v>
      </c>
      <c r="L14" s="12" t="n">
        <f aca="false">'Color classification'!H14</f>
        <v>144073</v>
      </c>
    </row>
    <row r="15" customFormat="false" ht="15" hidden="false" customHeight="false" outlineLevel="0" collapsed="false">
      <c r="A15" s="7"/>
      <c r="B15" s="2" t="n">
        <v>11</v>
      </c>
      <c r="C15" s="11" t="n">
        <v>15925</v>
      </c>
      <c r="D15" s="2" t="n">
        <v>144075</v>
      </c>
      <c r="E15" s="11" t="n">
        <f aca="false">'Color clustering'!E15</f>
        <v>8</v>
      </c>
      <c r="F15" s="13" t="n">
        <f aca="false">'Color clustering'!F15</f>
        <v>159992</v>
      </c>
      <c r="G15" s="25" t="n">
        <f aca="false">'Color clustering'!G15</f>
        <v>15929</v>
      </c>
      <c r="H15" s="12" t="n">
        <f aca="false">'Color clustering'!H15</f>
        <v>144071</v>
      </c>
      <c r="I15" s="25" t="n">
        <f aca="false">'Color classification'!E15</f>
        <v>26</v>
      </c>
      <c r="J15" s="13" t="n">
        <f aca="false">'Color classification'!F15</f>
        <v>159974</v>
      </c>
      <c r="K15" s="25" t="n">
        <f aca="false">'Color classification'!G15</f>
        <v>15928</v>
      </c>
      <c r="L15" s="12" t="n">
        <f aca="false">'Color classification'!H15</f>
        <v>144072</v>
      </c>
    </row>
    <row r="16" customFormat="false" ht="15" hidden="false" customHeight="false" outlineLevel="0" collapsed="false">
      <c r="A16" s="7"/>
      <c r="B16" s="2" t="n">
        <v>12</v>
      </c>
      <c r="C16" s="11" t="n">
        <v>15925</v>
      </c>
      <c r="D16" s="2" t="n">
        <v>144075</v>
      </c>
      <c r="E16" s="11" t="n">
        <f aca="false">'Color clustering'!E16</f>
        <v>26</v>
      </c>
      <c r="F16" s="13" t="n">
        <f aca="false">'Color clustering'!F16</f>
        <v>159974</v>
      </c>
      <c r="G16" s="25" t="n">
        <f aca="false">'Color clustering'!G16</f>
        <v>15927</v>
      </c>
      <c r="H16" s="12" t="n">
        <f aca="false">'Color clustering'!H16</f>
        <v>144073</v>
      </c>
      <c r="I16" s="25" t="n">
        <f aca="false">'Color classification'!E16</f>
        <v>78</v>
      </c>
      <c r="J16" s="13" t="n">
        <f aca="false">'Color classification'!F16</f>
        <v>159922</v>
      </c>
      <c r="K16" s="25" t="n">
        <f aca="false">'Color classification'!G16</f>
        <v>15927</v>
      </c>
      <c r="L16" s="12" t="n">
        <f aca="false">'Color classification'!H16</f>
        <v>144073</v>
      </c>
    </row>
    <row r="17" customFormat="false" ht="15" hidden="false" customHeight="false" outlineLevel="0" collapsed="false">
      <c r="A17" s="7"/>
      <c r="B17" s="2" t="n">
        <v>13</v>
      </c>
      <c r="C17" s="11" t="n">
        <v>15925</v>
      </c>
      <c r="D17" s="2" t="n">
        <v>144075</v>
      </c>
      <c r="E17" s="11" t="n">
        <f aca="false">'Color clustering'!E17</f>
        <v>0</v>
      </c>
      <c r="F17" s="13" t="n">
        <f aca="false">'Color clustering'!F17</f>
        <v>160000</v>
      </c>
      <c r="G17" s="25" t="n">
        <f aca="false">'Color clustering'!G17</f>
        <v>15927</v>
      </c>
      <c r="H17" s="12" t="n">
        <f aca="false">'Color clustering'!H17</f>
        <v>144073</v>
      </c>
      <c r="I17" s="25" t="n">
        <f aca="false">'Color classification'!E17</f>
        <v>108</v>
      </c>
      <c r="J17" s="13" t="n">
        <f aca="false">'Color classification'!F17</f>
        <v>159892</v>
      </c>
      <c r="K17" s="25" t="n">
        <f aca="false">'Color classification'!G17</f>
        <v>15927</v>
      </c>
      <c r="L17" s="12" t="n">
        <f aca="false">'Color classification'!H17</f>
        <v>144073</v>
      </c>
    </row>
    <row r="18" customFormat="false" ht="15" hidden="false" customHeight="false" outlineLevel="0" collapsed="false">
      <c r="A18" s="7"/>
      <c r="B18" s="2" t="n">
        <v>14</v>
      </c>
      <c r="C18" s="11" t="n">
        <v>15925</v>
      </c>
      <c r="D18" s="2" t="n">
        <v>144075</v>
      </c>
      <c r="E18" s="11" t="n">
        <f aca="false">'Color clustering'!E18</f>
        <v>111</v>
      </c>
      <c r="F18" s="13" t="n">
        <f aca="false">'Color clustering'!F18</f>
        <v>159889</v>
      </c>
      <c r="G18" s="25" t="n">
        <f aca="false">'Color clustering'!G18</f>
        <v>15927</v>
      </c>
      <c r="H18" s="12" t="n">
        <f aca="false">'Color clustering'!H18</f>
        <v>144073</v>
      </c>
      <c r="I18" s="25" t="n">
        <f aca="false">'Color classification'!E18</f>
        <v>28</v>
      </c>
      <c r="J18" s="13" t="n">
        <f aca="false">'Color classification'!F18</f>
        <v>159972</v>
      </c>
      <c r="K18" s="25" t="n">
        <f aca="false">'Color classification'!G18</f>
        <v>15927</v>
      </c>
      <c r="L18" s="12" t="n">
        <f aca="false">'Color classification'!H18</f>
        <v>144073</v>
      </c>
    </row>
    <row r="19" customFormat="false" ht="15" hidden="false" customHeight="false" outlineLevel="0" collapsed="false">
      <c r="A19" s="7"/>
      <c r="B19" s="2" t="n">
        <v>15</v>
      </c>
      <c r="C19" s="11" t="n">
        <v>15925</v>
      </c>
      <c r="D19" s="2" t="n">
        <v>144075</v>
      </c>
      <c r="E19" s="11" t="n">
        <f aca="false">'Color clustering'!E19</f>
        <v>530</v>
      </c>
      <c r="F19" s="13" t="n">
        <f aca="false">'Color clustering'!F19</f>
        <v>159470</v>
      </c>
      <c r="G19" s="25" t="n">
        <f aca="false">'Color clustering'!G19</f>
        <v>15927</v>
      </c>
      <c r="H19" s="12" t="n">
        <f aca="false">'Color clustering'!H19</f>
        <v>144073</v>
      </c>
      <c r="I19" s="25" t="n">
        <f aca="false">'Color classification'!E19</f>
        <v>7</v>
      </c>
      <c r="J19" s="13" t="n">
        <f aca="false">'Color classification'!F19</f>
        <v>159993</v>
      </c>
      <c r="K19" s="25" t="n">
        <f aca="false">'Color classification'!G19</f>
        <v>15925</v>
      </c>
      <c r="L19" s="12" t="n">
        <f aca="false">'Color classification'!H19</f>
        <v>144075</v>
      </c>
    </row>
    <row r="20" customFormat="false" ht="15" hidden="false" customHeight="false" outlineLevel="0" collapsed="false">
      <c r="A20" s="7"/>
      <c r="B20" s="2" t="n">
        <v>16</v>
      </c>
      <c r="C20" s="11" t="n">
        <v>15925</v>
      </c>
      <c r="D20" s="2" t="n">
        <v>144075</v>
      </c>
      <c r="E20" s="11" t="n">
        <f aca="false">'Color clustering'!E20</f>
        <v>2</v>
      </c>
      <c r="F20" s="13" t="n">
        <f aca="false">'Color clustering'!F20</f>
        <v>159998</v>
      </c>
      <c r="G20" s="25" t="n">
        <f aca="false">'Color clustering'!G20</f>
        <v>15927</v>
      </c>
      <c r="H20" s="12" t="n">
        <f aca="false">'Color clustering'!H20</f>
        <v>144073</v>
      </c>
      <c r="I20" s="25" t="n">
        <f aca="false">'Color classification'!E20</f>
        <v>710</v>
      </c>
      <c r="J20" s="13" t="n">
        <f aca="false">'Color classification'!F20</f>
        <v>159290</v>
      </c>
      <c r="K20" s="25" t="n">
        <f aca="false">'Color classification'!G20</f>
        <v>15924</v>
      </c>
      <c r="L20" s="12" t="n">
        <f aca="false">'Color classification'!H20</f>
        <v>144076</v>
      </c>
    </row>
    <row r="21" customFormat="false" ht="15" hidden="false" customHeight="false" outlineLevel="0" collapsed="false">
      <c r="A21" s="7"/>
      <c r="B21" s="2" t="n">
        <v>17</v>
      </c>
      <c r="C21" s="11" t="n">
        <v>15925</v>
      </c>
      <c r="D21" s="2" t="n">
        <v>144075</v>
      </c>
      <c r="E21" s="11" t="n">
        <f aca="false">'Color clustering'!E21</f>
        <v>6</v>
      </c>
      <c r="F21" s="13" t="n">
        <f aca="false">'Color clustering'!F21</f>
        <v>159994</v>
      </c>
      <c r="G21" s="25" t="n">
        <f aca="false">'Color clustering'!G21</f>
        <v>15927</v>
      </c>
      <c r="H21" s="12" t="n">
        <f aca="false">'Color clustering'!H21</f>
        <v>144073</v>
      </c>
      <c r="I21" s="25" t="n">
        <f aca="false">'Color classification'!E21</f>
        <v>375</v>
      </c>
      <c r="J21" s="13" t="n">
        <f aca="false">'Color classification'!F21</f>
        <v>159625</v>
      </c>
      <c r="K21" s="25" t="n">
        <f aca="false">'Color classification'!G21</f>
        <v>15925</v>
      </c>
      <c r="L21" s="12" t="n">
        <f aca="false">'Color classification'!H21</f>
        <v>144075</v>
      </c>
    </row>
    <row r="22" customFormat="false" ht="15" hidden="false" customHeight="false" outlineLevel="0" collapsed="false">
      <c r="A22" s="7"/>
      <c r="B22" s="2" t="n">
        <v>18</v>
      </c>
      <c r="C22" s="11" t="n">
        <v>15925</v>
      </c>
      <c r="D22" s="2" t="n">
        <v>144075</v>
      </c>
      <c r="E22" s="11" t="n">
        <f aca="false">'Color clustering'!E22</f>
        <v>701</v>
      </c>
      <c r="F22" s="13" t="n">
        <f aca="false">'Color clustering'!F22</f>
        <v>159299</v>
      </c>
      <c r="G22" s="25" t="n">
        <f aca="false">'Color clustering'!G22</f>
        <v>16095</v>
      </c>
      <c r="H22" s="12" t="n">
        <f aca="false">'Color clustering'!H22</f>
        <v>143905</v>
      </c>
      <c r="I22" s="25" t="n">
        <f aca="false">'Color classification'!E22</f>
        <v>34</v>
      </c>
      <c r="J22" s="13" t="n">
        <f aca="false">'Color classification'!F22</f>
        <v>159966</v>
      </c>
      <c r="K22" s="25" t="n">
        <f aca="false">'Color classification'!G22</f>
        <v>15924</v>
      </c>
      <c r="L22" s="12" t="n">
        <f aca="false">'Color classification'!H22</f>
        <v>144076</v>
      </c>
    </row>
    <row r="23" customFormat="false" ht="15" hidden="false" customHeight="false" outlineLevel="0" collapsed="false">
      <c r="A23" s="7"/>
      <c r="B23" s="2" t="n">
        <v>19</v>
      </c>
      <c r="C23" s="11" t="n">
        <v>15925</v>
      </c>
      <c r="D23" s="2" t="n">
        <v>144075</v>
      </c>
      <c r="E23" s="11" t="n">
        <f aca="false">'Color clustering'!E23</f>
        <v>24</v>
      </c>
      <c r="F23" s="13" t="n">
        <f aca="false">'Color clustering'!F23</f>
        <v>159976</v>
      </c>
      <c r="G23" s="25" t="n">
        <f aca="false">'Color clustering'!G23</f>
        <v>15927</v>
      </c>
      <c r="H23" s="12" t="n">
        <f aca="false">'Color clustering'!H23</f>
        <v>144073</v>
      </c>
      <c r="I23" s="25" t="n">
        <f aca="false">'Color classification'!E23</f>
        <v>57</v>
      </c>
      <c r="J23" s="13" t="n">
        <f aca="false">'Color classification'!F23</f>
        <v>159943</v>
      </c>
      <c r="K23" s="25" t="n">
        <f aca="false">'Color classification'!G23</f>
        <v>15924</v>
      </c>
      <c r="L23" s="12" t="n">
        <f aca="false">'Color classification'!H23</f>
        <v>144076</v>
      </c>
    </row>
    <row r="24" customFormat="false" ht="15" hidden="false" customHeight="false" outlineLevel="0" collapsed="false">
      <c r="A24" s="7"/>
      <c r="B24" s="2" t="n">
        <v>20</v>
      </c>
      <c r="C24" s="11" t="n">
        <v>15925</v>
      </c>
      <c r="D24" s="2" t="n">
        <v>144075</v>
      </c>
      <c r="E24" s="11" t="n">
        <f aca="false">'Color clustering'!E24</f>
        <v>51</v>
      </c>
      <c r="F24" s="13" t="n">
        <f aca="false">'Color clustering'!F24</f>
        <v>159949</v>
      </c>
      <c r="G24" s="25" t="n">
        <f aca="false">'Color clustering'!G24</f>
        <v>15926</v>
      </c>
      <c r="H24" s="12" t="n">
        <f aca="false">'Color clustering'!H24</f>
        <v>144074</v>
      </c>
      <c r="I24" s="25" t="n">
        <f aca="false">'Color classification'!E24</f>
        <v>5</v>
      </c>
      <c r="J24" s="13" t="n">
        <f aca="false">'Color classification'!F24</f>
        <v>159995</v>
      </c>
      <c r="K24" s="25" t="n">
        <f aca="false">'Color classification'!G24</f>
        <v>15925</v>
      </c>
      <c r="L24" s="12" t="n">
        <f aca="false">'Color classification'!H24</f>
        <v>144075</v>
      </c>
    </row>
    <row r="25" customFormat="false" ht="15" hidden="false" customHeight="false" outlineLevel="0" collapsed="false">
      <c r="A25" s="7"/>
      <c r="B25" s="2" t="n">
        <v>21</v>
      </c>
      <c r="C25" s="11" t="n">
        <v>15925</v>
      </c>
      <c r="D25" s="2" t="n">
        <v>144075</v>
      </c>
      <c r="E25" s="11" t="n">
        <f aca="false">'Color clustering'!E25</f>
        <v>5</v>
      </c>
      <c r="F25" s="13" t="n">
        <f aca="false">'Color clustering'!F25</f>
        <v>159995</v>
      </c>
      <c r="G25" s="25" t="n">
        <f aca="false">'Color clustering'!G25</f>
        <v>15926</v>
      </c>
      <c r="H25" s="12" t="n">
        <f aca="false">'Color clustering'!H25</f>
        <v>144074</v>
      </c>
      <c r="I25" s="25" t="n">
        <f aca="false">'Color classification'!E25</f>
        <v>1201</v>
      </c>
      <c r="J25" s="13" t="n">
        <f aca="false">'Color classification'!F25</f>
        <v>158799</v>
      </c>
      <c r="K25" s="25" t="n">
        <f aca="false">'Color classification'!G25</f>
        <v>15925</v>
      </c>
      <c r="L25" s="12" t="n">
        <f aca="false">'Color classification'!H25</f>
        <v>144075</v>
      </c>
    </row>
    <row r="26" customFormat="false" ht="15" hidden="false" customHeight="false" outlineLevel="0" collapsed="false">
      <c r="A26" s="7"/>
      <c r="B26" s="2" t="n">
        <v>22</v>
      </c>
      <c r="C26" s="11" t="n">
        <v>15925</v>
      </c>
      <c r="D26" s="2" t="n">
        <v>144075</v>
      </c>
      <c r="E26" s="11" t="n">
        <f aca="false">'Color clustering'!E26</f>
        <v>12</v>
      </c>
      <c r="F26" s="13" t="n">
        <f aca="false">'Color clustering'!F26</f>
        <v>159988</v>
      </c>
      <c r="G26" s="25" t="n">
        <f aca="false">'Color clustering'!G26</f>
        <v>15936</v>
      </c>
      <c r="H26" s="12" t="n">
        <f aca="false">'Color clustering'!H26</f>
        <v>144064</v>
      </c>
      <c r="I26" s="25" t="n">
        <f aca="false">'Color classification'!E26</f>
        <v>1489</v>
      </c>
      <c r="J26" s="13" t="n">
        <f aca="false">'Color classification'!F26</f>
        <v>158511</v>
      </c>
      <c r="K26" s="25" t="n">
        <f aca="false">'Color classification'!G26</f>
        <v>15929</v>
      </c>
      <c r="L26" s="12" t="n">
        <f aca="false">'Color classification'!H26</f>
        <v>144071</v>
      </c>
    </row>
    <row r="27" customFormat="false" ht="15" hidden="false" customHeight="false" outlineLevel="0" collapsed="false">
      <c r="A27" s="7"/>
      <c r="B27" s="2" t="n">
        <v>23</v>
      </c>
      <c r="C27" s="11" t="n">
        <v>15925</v>
      </c>
      <c r="D27" s="2" t="n">
        <v>144075</v>
      </c>
      <c r="E27" s="11" t="n">
        <f aca="false">'Color clustering'!E27</f>
        <v>1193</v>
      </c>
      <c r="F27" s="13" t="n">
        <f aca="false">'Color clustering'!F27</f>
        <v>158807</v>
      </c>
      <c r="G27" s="25" t="n">
        <f aca="false">'Color clustering'!G27</f>
        <v>15925</v>
      </c>
      <c r="H27" s="12" t="n">
        <f aca="false">'Color clustering'!H27</f>
        <v>144075</v>
      </c>
      <c r="I27" s="25" t="n">
        <f aca="false">'Color classification'!E27</f>
        <v>701</v>
      </c>
      <c r="J27" s="13" t="n">
        <f aca="false">'Color classification'!F27</f>
        <v>159299</v>
      </c>
      <c r="K27" s="25" t="n">
        <f aca="false">'Color classification'!G27</f>
        <v>15925</v>
      </c>
      <c r="L27" s="12" t="n">
        <f aca="false">'Color classification'!H27</f>
        <v>144075</v>
      </c>
    </row>
    <row r="28" customFormat="false" ht="15" hidden="false" customHeight="false" outlineLevel="0" collapsed="false">
      <c r="A28" s="7"/>
      <c r="B28" s="2" t="n">
        <v>24</v>
      </c>
      <c r="C28" s="11" t="n">
        <v>15925</v>
      </c>
      <c r="D28" s="2" t="n">
        <v>144075</v>
      </c>
      <c r="E28" s="11" t="n">
        <f aca="false">'Color clustering'!E28</f>
        <v>47</v>
      </c>
      <c r="F28" s="13" t="n">
        <f aca="false">'Color clustering'!F28</f>
        <v>159953</v>
      </c>
      <c r="G28" s="25" t="n">
        <f aca="false">'Color clustering'!G28</f>
        <v>15925</v>
      </c>
      <c r="H28" s="12" t="n">
        <f aca="false">'Color clustering'!H28</f>
        <v>144075</v>
      </c>
      <c r="I28" s="25" t="n">
        <f aca="false">'Color classification'!E28</f>
        <v>1574</v>
      </c>
      <c r="J28" s="13" t="n">
        <f aca="false">'Color classification'!F28</f>
        <v>158426</v>
      </c>
      <c r="K28" s="25" t="n">
        <f aca="false">'Color classification'!G28</f>
        <v>15925</v>
      </c>
      <c r="L28" s="12" t="n">
        <f aca="false">'Color classification'!H28</f>
        <v>144075</v>
      </c>
    </row>
    <row r="29" customFormat="false" ht="15" hidden="false" customHeight="false" outlineLevel="0" collapsed="false">
      <c r="A29" s="7"/>
      <c r="B29" s="2" t="n">
        <v>25</v>
      </c>
      <c r="C29" s="11" t="n">
        <v>15925</v>
      </c>
      <c r="D29" s="2" t="n">
        <v>144075</v>
      </c>
      <c r="E29" s="11" t="n">
        <f aca="false">'Color clustering'!E29</f>
        <v>235</v>
      </c>
      <c r="F29" s="13" t="n">
        <f aca="false">'Color clustering'!F29</f>
        <v>159765</v>
      </c>
      <c r="G29" s="25" t="n">
        <f aca="false">'Color clustering'!G29</f>
        <v>15925</v>
      </c>
      <c r="H29" s="12" t="n">
        <f aca="false">'Color clustering'!H29</f>
        <v>144075</v>
      </c>
      <c r="I29" s="25" t="n">
        <f aca="false">'Color classification'!E29</f>
        <v>2351</v>
      </c>
      <c r="J29" s="13" t="n">
        <f aca="false">'Color classification'!F29</f>
        <v>157649</v>
      </c>
      <c r="K29" s="25" t="n">
        <f aca="false">'Color classification'!G29</f>
        <v>15925</v>
      </c>
      <c r="L29" s="12" t="n">
        <f aca="false">'Color classification'!H29</f>
        <v>144075</v>
      </c>
    </row>
    <row r="30" customFormat="false" ht="15" hidden="false" customHeight="false" outlineLevel="0" collapsed="false">
      <c r="A30" s="7"/>
      <c r="B30" s="2" t="n">
        <v>26</v>
      </c>
      <c r="C30" s="11" t="n">
        <v>15925</v>
      </c>
      <c r="D30" s="2" t="n">
        <v>144075</v>
      </c>
      <c r="E30" s="11" t="n">
        <f aca="false">'Color clustering'!E30</f>
        <v>59</v>
      </c>
      <c r="F30" s="13" t="n">
        <f aca="false">'Color clustering'!F30</f>
        <v>159941</v>
      </c>
      <c r="G30" s="25" t="n">
        <f aca="false">'Color clustering'!G30</f>
        <v>15925</v>
      </c>
      <c r="H30" s="12" t="n">
        <f aca="false">'Color clustering'!H30</f>
        <v>144075</v>
      </c>
      <c r="I30" s="25" t="n">
        <f aca="false">'Color classification'!E30</f>
        <v>64</v>
      </c>
      <c r="J30" s="13" t="n">
        <f aca="false">'Color classification'!F30</f>
        <v>159936</v>
      </c>
      <c r="K30" s="25" t="n">
        <f aca="false">'Color classification'!G30</f>
        <v>15925</v>
      </c>
      <c r="L30" s="12" t="n">
        <f aca="false">'Color classification'!H30</f>
        <v>144075</v>
      </c>
    </row>
    <row r="31" customFormat="false" ht="15" hidden="false" customHeight="false" outlineLevel="0" collapsed="false">
      <c r="A31" s="7"/>
      <c r="B31" s="2" t="n">
        <v>27</v>
      </c>
      <c r="C31" s="11" t="n">
        <v>15925</v>
      </c>
      <c r="D31" s="2" t="n">
        <v>144075</v>
      </c>
      <c r="E31" s="11" t="n">
        <f aca="false">'Color clustering'!E31</f>
        <v>57</v>
      </c>
      <c r="F31" s="13" t="n">
        <f aca="false">'Color clustering'!F31</f>
        <v>159943</v>
      </c>
      <c r="G31" s="25" t="n">
        <f aca="false">'Color clustering'!G31</f>
        <v>15925</v>
      </c>
      <c r="H31" s="12" t="n">
        <f aca="false">'Color clustering'!H31</f>
        <v>144075</v>
      </c>
      <c r="I31" s="25" t="n">
        <f aca="false">'Color classification'!E31</f>
        <v>176</v>
      </c>
      <c r="J31" s="13" t="n">
        <f aca="false">'Color classification'!F31</f>
        <v>159824</v>
      </c>
      <c r="K31" s="25" t="n">
        <f aca="false">'Color classification'!G31</f>
        <v>15925</v>
      </c>
      <c r="L31" s="12" t="n">
        <f aca="false">'Color classification'!H31</f>
        <v>144075</v>
      </c>
    </row>
    <row r="32" customFormat="false" ht="15" hidden="false" customHeight="false" outlineLevel="0" collapsed="false">
      <c r="A32" s="7"/>
      <c r="B32" s="2" t="n">
        <v>28</v>
      </c>
      <c r="C32" s="11" t="n">
        <v>15925</v>
      </c>
      <c r="D32" s="2" t="n">
        <v>144075</v>
      </c>
      <c r="E32" s="11" t="n">
        <f aca="false">'Color clustering'!E32</f>
        <v>944</v>
      </c>
      <c r="F32" s="13" t="n">
        <f aca="false">'Color clustering'!F32</f>
        <v>159056</v>
      </c>
      <c r="G32" s="25" t="n">
        <f aca="false">'Color clustering'!G32</f>
        <v>15925</v>
      </c>
      <c r="H32" s="12" t="n">
        <f aca="false">'Color clustering'!H32</f>
        <v>144075</v>
      </c>
      <c r="I32" s="25" t="n">
        <f aca="false">'Color classification'!E32</f>
        <v>11</v>
      </c>
      <c r="J32" s="13" t="n">
        <f aca="false">'Color classification'!F32</f>
        <v>159989</v>
      </c>
      <c r="K32" s="25" t="n">
        <f aca="false">'Color classification'!G32</f>
        <v>15925</v>
      </c>
      <c r="L32" s="12" t="n">
        <f aca="false">'Color classification'!H32</f>
        <v>144075</v>
      </c>
    </row>
    <row r="33" customFormat="false" ht="15" hidden="false" customHeight="false" outlineLevel="0" collapsed="false">
      <c r="A33" s="7"/>
      <c r="B33" s="2" t="n">
        <v>29</v>
      </c>
      <c r="C33" s="11" t="n">
        <v>15925</v>
      </c>
      <c r="D33" s="2" t="n">
        <v>144075</v>
      </c>
      <c r="E33" s="11" t="n">
        <f aca="false">'Color clustering'!E33</f>
        <v>7</v>
      </c>
      <c r="F33" s="13" t="n">
        <f aca="false">'Color clustering'!F33</f>
        <v>159993</v>
      </c>
      <c r="G33" s="25" t="n">
        <f aca="false">'Color clustering'!G33</f>
        <v>15924</v>
      </c>
      <c r="H33" s="12" t="n">
        <f aca="false">'Color clustering'!H33</f>
        <v>144076</v>
      </c>
      <c r="I33" s="25" t="n">
        <f aca="false">'Color classification'!E33</f>
        <v>22</v>
      </c>
      <c r="J33" s="13" t="n">
        <f aca="false">'Color classification'!F33</f>
        <v>159978</v>
      </c>
      <c r="K33" s="25" t="n">
        <f aca="false">'Color classification'!G33</f>
        <v>15924</v>
      </c>
      <c r="L33" s="12" t="n">
        <f aca="false">'Color classification'!H33</f>
        <v>144076</v>
      </c>
    </row>
    <row r="34" customFormat="false" ht="15" hidden="false" customHeight="false" outlineLevel="0" collapsed="false">
      <c r="A34" s="7"/>
      <c r="B34" s="2" t="n">
        <v>30</v>
      </c>
      <c r="C34" s="11" t="n">
        <v>15925</v>
      </c>
      <c r="D34" s="2" t="n">
        <v>144075</v>
      </c>
      <c r="E34" s="11" t="n">
        <f aca="false">'Color clustering'!E34</f>
        <v>0</v>
      </c>
      <c r="F34" s="13" t="n">
        <f aca="false">'Color clustering'!F34</f>
        <v>160000</v>
      </c>
      <c r="G34" s="25" t="n">
        <f aca="false">'Color clustering'!G34</f>
        <v>15925</v>
      </c>
      <c r="H34" s="12" t="n">
        <f aca="false">'Color clustering'!H34</f>
        <v>144075</v>
      </c>
      <c r="I34" s="25" t="n">
        <f aca="false">'Color classification'!E34</f>
        <v>193</v>
      </c>
      <c r="J34" s="13" t="n">
        <f aca="false">'Color classification'!F34</f>
        <v>159807</v>
      </c>
      <c r="K34" s="25" t="n">
        <f aca="false">'Color classification'!G34</f>
        <v>15927</v>
      </c>
      <c r="L34" s="12" t="n">
        <f aca="false">'Color classification'!H34</f>
        <v>144073</v>
      </c>
    </row>
    <row r="35" customFormat="false" ht="15" hidden="false" customHeight="false" outlineLevel="0" collapsed="false">
      <c r="A35" s="7"/>
      <c r="B35" s="2" t="n">
        <v>31</v>
      </c>
      <c r="C35" s="11" t="n">
        <v>15925</v>
      </c>
      <c r="D35" s="2" t="n">
        <v>144075</v>
      </c>
      <c r="E35" s="11" t="n">
        <f aca="false">'Color clustering'!E35</f>
        <v>0</v>
      </c>
      <c r="F35" s="13" t="n">
        <f aca="false">'Color clustering'!F35</f>
        <v>160000</v>
      </c>
      <c r="G35" s="25" t="n">
        <f aca="false">'Color clustering'!G35</f>
        <v>15925</v>
      </c>
      <c r="H35" s="12" t="n">
        <f aca="false">'Color clustering'!H35</f>
        <v>144075</v>
      </c>
      <c r="I35" s="25" t="n">
        <f aca="false">'Color classification'!E35</f>
        <v>15</v>
      </c>
      <c r="J35" s="13" t="n">
        <f aca="false">'Color classification'!F35</f>
        <v>159985</v>
      </c>
      <c r="K35" s="25" t="n">
        <f aca="false">'Color classification'!G35</f>
        <v>15926</v>
      </c>
      <c r="L35" s="12" t="n">
        <f aca="false">'Color classification'!H35</f>
        <v>144074</v>
      </c>
    </row>
    <row r="36" customFormat="false" ht="15" hidden="false" customHeight="false" outlineLevel="0" collapsed="false">
      <c r="A36" s="7"/>
      <c r="B36" s="2" t="n">
        <v>32</v>
      </c>
      <c r="C36" s="11" t="n">
        <v>15925</v>
      </c>
      <c r="D36" s="2" t="n">
        <v>144075</v>
      </c>
      <c r="E36" s="11" t="n">
        <f aca="false">'Color clustering'!E36</f>
        <v>0</v>
      </c>
      <c r="F36" s="13" t="n">
        <f aca="false">'Color clustering'!F36</f>
        <v>160000</v>
      </c>
      <c r="G36" s="25" t="n">
        <f aca="false">'Color clustering'!G36</f>
        <v>15925</v>
      </c>
      <c r="H36" s="12" t="n">
        <f aca="false">'Color clustering'!H36</f>
        <v>144075</v>
      </c>
      <c r="I36" s="25" t="n">
        <f aca="false">'Color classification'!E36</f>
        <v>20</v>
      </c>
      <c r="J36" s="13" t="n">
        <f aca="false">'Color classification'!F36</f>
        <v>159980</v>
      </c>
      <c r="K36" s="25" t="n">
        <f aca="false">'Color classification'!G36</f>
        <v>15926</v>
      </c>
      <c r="L36" s="12" t="n">
        <f aca="false">'Color classification'!H36</f>
        <v>144074</v>
      </c>
    </row>
    <row r="37" customFormat="false" ht="15" hidden="false" customHeight="false" outlineLevel="0" collapsed="false">
      <c r="A37" s="7"/>
      <c r="B37" s="2" t="n">
        <v>33</v>
      </c>
      <c r="C37" s="11" t="n">
        <v>15925</v>
      </c>
      <c r="D37" s="2" t="n">
        <v>144075</v>
      </c>
      <c r="E37" s="11" t="n">
        <f aca="false">'Color clustering'!E37</f>
        <v>0</v>
      </c>
      <c r="F37" s="13" t="n">
        <f aca="false">'Color clustering'!F37</f>
        <v>160000</v>
      </c>
      <c r="G37" s="25" t="n">
        <f aca="false">'Color clustering'!G37</f>
        <v>15925</v>
      </c>
      <c r="H37" s="12" t="n">
        <f aca="false">'Color clustering'!H37</f>
        <v>144075</v>
      </c>
      <c r="I37" s="25" t="n">
        <f aca="false">'Color classification'!E37</f>
        <v>1057</v>
      </c>
      <c r="J37" s="13" t="n">
        <f aca="false">'Color classification'!F37</f>
        <v>158943</v>
      </c>
      <c r="K37" s="25" t="n">
        <f aca="false">'Color classification'!G37</f>
        <v>15926</v>
      </c>
      <c r="L37" s="12" t="n">
        <f aca="false">'Color classification'!H37</f>
        <v>144074</v>
      </c>
    </row>
    <row r="38" customFormat="false" ht="15" hidden="false" customHeight="false" outlineLevel="0" collapsed="false">
      <c r="A38" s="7"/>
      <c r="B38" s="2" t="n">
        <v>34</v>
      </c>
      <c r="C38" s="11" t="n">
        <v>15925</v>
      </c>
      <c r="D38" s="2" t="n">
        <v>144075</v>
      </c>
      <c r="E38" s="11" t="n">
        <f aca="false">'Color clustering'!E38</f>
        <v>0</v>
      </c>
      <c r="F38" s="13" t="n">
        <f aca="false">'Color clustering'!F38</f>
        <v>160000</v>
      </c>
      <c r="G38" s="25" t="n">
        <f aca="false">'Color clustering'!G38</f>
        <v>15925</v>
      </c>
      <c r="H38" s="12" t="n">
        <f aca="false">'Color clustering'!H38</f>
        <v>144075</v>
      </c>
      <c r="I38" s="25" t="n">
        <f aca="false">'Color classification'!E38</f>
        <v>205</v>
      </c>
      <c r="J38" s="13" t="n">
        <f aca="false">'Color classification'!F38</f>
        <v>159795</v>
      </c>
      <c r="K38" s="25" t="n">
        <f aca="false">'Color classification'!G38</f>
        <v>15926</v>
      </c>
      <c r="L38" s="12" t="n">
        <f aca="false">'Color classification'!H38</f>
        <v>144074</v>
      </c>
    </row>
    <row r="39" customFormat="false" ht="15" hidden="false" customHeight="false" outlineLevel="0" collapsed="false">
      <c r="A39" s="7"/>
      <c r="B39" s="2" t="n">
        <v>35</v>
      </c>
      <c r="C39" s="11" t="n">
        <v>15925</v>
      </c>
      <c r="D39" s="2" t="n">
        <v>144075</v>
      </c>
      <c r="E39" s="11" t="n">
        <f aca="false">'Color clustering'!E39</f>
        <v>0</v>
      </c>
      <c r="F39" s="13" t="n">
        <f aca="false">'Color clustering'!F39</f>
        <v>160000</v>
      </c>
      <c r="G39" s="25" t="n">
        <f aca="false">'Color clustering'!G39</f>
        <v>15925</v>
      </c>
      <c r="H39" s="12" t="n">
        <f aca="false">'Color clustering'!H39</f>
        <v>144075</v>
      </c>
      <c r="I39" s="25" t="n">
        <f aca="false">'Color classification'!E39</f>
        <v>14</v>
      </c>
      <c r="J39" s="13" t="n">
        <f aca="false">'Color classification'!F39</f>
        <v>159986</v>
      </c>
      <c r="K39" s="25" t="n">
        <f aca="false">'Color classification'!G39</f>
        <v>15926</v>
      </c>
      <c r="L39" s="12" t="n">
        <f aca="false">'Color classification'!H39</f>
        <v>144074</v>
      </c>
    </row>
    <row r="40" customFormat="false" ht="15" hidden="false" customHeight="false" outlineLevel="0" collapsed="false">
      <c r="A40" s="7"/>
      <c r="B40" s="2" t="n">
        <v>36</v>
      </c>
      <c r="C40" s="11" t="n">
        <v>15925</v>
      </c>
      <c r="D40" s="2" t="n">
        <v>144075</v>
      </c>
      <c r="E40" s="11" t="n">
        <f aca="false">'Color clustering'!E40</f>
        <v>0</v>
      </c>
      <c r="F40" s="13" t="n">
        <f aca="false">'Color clustering'!F40</f>
        <v>160000</v>
      </c>
      <c r="G40" s="25" t="n">
        <f aca="false">'Color clustering'!G40</f>
        <v>15925</v>
      </c>
      <c r="H40" s="12" t="n">
        <f aca="false">'Color clustering'!H40</f>
        <v>144075</v>
      </c>
      <c r="I40" s="25" t="n">
        <f aca="false">'Color classification'!E40</f>
        <v>681</v>
      </c>
      <c r="J40" s="13" t="n">
        <f aca="false">'Color classification'!F40</f>
        <v>159319</v>
      </c>
      <c r="K40" s="25" t="n">
        <f aca="false">'Color classification'!G40</f>
        <v>15926</v>
      </c>
      <c r="L40" s="12" t="n">
        <f aca="false">'Color classification'!H40</f>
        <v>144074</v>
      </c>
    </row>
    <row r="41" customFormat="false" ht="15" hidden="false" customHeight="false" outlineLevel="0" collapsed="false">
      <c r="A41" s="7"/>
      <c r="B41" s="2" t="n">
        <v>37</v>
      </c>
      <c r="C41" s="11" t="n">
        <v>15925</v>
      </c>
      <c r="D41" s="2" t="n">
        <v>144075</v>
      </c>
      <c r="E41" s="11" t="n">
        <f aca="false">'Color clustering'!E41</f>
        <v>4</v>
      </c>
      <c r="F41" s="13" t="n">
        <f aca="false">'Color clustering'!F41</f>
        <v>159996</v>
      </c>
      <c r="G41" s="25" t="n">
        <f aca="false">'Color clustering'!G41</f>
        <v>15938</v>
      </c>
      <c r="H41" s="12" t="n">
        <f aca="false">'Color clustering'!H41</f>
        <v>144062</v>
      </c>
      <c r="I41" s="25" t="n">
        <f aca="false">'Color classification'!E41</f>
        <v>978</v>
      </c>
      <c r="J41" s="13" t="n">
        <f aca="false">'Color classification'!F41</f>
        <v>159022</v>
      </c>
      <c r="K41" s="25" t="n">
        <f aca="false">'Color classification'!G41</f>
        <v>15931</v>
      </c>
      <c r="L41" s="12" t="n">
        <f aca="false">'Color classification'!H41</f>
        <v>144069</v>
      </c>
    </row>
    <row r="42" customFormat="false" ht="15" hidden="false" customHeight="false" outlineLevel="0" collapsed="false">
      <c r="A42" s="7"/>
      <c r="B42" s="2" t="n">
        <v>38</v>
      </c>
      <c r="C42" s="11" t="n">
        <v>15925</v>
      </c>
      <c r="D42" s="2" t="n">
        <v>144075</v>
      </c>
      <c r="E42" s="11" t="n">
        <f aca="false">'Color clustering'!E42</f>
        <v>0</v>
      </c>
      <c r="F42" s="13" t="n">
        <f aca="false">'Color clustering'!F42</f>
        <v>160000</v>
      </c>
      <c r="G42" s="25" t="n">
        <f aca="false">'Color clustering'!G42</f>
        <v>15925</v>
      </c>
      <c r="H42" s="12" t="n">
        <f aca="false">'Color clustering'!H42</f>
        <v>144075</v>
      </c>
      <c r="I42" s="25" t="n">
        <f aca="false">'Color classification'!E42</f>
        <v>70</v>
      </c>
      <c r="J42" s="13" t="n">
        <f aca="false">'Color classification'!F42</f>
        <v>159930</v>
      </c>
      <c r="K42" s="25" t="n">
        <f aca="false">'Color classification'!G42</f>
        <v>15926</v>
      </c>
      <c r="L42" s="12" t="n">
        <f aca="false">'Color classification'!H42</f>
        <v>144074</v>
      </c>
    </row>
    <row r="43" customFormat="false" ht="15" hidden="false" customHeight="false" outlineLevel="0" collapsed="false">
      <c r="A43" s="7"/>
      <c r="B43" s="2" t="n">
        <v>39</v>
      </c>
      <c r="C43" s="11" t="n">
        <v>15925</v>
      </c>
      <c r="D43" s="2" t="n">
        <v>144075</v>
      </c>
      <c r="E43" s="11" t="n">
        <f aca="false">'Color clustering'!E43</f>
        <v>18</v>
      </c>
      <c r="F43" s="13" t="n">
        <f aca="false">'Color clustering'!F43</f>
        <v>159982</v>
      </c>
      <c r="G43" s="25" t="n">
        <f aca="false">'Color clustering'!G43</f>
        <v>15925</v>
      </c>
      <c r="H43" s="12" t="n">
        <f aca="false">'Color clustering'!H43</f>
        <v>144075</v>
      </c>
      <c r="I43" s="25" t="n">
        <f aca="false">'Color classification'!E43</f>
        <v>13</v>
      </c>
      <c r="J43" s="13" t="n">
        <f aca="false">'Color classification'!F43</f>
        <v>159987</v>
      </c>
      <c r="K43" s="25" t="n">
        <f aca="false">'Color classification'!G43</f>
        <v>15926</v>
      </c>
      <c r="L43" s="12" t="n">
        <f aca="false">'Color classification'!H43</f>
        <v>144074</v>
      </c>
    </row>
    <row r="44" customFormat="false" ht="15" hidden="false" customHeight="false" outlineLevel="0" collapsed="false">
      <c r="A44" s="7"/>
      <c r="B44" s="2" t="n">
        <v>40</v>
      </c>
      <c r="C44" s="11" t="n">
        <v>15925</v>
      </c>
      <c r="D44" s="2" t="n">
        <v>144075</v>
      </c>
      <c r="E44" s="11" t="n">
        <f aca="false">'Color clustering'!E44</f>
        <v>10</v>
      </c>
      <c r="F44" s="13" t="n">
        <f aca="false">'Color clustering'!F44</f>
        <v>159990</v>
      </c>
      <c r="G44" s="25" t="n">
        <f aca="false">'Color clustering'!G44</f>
        <v>15925</v>
      </c>
      <c r="H44" s="12" t="n">
        <f aca="false">'Color clustering'!H44</f>
        <v>144075</v>
      </c>
      <c r="I44" s="25" t="n">
        <f aca="false">'Color classification'!E44</f>
        <v>155</v>
      </c>
      <c r="J44" s="13" t="n">
        <f aca="false">'Color classification'!F44</f>
        <v>159845</v>
      </c>
      <c r="K44" s="25" t="n">
        <f aca="false">'Color classification'!G44</f>
        <v>15926</v>
      </c>
      <c r="L44" s="12" t="n">
        <f aca="false">'Color classification'!H44</f>
        <v>144074</v>
      </c>
    </row>
    <row r="45" customFormat="false" ht="15" hidden="false" customHeight="false" outlineLevel="0" collapsed="false">
      <c r="A45" s="7"/>
      <c r="B45" s="2" t="n">
        <v>41</v>
      </c>
      <c r="C45" s="11" t="n">
        <v>15925</v>
      </c>
      <c r="D45" s="2" t="n">
        <v>144075</v>
      </c>
      <c r="E45" s="11" t="n">
        <f aca="false">'Color clustering'!E45</f>
        <v>14</v>
      </c>
      <c r="F45" s="13" t="n">
        <f aca="false">'Color clustering'!F45</f>
        <v>159986</v>
      </c>
      <c r="G45" s="25" t="n">
        <f aca="false">'Color clustering'!G45</f>
        <v>15924</v>
      </c>
      <c r="H45" s="12" t="n">
        <f aca="false">'Color clustering'!H45</f>
        <v>144076</v>
      </c>
      <c r="I45" s="25" t="n">
        <f aca="false">'Color classification'!E45</f>
        <v>18</v>
      </c>
      <c r="J45" s="13" t="n">
        <f aca="false">'Color classification'!F45</f>
        <v>159982</v>
      </c>
      <c r="K45" s="25" t="n">
        <f aca="false">'Color classification'!G45</f>
        <v>15926</v>
      </c>
      <c r="L45" s="12" t="n">
        <f aca="false">'Color classification'!H45</f>
        <v>144074</v>
      </c>
    </row>
    <row r="46" customFormat="false" ht="15" hidden="false" customHeight="false" outlineLevel="0" collapsed="false">
      <c r="A46" s="7"/>
      <c r="B46" s="2" t="n">
        <v>42</v>
      </c>
      <c r="C46" s="11" t="n">
        <v>15925</v>
      </c>
      <c r="D46" s="2" t="n">
        <v>144075</v>
      </c>
      <c r="E46" s="11" t="n">
        <f aca="false">'Color clustering'!E46</f>
        <v>243</v>
      </c>
      <c r="F46" s="13" t="n">
        <f aca="false">'Color clustering'!F46</f>
        <v>159757</v>
      </c>
      <c r="G46" s="25" t="n">
        <f aca="false">'Color clustering'!G46</f>
        <v>15925</v>
      </c>
      <c r="H46" s="12" t="n">
        <f aca="false">'Color clustering'!H46</f>
        <v>144075</v>
      </c>
      <c r="I46" s="25" t="n">
        <f aca="false">'Color classification'!E46</f>
        <v>3</v>
      </c>
      <c r="J46" s="13" t="n">
        <f aca="false">'Color classification'!F46</f>
        <v>159997</v>
      </c>
      <c r="K46" s="25" t="n">
        <f aca="false">'Color classification'!G46</f>
        <v>15928</v>
      </c>
      <c r="L46" s="12" t="n">
        <f aca="false">'Color classification'!H46</f>
        <v>144072</v>
      </c>
    </row>
    <row r="47" customFormat="false" ht="15" hidden="false" customHeight="false" outlineLevel="0" collapsed="false">
      <c r="A47" s="7"/>
      <c r="B47" s="2" t="n">
        <v>43</v>
      </c>
      <c r="C47" s="11" t="n">
        <v>15925</v>
      </c>
      <c r="D47" s="2" t="n">
        <v>144075</v>
      </c>
      <c r="E47" s="11" t="n">
        <f aca="false">'Color clustering'!E47</f>
        <v>390</v>
      </c>
      <c r="F47" s="13" t="n">
        <f aca="false">'Color clustering'!F47</f>
        <v>159610</v>
      </c>
      <c r="G47" s="25" t="n">
        <f aca="false">'Color clustering'!G47</f>
        <v>15925</v>
      </c>
      <c r="H47" s="12" t="n">
        <f aca="false">'Color clustering'!H47</f>
        <v>144075</v>
      </c>
      <c r="I47" s="25" t="n">
        <f aca="false">'Color classification'!E47</f>
        <v>9</v>
      </c>
      <c r="J47" s="13" t="n">
        <f aca="false">'Color classification'!F47</f>
        <v>159991</v>
      </c>
      <c r="K47" s="25" t="n">
        <f aca="false">'Color classification'!G47</f>
        <v>15928</v>
      </c>
      <c r="L47" s="12" t="n">
        <f aca="false">'Color classification'!H47</f>
        <v>144072</v>
      </c>
    </row>
    <row r="48" customFormat="false" ht="15" hidden="false" customHeight="false" outlineLevel="0" collapsed="false">
      <c r="A48" s="7"/>
      <c r="B48" s="2" t="n">
        <v>44</v>
      </c>
      <c r="C48" s="11" t="n">
        <v>15925</v>
      </c>
      <c r="D48" s="2" t="n">
        <v>144075</v>
      </c>
      <c r="E48" s="11" t="n">
        <f aca="false">'Color clustering'!E48</f>
        <v>1133</v>
      </c>
      <c r="F48" s="13" t="n">
        <f aca="false">'Color clustering'!F48</f>
        <v>158867</v>
      </c>
      <c r="G48" s="25" t="n">
        <f aca="false">'Color clustering'!G48</f>
        <v>15925</v>
      </c>
      <c r="H48" s="12" t="n">
        <f aca="false">'Color clustering'!H48</f>
        <v>144075</v>
      </c>
      <c r="I48" s="25" t="n">
        <f aca="false">'Color classification'!E48</f>
        <v>4</v>
      </c>
      <c r="J48" s="13" t="n">
        <f aca="false">'Color classification'!F48</f>
        <v>159996</v>
      </c>
      <c r="K48" s="25" t="n">
        <f aca="false">'Color classification'!G48</f>
        <v>15928</v>
      </c>
      <c r="L48" s="12" t="n">
        <f aca="false">'Color classification'!H48</f>
        <v>144072</v>
      </c>
    </row>
    <row r="49" customFormat="false" ht="15" hidden="false" customHeight="false" outlineLevel="0" collapsed="false">
      <c r="A49" s="7"/>
      <c r="B49" s="2" t="n">
        <v>45</v>
      </c>
      <c r="C49" s="11" t="n">
        <v>15925</v>
      </c>
      <c r="D49" s="2" t="n">
        <v>144075</v>
      </c>
      <c r="E49" s="11" t="n">
        <f aca="false">'Color clustering'!E49</f>
        <v>35</v>
      </c>
      <c r="F49" s="13" t="n">
        <f aca="false">'Color clustering'!F49</f>
        <v>159965</v>
      </c>
      <c r="G49" s="25" t="n">
        <f aca="false">'Color clustering'!G49</f>
        <v>15925</v>
      </c>
      <c r="H49" s="12" t="n">
        <f aca="false">'Color clustering'!H49</f>
        <v>144075</v>
      </c>
      <c r="I49" s="25" t="n">
        <f aca="false">'Color classification'!E49</f>
        <v>721</v>
      </c>
      <c r="J49" s="13" t="n">
        <f aca="false">'Color classification'!F49</f>
        <v>159279</v>
      </c>
      <c r="K49" s="25" t="n">
        <f aca="false">'Color classification'!G49</f>
        <v>15929</v>
      </c>
      <c r="L49" s="12" t="n">
        <f aca="false">'Color classification'!H49</f>
        <v>144071</v>
      </c>
    </row>
    <row r="50" customFormat="false" ht="15" hidden="false" customHeight="false" outlineLevel="0" collapsed="false">
      <c r="A50" s="7"/>
      <c r="B50" s="2" t="n">
        <v>46</v>
      </c>
      <c r="C50" s="11" t="n">
        <v>15925</v>
      </c>
      <c r="D50" s="2" t="n">
        <v>144075</v>
      </c>
      <c r="E50" s="11" t="n">
        <f aca="false">'Color clustering'!E50</f>
        <v>9</v>
      </c>
      <c r="F50" s="13" t="n">
        <f aca="false">'Color clustering'!F50</f>
        <v>159991</v>
      </c>
      <c r="G50" s="25" t="n">
        <f aca="false">'Color clustering'!G50</f>
        <v>15925</v>
      </c>
      <c r="H50" s="12" t="n">
        <f aca="false">'Color clustering'!H50</f>
        <v>144075</v>
      </c>
      <c r="I50" s="25" t="n">
        <f aca="false">'Color classification'!E50</f>
        <v>61</v>
      </c>
      <c r="J50" s="13" t="n">
        <f aca="false">'Color classification'!F50</f>
        <v>159939</v>
      </c>
      <c r="K50" s="25" t="n">
        <f aca="false">'Color classification'!G50</f>
        <v>15929</v>
      </c>
      <c r="L50" s="12" t="n">
        <f aca="false">'Color classification'!H50</f>
        <v>144071</v>
      </c>
    </row>
    <row r="51" customFormat="false" ht="15" hidden="false" customHeight="false" outlineLevel="0" collapsed="false">
      <c r="A51" s="7"/>
      <c r="B51" s="2" t="n">
        <v>47</v>
      </c>
      <c r="C51" s="11" t="n">
        <v>15925</v>
      </c>
      <c r="D51" s="2" t="n">
        <v>144075</v>
      </c>
      <c r="E51" s="11" t="n">
        <f aca="false">'Color clustering'!E51</f>
        <v>11</v>
      </c>
      <c r="F51" s="13" t="n">
        <f aca="false">'Color clustering'!F51</f>
        <v>159989</v>
      </c>
      <c r="G51" s="25" t="n">
        <f aca="false">'Color clustering'!G51</f>
        <v>15925</v>
      </c>
      <c r="H51" s="12" t="n">
        <f aca="false">'Color clustering'!H51</f>
        <v>144075</v>
      </c>
      <c r="I51" s="25" t="n">
        <f aca="false">'Color classification'!E51</f>
        <v>5</v>
      </c>
      <c r="J51" s="13" t="n">
        <f aca="false">'Color classification'!F51</f>
        <v>159995</v>
      </c>
      <c r="K51" s="25" t="n">
        <f aca="false">'Color classification'!G51</f>
        <v>15929</v>
      </c>
      <c r="L51" s="12" t="n">
        <f aca="false">'Color classification'!H51</f>
        <v>144071</v>
      </c>
    </row>
    <row r="52" customFormat="false" ht="15" hidden="false" customHeight="false" outlineLevel="0" collapsed="false">
      <c r="A52" s="7"/>
      <c r="B52" s="2" t="n">
        <v>48</v>
      </c>
      <c r="C52" s="11" t="n">
        <v>15925</v>
      </c>
      <c r="D52" s="2" t="n">
        <v>144075</v>
      </c>
      <c r="E52" s="11" t="n">
        <f aca="false">'Color clustering'!E52</f>
        <v>21</v>
      </c>
      <c r="F52" s="13" t="n">
        <f aca="false">'Color clustering'!F52</f>
        <v>159979</v>
      </c>
      <c r="G52" s="25" t="n">
        <f aca="false">'Color clustering'!G52</f>
        <v>15925</v>
      </c>
      <c r="H52" s="12" t="n">
        <f aca="false">'Color clustering'!H52</f>
        <v>144075</v>
      </c>
      <c r="I52" s="25" t="n">
        <f aca="false">'Color classification'!E52</f>
        <v>28</v>
      </c>
      <c r="J52" s="13" t="n">
        <f aca="false">'Color classification'!F52</f>
        <v>159972</v>
      </c>
      <c r="K52" s="25" t="n">
        <f aca="false">'Color classification'!G52</f>
        <v>15929</v>
      </c>
      <c r="L52" s="12" t="n">
        <f aca="false">'Color classification'!H52</f>
        <v>144071</v>
      </c>
    </row>
    <row r="53" customFormat="false" ht="15" hidden="false" customHeight="false" outlineLevel="0" collapsed="false">
      <c r="A53" s="7"/>
      <c r="B53" s="2" t="n">
        <v>49</v>
      </c>
      <c r="C53" s="11" t="n">
        <v>15925</v>
      </c>
      <c r="D53" s="2" t="n">
        <v>144075</v>
      </c>
      <c r="E53" s="11" t="n">
        <f aca="false">'Color clustering'!E53</f>
        <v>12</v>
      </c>
      <c r="F53" s="13" t="n">
        <f aca="false">'Color clustering'!F53</f>
        <v>159988</v>
      </c>
      <c r="G53" s="25" t="n">
        <f aca="false">'Color clustering'!G53</f>
        <v>15925</v>
      </c>
      <c r="H53" s="12" t="n">
        <f aca="false">'Color clustering'!H53</f>
        <v>144075</v>
      </c>
      <c r="I53" s="25" t="n">
        <f aca="false">'Color classification'!E53</f>
        <v>1215</v>
      </c>
      <c r="J53" s="13" t="n">
        <f aca="false">'Color classification'!F53</f>
        <v>158785</v>
      </c>
      <c r="K53" s="25" t="n">
        <f aca="false">'Color classification'!G53</f>
        <v>15929</v>
      </c>
      <c r="L53" s="12" t="n">
        <f aca="false">'Color classification'!H53</f>
        <v>144071</v>
      </c>
    </row>
    <row r="54" customFormat="false" ht="15" hidden="false" customHeight="false" outlineLevel="0" collapsed="false">
      <c r="A54" s="7"/>
      <c r="B54" s="2" t="n">
        <v>50</v>
      </c>
      <c r="C54" s="11" t="n">
        <v>15925</v>
      </c>
      <c r="D54" s="2" t="n">
        <v>144075</v>
      </c>
      <c r="E54" s="11" t="n">
        <f aca="false">'Color clustering'!E54</f>
        <v>71</v>
      </c>
      <c r="F54" s="13" t="n">
        <f aca="false">'Color clustering'!F54</f>
        <v>159929</v>
      </c>
      <c r="G54" s="25" t="n">
        <f aca="false">'Color clustering'!G54</f>
        <v>15925</v>
      </c>
      <c r="H54" s="12" t="n">
        <f aca="false">'Color clustering'!H54</f>
        <v>144075</v>
      </c>
      <c r="I54" s="25" t="n">
        <f aca="false">'Color classification'!E54</f>
        <v>13</v>
      </c>
      <c r="J54" s="13" t="n">
        <f aca="false">'Color classification'!F54</f>
        <v>159987</v>
      </c>
      <c r="K54" s="25" t="n">
        <f aca="false">'Color classification'!G54</f>
        <v>15929</v>
      </c>
      <c r="L54" s="12" t="n">
        <f aca="false">'Color classification'!H54</f>
        <v>144071</v>
      </c>
    </row>
    <row r="55" customFormat="false" ht="15" hidden="false" customHeight="false" outlineLevel="0" collapsed="false">
      <c r="A55" s="7"/>
      <c r="B55" s="2" t="n">
        <v>51</v>
      </c>
      <c r="C55" s="11" t="n">
        <v>15925</v>
      </c>
      <c r="D55" s="2" t="n">
        <v>144075</v>
      </c>
      <c r="E55" s="11" t="n">
        <f aca="false">'Color clustering'!E55</f>
        <v>17</v>
      </c>
      <c r="F55" s="13" t="n">
        <f aca="false">'Color clustering'!F55</f>
        <v>159983</v>
      </c>
      <c r="G55" s="25" t="n">
        <f aca="false">'Color clustering'!G55</f>
        <v>15926</v>
      </c>
      <c r="H55" s="12" t="n">
        <f aca="false">'Color clustering'!H55</f>
        <v>144074</v>
      </c>
      <c r="I55" s="25" t="n">
        <f aca="false">'Color classification'!E55</f>
        <v>6</v>
      </c>
      <c r="J55" s="13" t="n">
        <f aca="false">'Color classification'!F55</f>
        <v>159994</v>
      </c>
      <c r="K55" s="25" t="n">
        <f aca="false">'Color classification'!G55</f>
        <v>15927</v>
      </c>
      <c r="L55" s="12" t="n">
        <f aca="false">'Color classification'!H55</f>
        <v>144073</v>
      </c>
    </row>
    <row r="56" customFormat="false" ht="15" hidden="false" customHeight="false" outlineLevel="0" collapsed="false">
      <c r="A56" s="7"/>
      <c r="B56" s="2" t="n">
        <v>52</v>
      </c>
      <c r="C56" s="11" t="n">
        <v>15925</v>
      </c>
      <c r="D56" s="2" t="n">
        <v>144075</v>
      </c>
      <c r="E56" s="11" t="n">
        <f aca="false">'Color clustering'!E56</f>
        <v>0</v>
      </c>
      <c r="F56" s="13" t="n">
        <f aca="false">'Color clustering'!F56</f>
        <v>160000</v>
      </c>
      <c r="G56" s="25" t="n">
        <f aca="false">'Color clustering'!G56</f>
        <v>15935</v>
      </c>
      <c r="H56" s="12" t="n">
        <f aca="false">'Color clustering'!H56</f>
        <v>144065</v>
      </c>
      <c r="I56" s="25" t="n">
        <f aca="false">'Color classification'!E56</f>
        <v>10</v>
      </c>
      <c r="J56" s="13" t="n">
        <f aca="false">'Color classification'!F56</f>
        <v>159990</v>
      </c>
      <c r="K56" s="25" t="n">
        <f aca="false">'Color classification'!G56</f>
        <v>15929</v>
      </c>
      <c r="L56" s="12" t="n">
        <f aca="false">'Color classification'!H56</f>
        <v>144071</v>
      </c>
    </row>
    <row r="57" customFormat="false" ht="15" hidden="false" customHeight="false" outlineLevel="0" collapsed="false">
      <c r="A57" s="7"/>
      <c r="B57" s="2" t="n">
        <v>53</v>
      </c>
      <c r="C57" s="11" t="n">
        <v>15925</v>
      </c>
      <c r="D57" s="2" t="n">
        <v>144075</v>
      </c>
      <c r="E57" s="11" t="n">
        <f aca="false">'Color clustering'!E57</f>
        <v>17</v>
      </c>
      <c r="F57" s="13" t="n">
        <f aca="false">'Color clustering'!F57</f>
        <v>159983</v>
      </c>
      <c r="G57" s="25" t="n">
        <f aca="false">'Color clustering'!G57</f>
        <v>15943</v>
      </c>
      <c r="H57" s="12" t="n">
        <f aca="false">'Color clustering'!H57</f>
        <v>144057</v>
      </c>
      <c r="I57" s="25" t="n">
        <f aca="false">'Color classification'!E57</f>
        <v>322</v>
      </c>
      <c r="J57" s="13" t="n">
        <f aca="false">'Color classification'!F57</f>
        <v>159678</v>
      </c>
      <c r="K57" s="25" t="n">
        <f aca="false">'Color classification'!G57</f>
        <v>15932</v>
      </c>
      <c r="L57" s="12" t="n">
        <f aca="false">'Color classification'!H57</f>
        <v>144068</v>
      </c>
    </row>
    <row r="58" customFormat="false" ht="15" hidden="false" customHeight="false" outlineLevel="0" collapsed="false">
      <c r="A58" s="7"/>
      <c r="B58" s="2" t="n">
        <v>54</v>
      </c>
      <c r="C58" s="11" t="n">
        <v>15925</v>
      </c>
      <c r="D58" s="2" t="n">
        <v>144075</v>
      </c>
      <c r="E58" s="11" t="n">
        <f aca="false">'Color clustering'!E58</f>
        <v>7</v>
      </c>
      <c r="F58" s="13" t="n">
        <f aca="false">'Color clustering'!F58</f>
        <v>159993</v>
      </c>
      <c r="G58" s="25" t="n">
        <f aca="false">'Color clustering'!G58</f>
        <v>15929</v>
      </c>
      <c r="H58" s="12" t="n">
        <f aca="false">'Color clustering'!H58</f>
        <v>144071</v>
      </c>
      <c r="I58" s="25" t="n">
        <f aca="false">'Color classification'!E58</f>
        <v>14</v>
      </c>
      <c r="J58" s="13" t="n">
        <f aca="false">'Color classification'!F58</f>
        <v>159986</v>
      </c>
      <c r="K58" s="25" t="n">
        <f aca="false">'Color classification'!G58</f>
        <v>15931</v>
      </c>
      <c r="L58" s="12" t="n">
        <f aca="false">'Color classification'!H58</f>
        <v>144069</v>
      </c>
    </row>
    <row r="59" customFormat="false" ht="15" hidden="false" customHeight="false" outlineLevel="0" collapsed="false">
      <c r="A59" s="7"/>
      <c r="B59" s="2" t="n">
        <v>55</v>
      </c>
      <c r="C59" s="11" t="n">
        <v>15925</v>
      </c>
      <c r="D59" s="2" t="n">
        <v>144075</v>
      </c>
      <c r="E59" s="11" t="n">
        <f aca="false">'Color clustering'!E59</f>
        <v>219</v>
      </c>
      <c r="F59" s="13" t="n">
        <f aca="false">'Color clustering'!F59</f>
        <v>159781</v>
      </c>
      <c r="G59" s="25" t="n">
        <f aca="false">'Color clustering'!G59</f>
        <v>16010</v>
      </c>
      <c r="H59" s="12" t="n">
        <f aca="false">'Color clustering'!H59</f>
        <v>143990</v>
      </c>
      <c r="I59" s="25" t="n">
        <f aca="false">'Color classification'!E59</f>
        <v>143</v>
      </c>
      <c r="J59" s="13" t="n">
        <f aca="false">'Color classification'!F59</f>
        <v>159857</v>
      </c>
      <c r="K59" s="25" t="n">
        <f aca="false">'Color classification'!G59</f>
        <v>15930</v>
      </c>
      <c r="L59" s="12" t="n">
        <f aca="false">'Color classification'!H59</f>
        <v>144070</v>
      </c>
    </row>
    <row r="60" customFormat="false" ht="15" hidden="false" customHeight="false" outlineLevel="0" collapsed="false">
      <c r="A60" s="7"/>
      <c r="B60" s="2" t="n">
        <v>56</v>
      </c>
      <c r="C60" s="11" t="n">
        <v>15925</v>
      </c>
      <c r="D60" s="2" t="n">
        <v>144075</v>
      </c>
      <c r="E60" s="11" t="n">
        <f aca="false">'Color clustering'!E60</f>
        <v>73</v>
      </c>
      <c r="F60" s="13" t="n">
        <f aca="false">'Color clustering'!F60</f>
        <v>159927</v>
      </c>
      <c r="G60" s="25" t="n">
        <f aca="false">'Color clustering'!G60</f>
        <v>15931</v>
      </c>
      <c r="H60" s="12" t="n">
        <f aca="false">'Color clustering'!H60</f>
        <v>144069</v>
      </c>
      <c r="I60" s="25" t="n">
        <f aca="false">'Color classification'!E60</f>
        <v>11</v>
      </c>
      <c r="J60" s="13" t="n">
        <f aca="false">'Color classification'!F60</f>
        <v>159989</v>
      </c>
      <c r="K60" s="25" t="n">
        <f aca="false">'Color classification'!G60</f>
        <v>15931</v>
      </c>
      <c r="L60" s="12" t="n">
        <f aca="false">'Color classification'!H60</f>
        <v>144069</v>
      </c>
    </row>
    <row r="61" customFormat="false" ht="15" hidden="false" customHeight="false" outlineLevel="0" collapsed="false">
      <c r="A61" s="7"/>
      <c r="B61" s="2" t="n">
        <v>57</v>
      </c>
      <c r="C61" s="11" t="n">
        <v>15925</v>
      </c>
      <c r="D61" s="2" t="n">
        <v>144075</v>
      </c>
      <c r="E61" s="11" t="n">
        <f aca="false">'Color clustering'!E61</f>
        <v>5</v>
      </c>
      <c r="F61" s="13" t="n">
        <f aca="false">'Color clustering'!F61</f>
        <v>159995</v>
      </c>
      <c r="G61" s="25" t="n">
        <f aca="false">'Color clustering'!G61</f>
        <v>15931</v>
      </c>
      <c r="H61" s="12" t="n">
        <f aca="false">'Color clustering'!H61</f>
        <v>144069</v>
      </c>
      <c r="I61" s="25" t="n">
        <f aca="false">'Color classification'!E61</f>
        <v>1483</v>
      </c>
      <c r="J61" s="13" t="n">
        <f aca="false">'Color classification'!F61</f>
        <v>158517</v>
      </c>
      <c r="K61" s="25" t="n">
        <f aca="false">'Color classification'!G61</f>
        <v>15931</v>
      </c>
      <c r="L61" s="12" t="n">
        <f aca="false">'Color classification'!H61</f>
        <v>144069</v>
      </c>
    </row>
    <row r="62" customFormat="false" ht="15" hidden="false" customHeight="false" outlineLevel="0" collapsed="false">
      <c r="A62" s="7"/>
      <c r="B62" s="2" t="n">
        <v>58</v>
      </c>
      <c r="C62" s="11" t="n">
        <v>15925</v>
      </c>
      <c r="D62" s="2" t="n">
        <v>144075</v>
      </c>
      <c r="E62" s="11" t="n">
        <f aca="false">'Color clustering'!E62</f>
        <v>0</v>
      </c>
      <c r="F62" s="13" t="n">
        <f aca="false">'Color clustering'!F62</f>
        <v>160000</v>
      </c>
      <c r="G62" s="25" t="n">
        <f aca="false">'Color clustering'!G62</f>
        <v>15941</v>
      </c>
      <c r="H62" s="12" t="n">
        <f aca="false">'Color clustering'!H62</f>
        <v>144059</v>
      </c>
      <c r="I62" s="25" t="n">
        <f aca="false">'Color classification'!E62</f>
        <v>0</v>
      </c>
      <c r="J62" s="13" t="n">
        <f aca="false">'Color classification'!F62</f>
        <v>160000</v>
      </c>
      <c r="K62" s="25" t="n">
        <f aca="false">'Color classification'!G62</f>
        <v>15930</v>
      </c>
      <c r="L62" s="12" t="n">
        <f aca="false">'Color classification'!H62</f>
        <v>144070</v>
      </c>
    </row>
    <row r="63" customFormat="false" ht="15" hidden="false" customHeight="false" outlineLevel="0" collapsed="false">
      <c r="A63" s="7"/>
      <c r="B63" s="2" t="n">
        <v>59</v>
      </c>
      <c r="C63" s="11" t="n">
        <v>15925</v>
      </c>
      <c r="D63" s="2" t="n">
        <v>144075</v>
      </c>
      <c r="E63" s="11" t="n">
        <f aca="false">'Color clustering'!E63</f>
        <v>5</v>
      </c>
      <c r="F63" s="13" t="n">
        <f aca="false">'Color clustering'!F63</f>
        <v>159995</v>
      </c>
      <c r="G63" s="25" t="n">
        <f aca="false">'Color clustering'!G63</f>
        <v>16096</v>
      </c>
      <c r="H63" s="12" t="n">
        <f aca="false">'Color clustering'!H63</f>
        <v>143904</v>
      </c>
      <c r="I63" s="25" t="n">
        <f aca="false">'Color classification'!E63</f>
        <v>21</v>
      </c>
      <c r="J63" s="13" t="n">
        <f aca="false">'Color classification'!F63</f>
        <v>159979</v>
      </c>
      <c r="K63" s="25" t="n">
        <f aca="false">'Color classification'!G63</f>
        <v>16097</v>
      </c>
      <c r="L63" s="12" t="n">
        <f aca="false">'Color classification'!H63</f>
        <v>143903</v>
      </c>
    </row>
    <row r="64" customFormat="false" ht="15" hidden="false" customHeight="false" outlineLevel="0" collapsed="false">
      <c r="A64" s="7"/>
      <c r="B64" s="2" t="n">
        <v>60</v>
      </c>
      <c r="C64" s="11" t="n">
        <v>15925</v>
      </c>
      <c r="D64" s="2" t="n">
        <v>144075</v>
      </c>
      <c r="E64" s="11" t="n">
        <f aca="false">'Color clustering'!E64</f>
        <v>42</v>
      </c>
      <c r="F64" s="13" t="n">
        <f aca="false">'Color clustering'!F64</f>
        <v>159958</v>
      </c>
      <c r="G64" s="25" t="n">
        <f aca="false">'Color clustering'!G64</f>
        <v>15929</v>
      </c>
      <c r="H64" s="12" t="n">
        <f aca="false">'Color clustering'!H64</f>
        <v>144071</v>
      </c>
      <c r="I64" s="25" t="n">
        <f aca="false">'Color classification'!E64</f>
        <v>94</v>
      </c>
      <c r="J64" s="13" t="n">
        <f aca="false">'Color classification'!F64</f>
        <v>159906</v>
      </c>
      <c r="K64" s="25" t="n">
        <f aca="false">'Color classification'!G64</f>
        <v>15929</v>
      </c>
      <c r="L64" s="12" t="n">
        <f aca="false">'Color classification'!H64</f>
        <v>144071</v>
      </c>
    </row>
    <row r="65" customFormat="false" ht="15" hidden="false" customHeight="false" outlineLevel="0" collapsed="false">
      <c r="A65" s="7"/>
      <c r="B65" s="2" t="n">
        <v>61</v>
      </c>
      <c r="C65" s="11" t="n">
        <v>15925</v>
      </c>
      <c r="D65" s="2" t="n">
        <v>144075</v>
      </c>
      <c r="E65" s="11" t="n">
        <f aca="false">'Color clustering'!E65</f>
        <v>3</v>
      </c>
      <c r="F65" s="13" t="n">
        <f aca="false">'Color clustering'!F65</f>
        <v>159997</v>
      </c>
      <c r="G65" s="25" t="n">
        <f aca="false">'Color clustering'!G65</f>
        <v>15932</v>
      </c>
      <c r="H65" s="12" t="n">
        <f aca="false">'Color clustering'!H65</f>
        <v>144068</v>
      </c>
      <c r="I65" s="25" t="n">
        <f aca="false">'Color classification'!E65</f>
        <v>10</v>
      </c>
      <c r="J65" s="13" t="n">
        <f aca="false">'Color classification'!F65</f>
        <v>159990</v>
      </c>
      <c r="K65" s="25" t="n">
        <f aca="false">'Color classification'!G65</f>
        <v>15924</v>
      </c>
      <c r="L65" s="12" t="n">
        <f aca="false">'Color classification'!H65</f>
        <v>144076</v>
      </c>
    </row>
    <row r="66" customFormat="false" ht="15" hidden="false" customHeight="false" outlineLevel="0" collapsed="false">
      <c r="A66" s="7"/>
      <c r="B66" s="2" t="n">
        <v>62</v>
      </c>
      <c r="C66" s="11" t="n">
        <v>15925</v>
      </c>
      <c r="D66" s="2" t="n">
        <v>144075</v>
      </c>
      <c r="E66" s="11" t="n">
        <f aca="false">'Color clustering'!E66</f>
        <v>12</v>
      </c>
      <c r="F66" s="13" t="n">
        <f aca="false">'Color clustering'!F66</f>
        <v>159988</v>
      </c>
      <c r="G66" s="25" t="n">
        <f aca="false">'Color clustering'!G66</f>
        <v>15928</v>
      </c>
      <c r="H66" s="12" t="n">
        <f aca="false">'Color clustering'!H66</f>
        <v>144072</v>
      </c>
      <c r="I66" s="25" t="n">
        <f aca="false">'Color classification'!E66</f>
        <v>4</v>
      </c>
      <c r="J66" s="13" t="n">
        <f aca="false">'Color classification'!F66</f>
        <v>159996</v>
      </c>
      <c r="K66" s="25" t="n">
        <f aca="false">'Color classification'!G66</f>
        <v>15928</v>
      </c>
      <c r="L66" s="12" t="n">
        <f aca="false">'Color classification'!H66</f>
        <v>144072</v>
      </c>
    </row>
    <row r="67" customFormat="false" ht="15" hidden="false" customHeight="false" outlineLevel="0" collapsed="false">
      <c r="A67" s="7"/>
      <c r="B67" s="2" t="n">
        <v>63</v>
      </c>
      <c r="C67" s="11" t="n">
        <v>15925</v>
      </c>
      <c r="D67" s="2" t="n">
        <v>144075</v>
      </c>
      <c r="E67" s="11" t="n">
        <f aca="false">'Color clustering'!E67</f>
        <v>4</v>
      </c>
      <c r="F67" s="13" t="n">
        <f aca="false">'Color clustering'!F67</f>
        <v>159996</v>
      </c>
      <c r="G67" s="25" t="n">
        <f aca="false">'Color clustering'!G67</f>
        <v>16012</v>
      </c>
      <c r="H67" s="12" t="n">
        <f aca="false">'Color clustering'!H67</f>
        <v>143988</v>
      </c>
      <c r="I67" s="25" t="n">
        <f aca="false">'Color classification'!E67</f>
        <v>18</v>
      </c>
      <c r="J67" s="13" t="n">
        <f aca="false">'Color classification'!F67</f>
        <v>159982</v>
      </c>
      <c r="K67" s="25" t="n">
        <f aca="false">'Color classification'!G67</f>
        <v>15928</v>
      </c>
      <c r="L67" s="12" t="n">
        <f aca="false">'Color classification'!H67</f>
        <v>144072</v>
      </c>
    </row>
    <row r="68" customFormat="false" ht="15" hidden="false" customHeight="false" outlineLevel="0" collapsed="false">
      <c r="A68" s="7"/>
      <c r="B68" s="2" t="n">
        <v>64</v>
      </c>
      <c r="C68" s="11" t="n">
        <v>15925</v>
      </c>
      <c r="D68" s="2" t="n">
        <v>144075</v>
      </c>
      <c r="E68" s="11" t="n">
        <f aca="false">'Color clustering'!E68</f>
        <v>7</v>
      </c>
      <c r="F68" s="13" t="n">
        <f aca="false">'Color clustering'!F68</f>
        <v>159993</v>
      </c>
      <c r="G68" s="25" t="n">
        <f aca="false">'Color clustering'!G68</f>
        <v>15929</v>
      </c>
      <c r="H68" s="12" t="n">
        <f aca="false">'Color clustering'!H68</f>
        <v>144071</v>
      </c>
      <c r="I68" s="25" t="n">
        <f aca="false">'Color classification'!E68</f>
        <v>36</v>
      </c>
      <c r="J68" s="13" t="n">
        <f aca="false">'Color classification'!F68</f>
        <v>159964</v>
      </c>
      <c r="K68" s="25" t="n">
        <f aca="false">'Color classification'!G68</f>
        <v>15929</v>
      </c>
      <c r="L68" s="12" t="n">
        <f aca="false">'Color classification'!H68</f>
        <v>144071</v>
      </c>
    </row>
    <row r="69" customFormat="false" ht="15" hidden="false" customHeight="false" outlineLevel="0" collapsed="false">
      <c r="A69" s="7"/>
      <c r="B69" s="2" t="n">
        <v>65</v>
      </c>
      <c r="C69" s="11" t="n">
        <v>15925</v>
      </c>
      <c r="D69" s="2" t="n">
        <v>144075</v>
      </c>
      <c r="E69" s="11" t="n">
        <f aca="false">'Color clustering'!E69</f>
        <v>929</v>
      </c>
      <c r="F69" s="13" t="n">
        <f aca="false">'Color clustering'!F69</f>
        <v>159071</v>
      </c>
      <c r="G69" s="25" t="n">
        <f aca="false">'Color clustering'!G69</f>
        <v>15929</v>
      </c>
      <c r="H69" s="12" t="n">
        <f aca="false">'Color clustering'!H69</f>
        <v>144071</v>
      </c>
      <c r="I69" s="25" t="n">
        <f aca="false">'Color classification'!E69</f>
        <v>38</v>
      </c>
      <c r="J69" s="13" t="n">
        <f aca="false">'Color classification'!F69</f>
        <v>159962</v>
      </c>
      <c r="K69" s="25" t="n">
        <f aca="false">'Color classification'!G69</f>
        <v>15929</v>
      </c>
      <c r="L69" s="12" t="n">
        <f aca="false">'Color classification'!H69</f>
        <v>144071</v>
      </c>
    </row>
    <row r="70" customFormat="false" ht="15" hidden="false" customHeight="false" outlineLevel="0" collapsed="false">
      <c r="A70" s="7"/>
      <c r="B70" s="2" t="n">
        <v>66</v>
      </c>
      <c r="C70" s="11" t="n">
        <v>15925</v>
      </c>
      <c r="D70" s="2" t="n">
        <v>144075</v>
      </c>
      <c r="E70" s="11" t="n">
        <f aca="false">'Color clustering'!E70</f>
        <v>4</v>
      </c>
      <c r="F70" s="13" t="n">
        <f aca="false">'Color clustering'!F70</f>
        <v>159996</v>
      </c>
      <c r="G70" s="25" t="n">
        <f aca="false">'Color clustering'!G70</f>
        <v>15938</v>
      </c>
      <c r="H70" s="12" t="n">
        <f aca="false">'Color clustering'!H70</f>
        <v>144062</v>
      </c>
      <c r="I70" s="25" t="n">
        <f aca="false">'Color classification'!E70</f>
        <v>2</v>
      </c>
      <c r="J70" s="13" t="n">
        <f aca="false">'Color classification'!F70</f>
        <v>159998</v>
      </c>
      <c r="K70" s="25" t="n">
        <f aca="false">'Color classification'!G70</f>
        <v>15930</v>
      </c>
      <c r="L70" s="12" t="n">
        <f aca="false">'Color classification'!H70</f>
        <v>144070</v>
      </c>
    </row>
    <row r="71" customFormat="false" ht="15" hidden="false" customHeight="false" outlineLevel="0" collapsed="false">
      <c r="A71" s="7"/>
      <c r="B71" s="2" t="n">
        <v>67</v>
      </c>
      <c r="C71" s="11" t="n">
        <v>15925</v>
      </c>
      <c r="D71" s="2" t="n">
        <v>144075</v>
      </c>
      <c r="E71" s="11" t="n">
        <f aca="false">'Color clustering'!E71</f>
        <v>7</v>
      </c>
      <c r="F71" s="13" t="n">
        <f aca="false">'Color clustering'!F71</f>
        <v>159993</v>
      </c>
      <c r="G71" s="25" t="n">
        <f aca="false">'Color clustering'!G71</f>
        <v>15929</v>
      </c>
      <c r="H71" s="12" t="n">
        <f aca="false">'Color clustering'!H71</f>
        <v>144071</v>
      </c>
      <c r="I71" s="25" t="n">
        <f aca="false">'Color classification'!E71</f>
        <v>69</v>
      </c>
      <c r="J71" s="13" t="n">
        <f aca="false">'Color classification'!F71</f>
        <v>159931</v>
      </c>
      <c r="K71" s="25" t="n">
        <f aca="false">'Color classification'!G71</f>
        <v>15929</v>
      </c>
      <c r="L71" s="12" t="n">
        <f aca="false">'Color classification'!H71</f>
        <v>144071</v>
      </c>
    </row>
    <row r="72" customFormat="false" ht="15" hidden="false" customHeight="false" outlineLevel="0" collapsed="false">
      <c r="A72" s="7"/>
      <c r="B72" s="2" t="n">
        <v>68</v>
      </c>
      <c r="C72" s="11" t="n">
        <v>15925</v>
      </c>
      <c r="D72" s="2" t="n">
        <v>144075</v>
      </c>
      <c r="E72" s="11" t="n">
        <f aca="false">'Color clustering'!E72</f>
        <v>1333</v>
      </c>
      <c r="F72" s="13" t="n">
        <f aca="false">'Color clustering'!F72</f>
        <v>158667</v>
      </c>
      <c r="G72" s="25" t="n">
        <f aca="false">'Color clustering'!G72</f>
        <v>15929</v>
      </c>
      <c r="H72" s="12" t="n">
        <f aca="false">'Color clustering'!H72</f>
        <v>144071</v>
      </c>
      <c r="I72" s="25" t="n">
        <f aca="false">'Color classification'!E72</f>
        <v>33</v>
      </c>
      <c r="J72" s="13" t="n">
        <f aca="false">'Color classification'!F72</f>
        <v>159967</v>
      </c>
      <c r="K72" s="25" t="n">
        <f aca="false">'Color classification'!G72</f>
        <v>15929</v>
      </c>
      <c r="L72" s="12" t="n">
        <f aca="false">'Color classification'!H72</f>
        <v>144071</v>
      </c>
    </row>
    <row r="73" customFormat="false" ht="15" hidden="false" customHeight="false" outlineLevel="0" collapsed="false">
      <c r="A73" s="7"/>
      <c r="B73" s="2" t="n">
        <v>69</v>
      </c>
      <c r="C73" s="11" t="n">
        <v>15925</v>
      </c>
      <c r="D73" s="2" t="n">
        <v>144075</v>
      </c>
      <c r="E73" s="11" t="n">
        <f aca="false">'Color clustering'!E73</f>
        <v>399</v>
      </c>
      <c r="F73" s="13" t="n">
        <f aca="false">'Color clustering'!F73</f>
        <v>159601</v>
      </c>
      <c r="G73" s="25" t="n">
        <f aca="false">'Color clustering'!G73</f>
        <v>15929</v>
      </c>
      <c r="H73" s="12" t="n">
        <f aca="false">'Color clustering'!H73</f>
        <v>144071</v>
      </c>
      <c r="I73" s="25" t="n">
        <f aca="false">'Color classification'!E73</f>
        <v>5</v>
      </c>
      <c r="J73" s="13" t="n">
        <f aca="false">'Color classification'!F73</f>
        <v>159995</v>
      </c>
      <c r="K73" s="25" t="n">
        <f aca="false">'Color classification'!G73</f>
        <v>15929</v>
      </c>
      <c r="L73" s="12" t="n">
        <f aca="false">'Color classification'!H73</f>
        <v>144071</v>
      </c>
    </row>
    <row r="74" customFormat="false" ht="15" hidden="false" customHeight="false" outlineLevel="0" collapsed="false">
      <c r="A74" s="7"/>
      <c r="B74" s="2" t="n">
        <v>70</v>
      </c>
      <c r="C74" s="11" t="n">
        <v>15925</v>
      </c>
      <c r="D74" s="2" t="n">
        <v>144075</v>
      </c>
      <c r="E74" s="11" t="n">
        <f aca="false">'Color clustering'!E74</f>
        <v>317</v>
      </c>
      <c r="F74" s="13" t="n">
        <f aca="false">'Color clustering'!F74</f>
        <v>159683</v>
      </c>
      <c r="G74" s="25" t="n">
        <f aca="false">'Color clustering'!G74</f>
        <v>15929</v>
      </c>
      <c r="H74" s="12" t="n">
        <f aca="false">'Color clustering'!H74</f>
        <v>144071</v>
      </c>
      <c r="I74" s="25" t="n">
        <f aca="false">'Color classification'!E74</f>
        <v>22</v>
      </c>
      <c r="J74" s="13" t="n">
        <f aca="false">'Color classification'!F74</f>
        <v>159978</v>
      </c>
      <c r="K74" s="25" t="n">
        <f aca="false">'Color classification'!G74</f>
        <v>15929</v>
      </c>
      <c r="L74" s="12" t="n">
        <f aca="false">'Color classification'!H74</f>
        <v>144071</v>
      </c>
    </row>
    <row r="75" customFormat="false" ht="15" hidden="false" customHeight="false" outlineLevel="0" collapsed="false">
      <c r="A75" s="7"/>
      <c r="B75" s="2" t="n">
        <v>71</v>
      </c>
      <c r="C75" s="11" t="n">
        <v>15925</v>
      </c>
      <c r="D75" s="2" t="n">
        <v>144075</v>
      </c>
      <c r="E75" s="11" t="n">
        <f aca="false">'Color clustering'!E75</f>
        <v>132</v>
      </c>
      <c r="F75" s="13" t="n">
        <f aca="false">'Color clustering'!F75</f>
        <v>159868</v>
      </c>
      <c r="G75" s="25" t="n">
        <f aca="false">'Color clustering'!G75</f>
        <v>15929</v>
      </c>
      <c r="H75" s="12" t="n">
        <f aca="false">'Color clustering'!H75</f>
        <v>144071</v>
      </c>
      <c r="I75" s="25" t="n">
        <f aca="false">'Color classification'!E75</f>
        <v>2</v>
      </c>
      <c r="J75" s="13" t="n">
        <f aca="false">'Color classification'!F75</f>
        <v>159998</v>
      </c>
      <c r="K75" s="25" t="n">
        <f aca="false">'Color classification'!G75</f>
        <v>15929</v>
      </c>
      <c r="L75" s="12" t="n">
        <f aca="false">'Color classification'!H75</f>
        <v>144071</v>
      </c>
    </row>
    <row r="76" customFormat="false" ht="15" hidden="false" customHeight="false" outlineLevel="0" collapsed="false">
      <c r="A76" s="7"/>
      <c r="B76" s="2" t="n">
        <v>72</v>
      </c>
      <c r="C76" s="11" t="n">
        <v>15925</v>
      </c>
      <c r="D76" s="2" t="n">
        <v>144075</v>
      </c>
      <c r="E76" s="11" t="n">
        <f aca="false">'Color clustering'!E76</f>
        <v>6</v>
      </c>
      <c r="F76" s="13" t="n">
        <f aca="false">'Color clustering'!F76</f>
        <v>159994</v>
      </c>
      <c r="G76" s="25" t="n">
        <f aca="false">'Color clustering'!G76</f>
        <v>15929</v>
      </c>
      <c r="H76" s="12" t="n">
        <f aca="false">'Color clustering'!H76</f>
        <v>144071</v>
      </c>
      <c r="I76" s="25" t="n">
        <f aca="false">'Color classification'!E76</f>
        <v>2</v>
      </c>
      <c r="J76" s="13" t="n">
        <f aca="false">'Color classification'!F76</f>
        <v>159998</v>
      </c>
      <c r="K76" s="25" t="n">
        <f aca="false">'Color classification'!G76</f>
        <v>15929</v>
      </c>
      <c r="L76" s="12" t="n">
        <f aca="false">'Color classification'!H76</f>
        <v>144071</v>
      </c>
    </row>
    <row r="77" customFormat="false" ht="15" hidden="false" customHeight="false" outlineLevel="0" collapsed="false">
      <c r="A77" s="7"/>
      <c r="B77" s="2" t="n">
        <v>73</v>
      </c>
      <c r="C77" s="11" t="n">
        <v>15925</v>
      </c>
      <c r="D77" s="2" t="n">
        <v>144075</v>
      </c>
      <c r="E77" s="11" t="n">
        <f aca="false">'Color clustering'!E77</f>
        <v>25</v>
      </c>
      <c r="F77" s="13" t="n">
        <f aca="false">'Color clustering'!F77</f>
        <v>159975</v>
      </c>
      <c r="G77" s="25" t="n">
        <f aca="false">'Color clustering'!G77</f>
        <v>15929</v>
      </c>
      <c r="H77" s="12" t="n">
        <f aca="false">'Color clustering'!H77</f>
        <v>144071</v>
      </c>
      <c r="I77" s="25" t="n">
        <f aca="false">'Color classification'!E77</f>
        <v>2</v>
      </c>
      <c r="J77" s="13" t="n">
        <f aca="false">'Color classification'!F77</f>
        <v>159998</v>
      </c>
      <c r="K77" s="25" t="n">
        <f aca="false">'Color classification'!G77</f>
        <v>15930</v>
      </c>
      <c r="L77" s="12" t="n">
        <f aca="false">'Color classification'!H77</f>
        <v>144070</v>
      </c>
    </row>
    <row r="78" customFormat="false" ht="15" hidden="false" customHeight="false" outlineLevel="0" collapsed="false">
      <c r="A78" s="7"/>
      <c r="B78" s="2" t="n">
        <v>74</v>
      </c>
      <c r="C78" s="11" t="n">
        <v>15925</v>
      </c>
      <c r="D78" s="2" t="n">
        <v>144075</v>
      </c>
      <c r="E78" s="11" t="n">
        <f aca="false">'Color clustering'!E78</f>
        <v>64</v>
      </c>
      <c r="F78" s="13" t="n">
        <f aca="false">'Color clustering'!F78</f>
        <v>159936</v>
      </c>
      <c r="G78" s="25" t="n">
        <f aca="false">'Color clustering'!G78</f>
        <v>15929</v>
      </c>
      <c r="H78" s="12" t="n">
        <f aca="false">'Color clustering'!H78</f>
        <v>144071</v>
      </c>
      <c r="I78" s="25" t="n">
        <f aca="false">'Color classification'!E78</f>
        <v>2</v>
      </c>
      <c r="J78" s="13" t="n">
        <f aca="false">'Color classification'!F78</f>
        <v>159998</v>
      </c>
      <c r="K78" s="25" t="n">
        <f aca="false">'Color classification'!G78</f>
        <v>15930</v>
      </c>
      <c r="L78" s="12" t="n">
        <f aca="false">'Color classification'!H78</f>
        <v>144070</v>
      </c>
    </row>
    <row r="79" customFormat="false" ht="15" hidden="false" customHeight="false" outlineLevel="0" collapsed="false">
      <c r="A79" s="7"/>
      <c r="B79" s="2" t="n">
        <v>75</v>
      </c>
      <c r="C79" s="11" t="n">
        <v>15925</v>
      </c>
      <c r="D79" s="2" t="n">
        <v>144075</v>
      </c>
      <c r="E79" s="11" t="n">
        <f aca="false">'Color clustering'!E79</f>
        <v>16</v>
      </c>
      <c r="F79" s="13" t="n">
        <f aca="false">'Color clustering'!F79</f>
        <v>159984</v>
      </c>
      <c r="G79" s="25" t="n">
        <f aca="false">'Color clustering'!G79</f>
        <v>15929</v>
      </c>
      <c r="H79" s="12" t="n">
        <f aca="false">'Color clustering'!H79</f>
        <v>144071</v>
      </c>
      <c r="I79" s="25" t="n">
        <f aca="false">'Color classification'!E79</f>
        <v>2</v>
      </c>
      <c r="J79" s="13" t="n">
        <f aca="false">'Color classification'!F79</f>
        <v>159998</v>
      </c>
      <c r="K79" s="25" t="n">
        <f aca="false">'Color classification'!G79</f>
        <v>15930</v>
      </c>
      <c r="L79" s="12" t="n">
        <f aca="false">'Color classification'!H79</f>
        <v>144070</v>
      </c>
    </row>
    <row r="80" customFormat="false" ht="15" hidden="false" customHeight="false" outlineLevel="0" collapsed="false">
      <c r="A80" s="7"/>
      <c r="B80" s="2" t="n">
        <v>76</v>
      </c>
      <c r="C80" s="11" t="n">
        <v>15925</v>
      </c>
      <c r="D80" s="2" t="n">
        <v>144075</v>
      </c>
      <c r="E80" s="11" t="n">
        <f aca="false">'Color clustering'!E80</f>
        <v>7</v>
      </c>
      <c r="F80" s="13" t="n">
        <f aca="false">'Color clustering'!F80</f>
        <v>159993</v>
      </c>
      <c r="G80" s="25" t="n">
        <f aca="false">'Color clustering'!G80</f>
        <v>15929</v>
      </c>
      <c r="H80" s="12" t="n">
        <f aca="false">'Color clustering'!H80</f>
        <v>144071</v>
      </c>
      <c r="I80" s="25" t="n">
        <f aca="false">'Color classification'!E80</f>
        <v>10</v>
      </c>
      <c r="J80" s="13" t="n">
        <f aca="false">'Color classification'!F80</f>
        <v>159990</v>
      </c>
      <c r="K80" s="25" t="n">
        <f aca="false">'Color classification'!G80</f>
        <v>15929</v>
      </c>
      <c r="L80" s="12" t="n">
        <f aca="false">'Color classification'!H80</f>
        <v>144071</v>
      </c>
    </row>
    <row r="81" customFormat="false" ht="15" hidden="false" customHeight="false" outlineLevel="0" collapsed="false">
      <c r="A81" s="7"/>
      <c r="B81" s="2" t="n">
        <v>77</v>
      </c>
      <c r="C81" s="11" t="n">
        <v>15925</v>
      </c>
      <c r="D81" s="2" t="n">
        <v>144075</v>
      </c>
      <c r="E81" s="11" t="n">
        <f aca="false">'Color clustering'!E81</f>
        <v>25</v>
      </c>
      <c r="F81" s="13" t="n">
        <f aca="false">'Color clustering'!F81</f>
        <v>159975</v>
      </c>
      <c r="G81" s="25" t="n">
        <f aca="false">'Color clustering'!G81</f>
        <v>15929</v>
      </c>
      <c r="H81" s="12" t="n">
        <f aca="false">'Color clustering'!H81</f>
        <v>144071</v>
      </c>
      <c r="I81" s="25" t="n">
        <f aca="false">'Color classification'!E81</f>
        <v>9</v>
      </c>
      <c r="J81" s="13" t="n">
        <f aca="false">'Color classification'!F81</f>
        <v>159991</v>
      </c>
      <c r="K81" s="25" t="n">
        <f aca="false">'Color classification'!G81</f>
        <v>15928</v>
      </c>
      <c r="L81" s="12" t="n">
        <f aca="false">'Color classification'!H81</f>
        <v>144072</v>
      </c>
    </row>
    <row r="82" customFormat="false" ht="15" hidden="false" customHeight="false" outlineLevel="0" collapsed="false">
      <c r="A82" s="7"/>
      <c r="B82" s="2" t="n">
        <v>78</v>
      </c>
      <c r="C82" s="11" t="n">
        <v>15925</v>
      </c>
      <c r="D82" s="2" t="n">
        <v>144075</v>
      </c>
      <c r="E82" s="11" t="n">
        <f aca="false">'Color clustering'!E82</f>
        <v>11</v>
      </c>
      <c r="F82" s="13" t="n">
        <f aca="false">'Color clustering'!F82</f>
        <v>159989</v>
      </c>
      <c r="G82" s="25" t="n">
        <f aca="false">'Color clustering'!G82</f>
        <v>15929</v>
      </c>
      <c r="H82" s="12" t="n">
        <f aca="false">'Color clustering'!H82</f>
        <v>144071</v>
      </c>
      <c r="I82" s="25" t="n">
        <f aca="false">'Color classification'!E82</f>
        <v>1</v>
      </c>
      <c r="J82" s="13" t="n">
        <f aca="false">'Color classification'!F82</f>
        <v>159999</v>
      </c>
      <c r="K82" s="25" t="n">
        <f aca="false">'Color classification'!G82</f>
        <v>15930</v>
      </c>
      <c r="L82" s="12" t="n">
        <f aca="false">'Color classification'!H82</f>
        <v>144070</v>
      </c>
    </row>
    <row r="83" customFormat="false" ht="15" hidden="false" customHeight="false" outlineLevel="0" collapsed="false">
      <c r="A83" s="7"/>
      <c r="B83" s="2" t="n">
        <v>79</v>
      </c>
      <c r="C83" s="11" t="n">
        <v>15925</v>
      </c>
      <c r="D83" s="2" t="n">
        <v>144075</v>
      </c>
      <c r="E83" s="11" t="n">
        <f aca="false">'Color clustering'!E83</f>
        <v>18</v>
      </c>
      <c r="F83" s="13" t="n">
        <f aca="false">'Color clustering'!F83</f>
        <v>159982</v>
      </c>
      <c r="G83" s="25" t="n">
        <f aca="false">'Color clustering'!G83</f>
        <v>15929</v>
      </c>
      <c r="H83" s="12" t="n">
        <f aca="false">'Color clustering'!H83</f>
        <v>144071</v>
      </c>
      <c r="I83" s="25" t="n">
        <f aca="false">'Color classification'!E83</f>
        <v>1</v>
      </c>
      <c r="J83" s="13" t="n">
        <f aca="false">'Color classification'!F83</f>
        <v>159999</v>
      </c>
      <c r="K83" s="25" t="n">
        <f aca="false">'Color classification'!G83</f>
        <v>15930</v>
      </c>
      <c r="L83" s="12" t="n">
        <f aca="false">'Color classification'!H83</f>
        <v>144070</v>
      </c>
    </row>
    <row r="84" customFormat="false" ht="15" hidden="false" customHeight="false" outlineLevel="0" collapsed="false">
      <c r="A84" s="7"/>
      <c r="B84" s="2" t="n">
        <v>80</v>
      </c>
      <c r="C84" s="11" t="n">
        <v>15925</v>
      </c>
      <c r="D84" s="2" t="n">
        <v>144075</v>
      </c>
      <c r="E84" s="11" t="n">
        <f aca="false">'Color clustering'!E84</f>
        <v>218</v>
      </c>
      <c r="F84" s="13" t="n">
        <f aca="false">'Color clustering'!F84</f>
        <v>159782</v>
      </c>
      <c r="G84" s="25" t="n">
        <f aca="false">'Color clustering'!G84</f>
        <v>15928</v>
      </c>
      <c r="H84" s="12" t="n">
        <f aca="false">'Color clustering'!H84</f>
        <v>144072</v>
      </c>
      <c r="I84" s="25" t="n">
        <f aca="false">'Color classification'!E84</f>
        <v>22</v>
      </c>
      <c r="J84" s="13" t="n">
        <f aca="false">'Color classification'!F84</f>
        <v>159978</v>
      </c>
      <c r="K84" s="25" t="n">
        <f aca="false">'Color classification'!G84</f>
        <v>15928</v>
      </c>
      <c r="L84" s="12" t="n">
        <f aca="false">'Color classification'!H84</f>
        <v>144072</v>
      </c>
    </row>
    <row r="85" customFormat="false" ht="15" hidden="false" customHeight="false" outlineLevel="0" collapsed="false">
      <c r="A85" s="7"/>
      <c r="B85" s="2" t="n">
        <v>81</v>
      </c>
      <c r="C85" s="11" t="n">
        <v>15925</v>
      </c>
      <c r="D85" s="2" t="n">
        <v>144075</v>
      </c>
      <c r="E85" s="11" t="n">
        <f aca="false">'Color clustering'!E85</f>
        <v>22</v>
      </c>
      <c r="F85" s="13" t="n">
        <f aca="false">'Color clustering'!F85</f>
        <v>159978</v>
      </c>
      <c r="G85" s="25" t="n">
        <f aca="false">'Color clustering'!G85</f>
        <v>15929</v>
      </c>
      <c r="H85" s="12" t="n">
        <f aca="false">'Color clustering'!H85</f>
        <v>144071</v>
      </c>
      <c r="I85" s="25" t="n">
        <f aca="false">'Color classification'!E85</f>
        <v>2</v>
      </c>
      <c r="J85" s="13" t="n">
        <f aca="false">'Color classification'!F85</f>
        <v>159998</v>
      </c>
      <c r="K85" s="25" t="n">
        <f aca="false">'Color classification'!G85</f>
        <v>15929</v>
      </c>
      <c r="L85" s="12" t="n">
        <f aca="false">'Color classification'!H85</f>
        <v>144071</v>
      </c>
    </row>
    <row r="86" customFormat="false" ht="15" hidden="false" customHeight="false" outlineLevel="0" collapsed="false">
      <c r="A86" s="7"/>
      <c r="B86" s="2" t="n">
        <v>82</v>
      </c>
      <c r="C86" s="11" t="n">
        <v>15925</v>
      </c>
      <c r="D86" s="2" t="n">
        <v>144075</v>
      </c>
      <c r="E86" s="11" t="n">
        <f aca="false">'Color clustering'!E86</f>
        <v>15</v>
      </c>
      <c r="F86" s="13" t="n">
        <f aca="false">'Color clustering'!F86</f>
        <v>159985</v>
      </c>
      <c r="G86" s="25" t="n">
        <f aca="false">'Color clustering'!G86</f>
        <v>15929</v>
      </c>
      <c r="H86" s="12" t="n">
        <f aca="false">'Color clustering'!H86</f>
        <v>144071</v>
      </c>
      <c r="I86" s="25" t="n">
        <f aca="false">'Color classification'!E86</f>
        <v>6</v>
      </c>
      <c r="J86" s="13" t="n">
        <f aca="false">'Color classification'!F86</f>
        <v>159994</v>
      </c>
      <c r="K86" s="25" t="n">
        <f aca="false">'Color classification'!G86</f>
        <v>15929</v>
      </c>
      <c r="L86" s="12" t="n">
        <f aca="false">'Color classification'!H86</f>
        <v>144071</v>
      </c>
    </row>
    <row r="87" customFormat="false" ht="15" hidden="false" customHeight="false" outlineLevel="0" collapsed="false">
      <c r="A87" s="7"/>
      <c r="B87" s="2" t="n">
        <v>83</v>
      </c>
      <c r="C87" s="11" t="n">
        <v>15925</v>
      </c>
      <c r="D87" s="2" t="n">
        <v>144075</v>
      </c>
      <c r="E87" s="11" t="n">
        <f aca="false">'Color clustering'!E87</f>
        <v>4</v>
      </c>
      <c r="F87" s="13" t="n">
        <f aca="false">'Color clustering'!F87</f>
        <v>159996</v>
      </c>
      <c r="G87" s="25" t="n">
        <f aca="false">'Color clustering'!G87</f>
        <v>15928</v>
      </c>
      <c r="H87" s="12" t="n">
        <f aca="false">'Color clustering'!H87</f>
        <v>144072</v>
      </c>
      <c r="I87" s="25" t="n">
        <f aca="false">'Color classification'!E87</f>
        <v>28</v>
      </c>
      <c r="J87" s="13" t="n">
        <f aca="false">'Color classification'!F87</f>
        <v>159972</v>
      </c>
      <c r="K87" s="25" t="n">
        <f aca="false">'Color classification'!G87</f>
        <v>15929</v>
      </c>
      <c r="L87" s="12" t="n">
        <f aca="false">'Color classification'!H87</f>
        <v>144071</v>
      </c>
    </row>
    <row r="88" customFormat="false" ht="15" hidden="false" customHeight="false" outlineLevel="0" collapsed="false">
      <c r="A88" s="7"/>
      <c r="B88" s="2" t="n">
        <v>84</v>
      </c>
      <c r="C88" s="11" t="n">
        <v>15925</v>
      </c>
      <c r="D88" s="2" t="n">
        <v>144075</v>
      </c>
      <c r="E88" s="11" t="n">
        <f aca="false">'Color clustering'!E88</f>
        <v>13</v>
      </c>
      <c r="F88" s="13" t="n">
        <f aca="false">'Color clustering'!F88</f>
        <v>159987</v>
      </c>
      <c r="G88" s="25" t="n">
        <f aca="false">'Color clustering'!G88</f>
        <v>15928</v>
      </c>
      <c r="H88" s="12" t="n">
        <f aca="false">'Color clustering'!H88</f>
        <v>144072</v>
      </c>
      <c r="I88" s="25" t="n">
        <f aca="false">'Color classification'!E88</f>
        <v>2</v>
      </c>
      <c r="J88" s="13" t="n">
        <f aca="false">'Color classification'!F88</f>
        <v>159998</v>
      </c>
      <c r="K88" s="25" t="n">
        <f aca="false">'Color classification'!G88</f>
        <v>15928</v>
      </c>
      <c r="L88" s="12" t="n">
        <f aca="false">'Color classification'!H88</f>
        <v>144072</v>
      </c>
    </row>
    <row r="89" customFormat="false" ht="15" hidden="false" customHeight="false" outlineLevel="0" collapsed="false">
      <c r="A89" s="7"/>
      <c r="B89" s="2" t="n">
        <v>85</v>
      </c>
      <c r="C89" s="11" t="n">
        <v>15925</v>
      </c>
      <c r="D89" s="2" t="n">
        <v>144075</v>
      </c>
      <c r="E89" s="11" t="n">
        <f aca="false">'Color clustering'!E89</f>
        <v>356</v>
      </c>
      <c r="F89" s="13" t="n">
        <f aca="false">'Color clustering'!F89</f>
        <v>159644</v>
      </c>
      <c r="G89" s="25" t="n">
        <f aca="false">'Color clustering'!G89</f>
        <v>15928</v>
      </c>
      <c r="H89" s="12" t="n">
        <f aca="false">'Color clustering'!H89</f>
        <v>144072</v>
      </c>
      <c r="I89" s="25" t="n">
        <f aca="false">'Color classification'!E89</f>
        <v>37</v>
      </c>
      <c r="J89" s="13" t="n">
        <f aca="false">'Color classification'!F89</f>
        <v>159963</v>
      </c>
      <c r="K89" s="25" t="n">
        <f aca="false">'Color classification'!G89</f>
        <v>15928</v>
      </c>
      <c r="L89" s="12" t="n">
        <f aca="false">'Color classification'!H89</f>
        <v>144072</v>
      </c>
    </row>
    <row r="90" customFormat="false" ht="15" hidden="false" customHeight="false" outlineLevel="0" collapsed="false">
      <c r="A90" s="7"/>
      <c r="B90" s="2" t="n">
        <v>86</v>
      </c>
      <c r="C90" s="11" t="n">
        <v>15925</v>
      </c>
      <c r="D90" s="2" t="n">
        <v>144075</v>
      </c>
      <c r="E90" s="11" t="n">
        <f aca="false">'Color clustering'!E90</f>
        <v>8</v>
      </c>
      <c r="F90" s="13" t="n">
        <f aca="false">'Color clustering'!F90</f>
        <v>159992</v>
      </c>
      <c r="G90" s="25" t="n">
        <f aca="false">'Color clustering'!G90</f>
        <v>15930</v>
      </c>
      <c r="H90" s="12" t="n">
        <f aca="false">'Color clustering'!H90</f>
        <v>144070</v>
      </c>
      <c r="I90" s="25" t="n">
        <f aca="false">'Color classification'!E90</f>
        <v>3</v>
      </c>
      <c r="J90" s="13" t="n">
        <f aca="false">'Color classification'!F90</f>
        <v>159997</v>
      </c>
      <c r="K90" s="25" t="n">
        <f aca="false">'Color classification'!G90</f>
        <v>15917</v>
      </c>
      <c r="L90" s="12" t="n">
        <f aca="false">'Color classification'!H90</f>
        <v>144083</v>
      </c>
    </row>
    <row r="91" customFormat="false" ht="15" hidden="false" customHeight="false" outlineLevel="0" collapsed="false">
      <c r="A91" s="7"/>
      <c r="B91" s="2" t="n">
        <v>87</v>
      </c>
      <c r="C91" s="11" t="n">
        <v>15925</v>
      </c>
      <c r="D91" s="2" t="n">
        <v>144075</v>
      </c>
      <c r="E91" s="11" t="n">
        <f aca="false">'Color clustering'!E91</f>
        <v>6</v>
      </c>
      <c r="F91" s="13" t="n">
        <f aca="false">'Color clustering'!F91</f>
        <v>159994</v>
      </c>
      <c r="G91" s="25" t="n">
        <f aca="false">'Color clustering'!G91</f>
        <v>15938</v>
      </c>
      <c r="H91" s="12" t="n">
        <f aca="false">'Color clustering'!H91</f>
        <v>144062</v>
      </c>
      <c r="I91" s="25" t="n">
        <f aca="false">'Color classification'!E91</f>
        <v>9</v>
      </c>
      <c r="J91" s="13" t="n">
        <f aca="false">'Color classification'!F91</f>
        <v>159991</v>
      </c>
      <c r="K91" s="25" t="n">
        <f aca="false">'Color classification'!G91</f>
        <v>15927</v>
      </c>
      <c r="L91" s="12" t="n">
        <f aca="false">'Color classification'!H91</f>
        <v>144073</v>
      </c>
    </row>
    <row r="92" customFormat="false" ht="15" hidden="false" customHeight="false" outlineLevel="0" collapsed="false">
      <c r="A92" s="7"/>
      <c r="B92" s="2" t="n">
        <v>88</v>
      </c>
      <c r="C92" s="11" t="n">
        <v>15925</v>
      </c>
      <c r="D92" s="2" t="n">
        <v>144075</v>
      </c>
      <c r="E92" s="11" t="n">
        <f aca="false">'Color clustering'!E92</f>
        <v>9</v>
      </c>
      <c r="F92" s="13" t="n">
        <f aca="false">'Color clustering'!F92</f>
        <v>159991</v>
      </c>
      <c r="G92" s="25" t="n">
        <f aca="false">'Color clustering'!G92</f>
        <v>15930</v>
      </c>
      <c r="H92" s="12" t="n">
        <f aca="false">'Color clustering'!H92</f>
        <v>144070</v>
      </c>
      <c r="I92" s="25" t="n">
        <f aca="false">'Color classification'!E92</f>
        <v>6</v>
      </c>
      <c r="J92" s="13" t="n">
        <f aca="false">'Color classification'!F92</f>
        <v>159994</v>
      </c>
      <c r="K92" s="25" t="n">
        <f aca="false">'Color classification'!G92</f>
        <v>15929</v>
      </c>
      <c r="L92" s="12" t="n">
        <f aca="false">'Color classification'!H92</f>
        <v>144071</v>
      </c>
    </row>
    <row r="93" customFormat="false" ht="15" hidden="false" customHeight="false" outlineLevel="0" collapsed="false">
      <c r="A93" s="7"/>
      <c r="B93" s="2" t="n">
        <v>89</v>
      </c>
      <c r="C93" s="11" t="n">
        <v>15925</v>
      </c>
      <c r="D93" s="2" t="n">
        <v>144075</v>
      </c>
      <c r="E93" s="11" t="n">
        <f aca="false">'Color clustering'!E93</f>
        <v>5</v>
      </c>
      <c r="F93" s="13" t="n">
        <f aca="false">'Color clustering'!F93</f>
        <v>159995</v>
      </c>
      <c r="G93" s="25" t="n">
        <f aca="false">'Color clustering'!G93</f>
        <v>15929</v>
      </c>
      <c r="H93" s="12" t="n">
        <f aca="false">'Color clustering'!H93</f>
        <v>144071</v>
      </c>
      <c r="I93" s="25" t="n">
        <f aca="false">'Color classification'!E93</f>
        <v>48</v>
      </c>
      <c r="J93" s="13" t="n">
        <f aca="false">'Color classification'!F93</f>
        <v>159952</v>
      </c>
      <c r="K93" s="25" t="n">
        <f aca="false">'Color classification'!G93</f>
        <v>15929</v>
      </c>
      <c r="L93" s="12" t="n">
        <f aca="false">'Color classification'!H93</f>
        <v>144071</v>
      </c>
    </row>
    <row r="94" customFormat="false" ht="15" hidden="false" customHeight="false" outlineLevel="0" collapsed="false">
      <c r="A94" s="7"/>
      <c r="B94" s="2" t="n">
        <v>90</v>
      </c>
      <c r="C94" s="11" t="n">
        <v>15925</v>
      </c>
      <c r="D94" s="2" t="n">
        <v>144075</v>
      </c>
      <c r="E94" s="11" t="n">
        <f aca="false">'Color clustering'!E94</f>
        <v>124</v>
      </c>
      <c r="F94" s="13" t="n">
        <f aca="false">'Color clustering'!F94</f>
        <v>159876</v>
      </c>
      <c r="G94" s="25" t="n">
        <f aca="false">'Color clustering'!G94</f>
        <v>15929</v>
      </c>
      <c r="H94" s="12" t="n">
        <f aca="false">'Color clustering'!H94</f>
        <v>144071</v>
      </c>
      <c r="I94" s="25" t="n">
        <f aca="false">'Color classification'!E94</f>
        <v>9</v>
      </c>
      <c r="J94" s="13" t="n">
        <f aca="false">'Color classification'!F94</f>
        <v>159991</v>
      </c>
      <c r="K94" s="25" t="n">
        <f aca="false">'Color classification'!G94</f>
        <v>15929</v>
      </c>
      <c r="L94" s="12" t="n">
        <f aca="false">'Color classification'!H94</f>
        <v>144071</v>
      </c>
    </row>
    <row r="95" customFormat="false" ht="15" hidden="false" customHeight="false" outlineLevel="0" collapsed="false">
      <c r="A95" s="7"/>
      <c r="B95" s="2" t="n">
        <v>91</v>
      </c>
      <c r="C95" s="11" t="n">
        <v>15925</v>
      </c>
      <c r="D95" s="2" t="n">
        <v>144075</v>
      </c>
      <c r="E95" s="11" t="n">
        <f aca="false">'Color clustering'!E95</f>
        <v>5</v>
      </c>
      <c r="F95" s="13" t="n">
        <f aca="false">'Color clustering'!F95</f>
        <v>159995</v>
      </c>
      <c r="G95" s="25" t="n">
        <f aca="false">'Color clustering'!G95</f>
        <v>15929</v>
      </c>
      <c r="H95" s="12" t="n">
        <f aca="false">'Color clustering'!H95</f>
        <v>144071</v>
      </c>
      <c r="I95" s="25" t="n">
        <f aca="false">'Color classification'!E95</f>
        <v>24</v>
      </c>
      <c r="J95" s="13" t="n">
        <f aca="false">'Color classification'!F95</f>
        <v>159976</v>
      </c>
      <c r="K95" s="25" t="n">
        <f aca="false">'Color classification'!G95</f>
        <v>15929</v>
      </c>
      <c r="L95" s="12" t="n">
        <f aca="false">'Color classification'!H95</f>
        <v>144071</v>
      </c>
    </row>
    <row r="96" customFormat="false" ht="15" hidden="false" customHeight="false" outlineLevel="0" collapsed="false">
      <c r="A96" s="7"/>
      <c r="B96" s="2" t="n">
        <v>92</v>
      </c>
      <c r="C96" s="11" t="n">
        <v>15925</v>
      </c>
      <c r="D96" s="2" t="n">
        <v>144075</v>
      </c>
      <c r="E96" s="11" t="n">
        <f aca="false">'Color clustering'!E96</f>
        <v>33</v>
      </c>
      <c r="F96" s="13" t="n">
        <f aca="false">'Color clustering'!F96</f>
        <v>159967</v>
      </c>
      <c r="G96" s="25" t="n">
        <f aca="false">'Color clustering'!G96</f>
        <v>15929</v>
      </c>
      <c r="H96" s="12" t="n">
        <f aca="false">'Color clustering'!H96</f>
        <v>144071</v>
      </c>
      <c r="I96" s="25" t="n">
        <f aca="false">'Color classification'!E96</f>
        <v>1954</v>
      </c>
      <c r="J96" s="13" t="n">
        <f aca="false">'Color classification'!F96</f>
        <v>158046</v>
      </c>
      <c r="K96" s="25" t="n">
        <f aca="false">'Color classification'!G96</f>
        <v>15929</v>
      </c>
      <c r="L96" s="12" t="n">
        <f aca="false">'Color classification'!H96</f>
        <v>144071</v>
      </c>
    </row>
    <row r="97" customFormat="false" ht="15" hidden="false" customHeight="false" outlineLevel="0" collapsed="false">
      <c r="A97" s="7"/>
      <c r="B97" s="2" t="n">
        <v>93</v>
      </c>
      <c r="C97" s="11" t="n">
        <v>15925</v>
      </c>
      <c r="D97" s="2" t="n">
        <v>144075</v>
      </c>
      <c r="E97" s="11" t="n">
        <f aca="false">'Color clustering'!E97</f>
        <v>11</v>
      </c>
      <c r="F97" s="13" t="n">
        <f aca="false">'Color clustering'!F97</f>
        <v>159989</v>
      </c>
      <c r="G97" s="25" t="n">
        <f aca="false">'Color clustering'!G97</f>
        <v>15929</v>
      </c>
      <c r="H97" s="12" t="n">
        <f aca="false">'Color clustering'!H97</f>
        <v>144071</v>
      </c>
      <c r="I97" s="25" t="n">
        <f aca="false">'Color classification'!E97</f>
        <v>18</v>
      </c>
      <c r="J97" s="13" t="n">
        <f aca="false">'Color classification'!F97</f>
        <v>159982</v>
      </c>
      <c r="K97" s="25" t="n">
        <f aca="false">'Color classification'!G97</f>
        <v>15929</v>
      </c>
      <c r="L97" s="12" t="n">
        <f aca="false">'Color classification'!H97</f>
        <v>144071</v>
      </c>
    </row>
    <row r="98" customFormat="false" ht="15" hidden="false" customHeight="false" outlineLevel="0" collapsed="false">
      <c r="A98" s="7"/>
      <c r="B98" s="2" t="n">
        <v>94</v>
      </c>
      <c r="C98" s="11" t="n">
        <v>15925</v>
      </c>
      <c r="D98" s="2" t="n">
        <v>144075</v>
      </c>
      <c r="E98" s="11" t="n">
        <f aca="false">'Color clustering'!E98</f>
        <v>7</v>
      </c>
      <c r="F98" s="13" t="n">
        <f aca="false">'Color clustering'!F98</f>
        <v>159993</v>
      </c>
      <c r="G98" s="25" t="n">
        <f aca="false">'Color clustering'!G98</f>
        <v>15929</v>
      </c>
      <c r="H98" s="12" t="n">
        <f aca="false">'Color clustering'!H98</f>
        <v>144071</v>
      </c>
      <c r="I98" s="25" t="n">
        <f aca="false">'Color classification'!E98</f>
        <v>9</v>
      </c>
      <c r="J98" s="13" t="n">
        <f aca="false">'Color classification'!F98</f>
        <v>159991</v>
      </c>
      <c r="K98" s="25" t="n">
        <f aca="false">'Color classification'!G98</f>
        <v>15929</v>
      </c>
      <c r="L98" s="12" t="n">
        <f aca="false">'Color classification'!H98</f>
        <v>144071</v>
      </c>
    </row>
    <row r="99" customFormat="false" ht="15" hidden="false" customHeight="false" outlineLevel="0" collapsed="false">
      <c r="A99" s="7"/>
      <c r="B99" s="2" t="n">
        <v>95</v>
      </c>
      <c r="C99" s="11" t="n">
        <v>15925</v>
      </c>
      <c r="D99" s="2" t="n">
        <v>144075</v>
      </c>
      <c r="E99" s="11" t="n">
        <f aca="false">'Color clustering'!E99</f>
        <v>3</v>
      </c>
      <c r="F99" s="13" t="n">
        <f aca="false">'Color clustering'!F99</f>
        <v>159997</v>
      </c>
      <c r="G99" s="25" t="n">
        <f aca="false">'Color clustering'!G99</f>
        <v>15929</v>
      </c>
      <c r="H99" s="12" t="n">
        <f aca="false">'Color clustering'!H99</f>
        <v>144071</v>
      </c>
      <c r="I99" s="25" t="n">
        <f aca="false">'Color classification'!E99</f>
        <v>6</v>
      </c>
      <c r="J99" s="13" t="n">
        <f aca="false">'Color classification'!F99</f>
        <v>159994</v>
      </c>
      <c r="K99" s="25" t="n">
        <f aca="false">'Color classification'!G99</f>
        <v>15929</v>
      </c>
      <c r="L99" s="12" t="n">
        <f aca="false">'Color classification'!H99</f>
        <v>144071</v>
      </c>
    </row>
    <row r="100" customFormat="false" ht="15" hidden="false" customHeight="false" outlineLevel="0" collapsed="false">
      <c r="A100" s="7"/>
      <c r="B100" s="2" t="n">
        <v>96</v>
      </c>
      <c r="C100" s="11" t="n">
        <v>15925</v>
      </c>
      <c r="D100" s="2" t="n">
        <v>144075</v>
      </c>
      <c r="E100" s="11" t="n">
        <f aca="false">'Color clustering'!E100</f>
        <v>9</v>
      </c>
      <c r="F100" s="13" t="n">
        <f aca="false">'Color clustering'!F100</f>
        <v>159991</v>
      </c>
      <c r="G100" s="25" t="n">
        <f aca="false">'Color clustering'!G100</f>
        <v>15930</v>
      </c>
      <c r="H100" s="12" t="n">
        <f aca="false">'Color clustering'!H100</f>
        <v>144070</v>
      </c>
      <c r="I100" s="25" t="n">
        <f aca="false">'Color classification'!E100</f>
        <v>7</v>
      </c>
      <c r="J100" s="13" t="n">
        <f aca="false">'Color classification'!F100</f>
        <v>159993</v>
      </c>
      <c r="K100" s="25" t="n">
        <f aca="false">'Color classification'!G100</f>
        <v>15930</v>
      </c>
      <c r="L100" s="12" t="n">
        <f aca="false">'Color classification'!H100</f>
        <v>144070</v>
      </c>
    </row>
    <row r="101" customFormat="false" ht="15" hidden="false" customHeight="false" outlineLevel="0" collapsed="false">
      <c r="A101" s="7"/>
      <c r="B101" s="2" t="n">
        <v>97</v>
      </c>
      <c r="C101" s="11" t="n">
        <v>15925</v>
      </c>
      <c r="D101" s="2" t="n">
        <v>144075</v>
      </c>
      <c r="E101" s="11" t="n">
        <f aca="false">'Color clustering'!E101</f>
        <v>0</v>
      </c>
      <c r="F101" s="13" t="n">
        <f aca="false">'Color clustering'!F101</f>
        <v>160000</v>
      </c>
      <c r="G101" s="25" t="n">
        <f aca="false">'Color clustering'!G101</f>
        <v>15930</v>
      </c>
      <c r="H101" s="12" t="n">
        <f aca="false">'Color clustering'!H101</f>
        <v>144070</v>
      </c>
      <c r="I101" s="25" t="n">
        <f aca="false">'Color classification'!E101</f>
        <v>28</v>
      </c>
      <c r="J101" s="13" t="n">
        <f aca="false">'Color classification'!F101</f>
        <v>159972</v>
      </c>
      <c r="K101" s="25" t="n">
        <f aca="false">'Color classification'!G101</f>
        <v>15929</v>
      </c>
      <c r="L101" s="12" t="n">
        <f aca="false">'Color classification'!H101</f>
        <v>144071</v>
      </c>
    </row>
    <row r="102" customFormat="false" ht="15" hidden="false" customHeight="false" outlineLevel="0" collapsed="false">
      <c r="A102" s="7"/>
      <c r="B102" s="2" t="n">
        <v>98</v>
      </c>
      <c r="C102" s="11" t="n">
        <v>15925</v>
      </c>
      <c r="D102" s="2" t="n">
        <v>144075</v>
      </c>
      <c r="E102" s="11" t="n">
        <f aca="false">'Color clustering'!E102</f>
        <v>0</v>
      </c>
      <c r="F102" s="13" t="n">
        <f aca="false">'Color clustering'!F102</f>
        <v>160000</v>
      </c>
      <c r="G102" s="25" t="n">
        <f aca="false">'Color clustering'!G102</f>
        <v>15930</v>
      </c>
      <c r="H102" s="12" t="n">
        <f aca="false">'Color clustering'!H102</f>
        <v>144070</v>
      </c>
      <c r="I102" s="25" t="n">
        <f aca="false">'Color classification'!E102</f>
        <v>15</v>
      </c>
      <c r="J102" s="13" t="n">
        <f aca="false">'Color classification'!F102</f>
        <v>159985</v>
      </c>
      <c r="K102" s="25" t="n">
        <f aca="false">'Color classification'!G102</f>
        <v>15929</v>
      </c>
      <c r="L102" s="12" t="n">
        <f aca="false">'Color classification'!H102</f>
        <v>144071</v>
      </c>
    </row>
    <row r="103" customFormat="false" ht="15" hidden="false" customHeight="false" outlineLevel="0" collapsed="false">
      <c r="A103" s="7"/>
      <c r="B103" s="2" t="n">
        <v>99</v>
      </c>
      <c r="C103" s="11" t="n">
        <v>15925</v>
      </c>
      <c r="D103" s="2" t="n">
        <v>144075</v>
      </c>
      <c r="E103" s="11" t="n">
        <f aca="false">'Color clustering'!E103</f>
        <v>15</v>
      </c>
      <c r="F103" s="13" t="n">
        <f aca="false">'Color clustering'!F103</f>
        <v>159985</v>
      </c>
      <c r="G103" s="25" t="n">
        <f aca="false">'Color clustering'!G103</f>
        <v>16098</v>
      </c>
      <c r="H103" s="12" t="n">
        <f aca="false">'Color clustering'!H103</f>
        <v>143902</v>
      </c>
      <c r="I103" s="25" t="n">
        <f aca="false">'Color classification'!E103</f>
        <v>2</v>
      </c>
      <c r="J103" s="13" t="n">
        <f aca="false">'Color classification'!F103</f>
        <v>159998</v>
      </c>
      <c r="K103" s="25" t="n">
        <f aca="false">'Color classification'!G103</f>
        <v>15929</v>
      </c>
      <c r="L103" s="12" t="n">
        <f aca="false">'Color classification'!H103</f>
        <v>144071</v>
      </c>
    </row>
    <row r="104" customFormat="false" ht="15" hidden="false" customHeight="false" outlineLevel="0" collapsed="false">
      <c r="A104" s="7"/>
      <c r="B104" s="2" t="n">
        <v>100</v>
      </c>
      <c r="C104" s="11" t="n">
        <v>15925</v>
      </c>
      <c r="D104" s="2" t="n">
        <v>144075</v>
      </c>
      <c r="E104" s="11" t="n">
        <f aca="false">'Color clustering'!E104</f>
        <v>13</v>
      </c>
      <c r="F104" s="13" t="n">
        <f aca="false">'Color clustering'!F104</f>
        <v>159987</v>
      </c>
      <c r="G104" s="25" t="n">
        <f aca="false">'Color clustering'!G104</f>
        <v>15938</v>
      </c>
      <c r="H104" s="12" t="n">
        <f aca="false">'Color clustering'!H104</f>
        <v>144062</v>
      </c>
      <c r="I104" s="25" t="n">
        <f aca="false">'Color classification'!E104</f>
        <v>351</v>
      </c>
      <c r="J104" s="13" t="n">
        <f aca="false">'Color classification'!F104</f>
        <v>159649</v>
      </c>
      <c r="K104" s="25" t="n">
        <f aca="false">'Color classification'!G104</f>
        <v>15929</v>
      </c>
      <c r="L104" s="12" t="n">
        <f aca="false">'Color classification'!H104</f>
        <v>144071</v>
      </c>
    </row>
    <row r="105" customFormat="false" ht="15" hidden="false" customHeight="false" outlineLevel="0" collapsed="false">
      <c r="A105" s="7"/>
      <c r="B105" s="2" t="n">
        <v>101</v>
      </c>
      <c r="C105" s="11" t="n">
        <v>15925</v>
      </c>
      <c r="D105" s="2" t="n">
        <v>144075</v>
      </c>
      <c r="E105" s="11" t="n">
        <f aca="false">'Color clustering'!E105</f>
        <v>16</v>
      </c>
      <c r="F105" s="13" t="n">
        <f aca="false">'Color clustering'!F105</f>
        <v>159984</v>
      </c>
      <c r="G105" s="25" t="n">
        <f aca="false">'Color clustering'!G105</f>
        <v>16012</v>
      </c>
      <c r="H105" s="12" t="n">
        <f aca="false">'Color clustering'!H105</f>
        <v>143988</v>
      </c>
      <c r="I105" s="25" t="n">
        <f aca="false">'Color classification'!E105</f>
        <v>20</v>
      </c>
      <c r="J105" s="13" t="n">
        <f aca="false">'Color classification'!F105</f>
        <v>159980</v>
      </c>
      <c r="K105" s="25" t="n">
        <f aca="false">'Color classification'!G105</f>
        <v>16012</v>
      </c>
      <c r="L105" s="12" t="n">
        <f aca="false">'Color classification'!H105</f>
        <v>143988</v>
      </c>
    </row>
    <row r="106" customFormat="false" ht="15" hidden="false" customHeight="false" outlineLevel="0" collapsed="false">
      <c r="A106" s="7"/>
      <c r="B106" s="2" t="n">
        <v>102</v>
      </c>
      <c r="C106" s="11" t="n">
        <v>15925</v>
      </c>
      <c r="D106" s="2" t="n">
        <v>144075</v>
      </c>
      <c r="E106" s="11" t="n">
        <f aca="false">'Color clustering'!E106</f>
        <v>181</v>
      </c>
      <c r="F106" s="13" t="n">
        <f aca="false">'Color clustering'!F106</f>
        <v>159819</v>
      </c>
      <c r="G106" s="25" t="n">
        <f aca="false">'Color clustering'!G106</f>
        <v>15929</v>
      </c>
      <c r="H106" s="12" t="n">
        <f aca="false">'Color clustering'!H106</f>
        <v>144071</v>
      </c>
      <c r="I106" s="25" t="n">
        <f aca="false">'Color classification'!E106</f>
        <v>9</v>
      </c>
      <c r="J106" s="13" t="n">
        <f aca="false">'Color classification'!F106</f>
        <v>159991</v>
      </c>
      <c r="K106" s="25" t="n">
        <f aca="false">'Color classification'!G106</f>
        <v>15929</v>
      </c>
      <c r="L106" s="12" t="n">
        <f aca="false">'Color classification'!H106</f>
        <v>144071</v>
      </c>
    </row>
    <row r="107" customFormat="false" ht="15" hidden="false" customHeight="false" outlineLevel="0" collapsed="false">
      <c r="A107" s="7"/>
      <c r="B107" s="2" t="n">
        <v>103</v>
      </c>
      <c r="C107" s="11" t="n">
        <v>15925</v>
      </c>
      <c r="D107" s="2" t="n">
        <v>144075</v>
      </c>
      <c r="E107" s="11" t="n">
        <f aca="false">'Color clustering'!E107</f>
        <v>982</v>
      </c>
      <c r="F107" s="13" t="n">
        <f aca="false">'Color clustering'!F107</f>
        <v>159018</v>
      </c>
      <c r="G107" s="25" t="n">
        <f aca="false">'Color clustering'!G107</f>
        <v>15929</v>
      </c>
      <c r="H107" s="12" t="n">
        <f aca="false">'Color clustering'!H107</f>
        <v>144071</v>
      </c>
      <c r="I107" s="25" t="n">
        <f aca="false">'Color classification'!E107</f>
        <v>2580</v>
      </c>
      <c r="J107" s="13" t="n">
        <f aca="false">'Color classification'!F107</f>
        <v>157420</v>
      </c>
      <c r="K107" s="25" t="n">
        <f aca="false">'Color classification'!G107</f>
        <v>15929</v>
      </c>
      <c r="L107" s="12" t="n">
        <f aca="false">'Color classification'!H107</f>
        <v>144071</v>
      </c>
    </row>
    <row r="108" customFormat="false" ht="15" hidden="false" customHeight="false" outlineLevel="0" collapsed="false">
      <c r="A108" s="7"/>
      <c r="B108" s="2" t="n">
        <v>104</v>
      </c>
      <c r="C108" s="11" t="n">
        <v>15925</v>
      </c>
      <c r="D108" s="2" t="n">
        <v>144075</v>
      </c>
      <c r="E108" s="11" t="n">
        <f aca="false">'Color clustering'!E108</f>
        <v>19</v>
      </c>
      <c r="F108" s="13" t="n">
        <f aca="false">'Color clustering'!F108</f>
        <v>159981</v>
      </c>
      <c r="G108" s="25" t="n">
        <f aca="false">'Color clustering'!G108</f>
        <v>15929</v>
      </c>
      <c r="H108" s="12" t="n">
        <f aca="false">'Color clustering'!H108</f>
        <v>144071</v>
      </c>
      <c r="I108" s="25" t="n">
        <f aca="false">'Color classification'!E108</f>
        <v>39</v>
      </c>
      <c r="J108" s="13" t="n">
        <f aca="false">'Color classification'!F108</f>
        <v>159961</v>
      </c>
      <c r="K108" s="25" t="n">
        <f aca="false">'Color classification'!G108</f>
        <v>15929</v>
      </c>
      <c r="L108" s="12" t="n">
        <f aca="false">'Color classification'!H108</f>
        <v>144071</v>
      </c>
    </row>
    <row r="109" customFormat="false" ht="15" hidden="false" customHeight="false" outlineLevel="0" collapsed="false">
      <c r="A109" s="7"/>
      <c r="B109" s="2" t="n">
        <v>105</v>
      </c>
      <c r="C109" s="11" t="n">
        <v>15925</v>
      </c>
      <c r="D109" s="2" t="n">
        <v>144075</v>
      </c>
      <c r="E109" s="11" t="n">
        <f aca="false">'Color clustering'!E109</f>
        <v>9</v>
      </c>
      <c r="F109" s="13" t="n">
        <f aca="false">'Color clustering'!F109</f>
        <v>159991</v>
      </c>
      <c r="G109" s="25" t="n">
        <f aca="false">'Color clustering'!G109</f>
        <v>15928</v>
      </c>
      <c r="H109" s="12" t="n">
        <f aca="false">'Color clustering'!H109</f>
        <v>144072</v>
      </c>
      <c r="I109" s="25" t="n">
        <f aca="false">'Color classification'!E109</f>
        <v>1173</v>
      </c>
      <c r="J109" s="13" t="n">
        <f aca="false">'Color classification'!F109</f>
        <v>158827</v>
      </c>
      <c r="K109" s="25" t="n">
        <f aca="false">'Color classification'!G109</f>
        <v>15928</v>
      </c>
      <c r="L109" s="12" t="n">
        <f aca="false">'Color classification'!H109</f>
        <v>144072</v>
      </c>
    </row>
    <row r="110" customFormat="false" ht="15" hidden="false" customHeight="false" outlineLevel="0" collapsed="false">
      <c r="A110" s="7"/>
      <c r="B110" s="2" t="n">
        <v>106</v>
      </c>
      <c r="C110" s="11" t="n">
        <v>15925</v>
      </c>
      <c r="D110" s="2" t="n">
        <v>144075</v>
      </c>
      <c r="E110" s="11" t="n">
        <f aca="false">'Color clustering'!E110</f>
        <v>777</v>
      </c>
      <c r="F110" s="13" t="n">
        <f aca="false">'Color clustering'!F110</f>
        <v>159223</v>
      </c>
      <c r="G110" s="25" t="n">
        <f aca="false">'Color clustering'!G110</f>
        <v>15929</v>
      </c>
      <c r="H110" s="12" t="n">
        <f aca="false">'Color clustering'!H110</f>
        <v>144071</v>
      </c>
      <c r="I110" s="25" t="n">
        <f aca="false">'Color classification'!E110</f>
        <v>284</v>
      </c>
      <c r="J110" s="13" t="n">
        <f aca="false">'Color classification'!F110</f>
        <v>159716</v>
      </c>
      <c r="K110" s="25" t="n">
        <f aca="false">'Color classification'!G110</f>
        <v>15929</v>
      </c>
      <c r="L110" s="12" t="n">
        <f aca="false">'Color classification'!H110</f>
        <v>144071</v>
      </c>
    </row>
    <row r="111" customFormat="false" ht="15" hidden="false" customHeight="false" outlineLevel="0" collapsed="false">
      <c r="A111" s="7"/>
      <c r="B111" s="2" t="n">
        <v>107</v>
      </c>
      <c r="C111" s="11" t="n">
        <v>15925</v>
      </c>
      <c r="D111" s="2" t="n">
        <v>144075</v>
      </c>
      <c r="E111" s="11" t="n">
        <f aca="false">'Color clustering'!E111</f>
        <v>5</v>
      </c>
      <c r="F111" s="13" t="n">
        <f aca="false">'Color clustering'!F111</f>
        <v>159995</v>
      </c>
      <c r="G111" s="25" t="n">
        <f aca="false">'Color clustering'!G111</f>
        <v>15928</v>
      </c>
      <c r="H111" s="12" t="n">
        <f aca="false">'Color clustering'!H111</f>
        <v>144072</v>
      </c>
      <c r="I111" s="25" t="n">
        <f aca="false">'Color classification'!E111</f>
        <v>4</v>
      </c>
      <c r="J111" s="13" t="n">
        <f aca="false">'Color classification'!F111</f>
        <v>159996</v>
      </c>
      <c r="K111" s="25" t="n">
        <f aca="false">'Color classification'!G111</f>
        <v>15928</v>
      </c>
      <c r="L111" s="12" t="n">
        <f aca="false">'Color classification'!H111</f>
        <v>144072</v>
      </c>
    </row>
    <row r="112" customFormat="false" ht="15" hidden="false" customHeight="false" outlineLevel="0" collapsed="false">
      <c r="A112" s="7"/>
      <c r="B112" s="2" t="n">
        <v>108</v>
      </c>
      <c r="C112" s="11" t="n">
        <v>15925</v>
      </c>
      <c r="D112" s="2" t="n">
        <v>144075</v>
      </c>
      <c r="E112" s="11" t="n">
        <f aca="false">'Color clustering'!E112</f>
        <v>6</v>
      </c>
      <c r="F112" s="13" t="n">
        <f aca="false">'Color clustering'!F112</f>
        <v>159994</v>
      </c>
      <c r="G112" s="25" t="n">
        <f aca="false">'Color clustering'!G112</f>
        <v>15928</v>
      </c>
      <c r="H112" s="12" t="n">
        <f aca="false">'Color clustering'!H112</f>
        <v>144072</v>
      </c>
      <c r="I112" s="25" t="n">
        <f aca="false">'Color classification'!E112</f>
        <v>31</v>
      </c>
      <c r="J112" s="13" t="n">
        <f aca="false">'Color classification'!F112</f>
        <v>159969</v>
      </c>
      <c r="K112" s="25" t="n">
        <f aca="false">'Color classification'!G112</f>
        <v>15928</v>
      </c>
      <c r="L112" s="12" t="n">
        <f aca="false">'Color classification'!H112</f>
        <v>144072</v>
      </c>
    </row>
    <row r="113" customFormat="false" ht="15" hidden="false" customHeight="false" outlineLevel="0" collapsed="false">
      <c r="A113" s="7"/>
      <c r="B113" s="2" t="n">
        <v>109</v>
      </c>
      <c r="C113" s="11" t="n">
        <v>15925</v>
      </c>
      <c r="D113" s="2" t="n">
        <v>144075</v>
      </c>
      <c r="E113" s="11" t="n">
        <f aca="false">'Color clustering'!E113</f>
        <v>38</v>
      </c>
      <c r="F113" s="13" t="n">
        <f aca="false">'Color clustering'!F113</f>
        <v>159962</v>
      </c>
      <c r="G113" s="25" t="n">
        <f aca="false">'Color clustering'!G113</f>
        <v>15929</v>
      </c>
      <c r="H113" s="12" t="n">
        <f aca="false">'Color clustering'!H113</f>
        <v>144071</v>
      </c>
      <c r="I113" s="25" t="n">
        <f aca="false">'Color classification'!E113</f>
        <v>94</v>
      </c>
      <c r="J113" s="13" t="n">
        <f aca="false">'Color classification'!F113</f>
        <v>159906</v>
      </c>
      <c r="K113" s="25" t="n">
        <f aca="false">'Color classification'!G113</f>
        <v>15929</v>
      </c>
      <c r="L113" s="12" t="n">
        <f aca="false">'Color classification'!H113</f>
        <v>144071</v>
      </c>
    </row>
    <row r="114" customFormat="false" ht="15" hidden="false" customHeight="false" outlineLevel="0" collapsed="false">
      <c r="A114" s="7"/>
      <c r="B114" s="2" t="n">
        <v>110</v>
      </c>
      <c r="C114" s="11" t="n">
        <v>15925</v>
      </c>
      <c r="D114" s="2" t="n">
        <v>144075</v>
      </c>
      <c r="E114" s="11" t="n">
        <f aca="false">'Color clustering'!E114</f>
        <v>57</v>
      </c>
      <c r="F114" s="13" t="n">
        <f aca="false">'Color clustering'!F114</f>
        <v>159943</v>
      </c>
      <c r="G114" s="25" t="n">
        <f aca="false">'Color clustering'!G114</f>
        <v>15936</v>
      </c>
      <c r="H114" s="12" t="n">
        <f aca="false">'Color clustering'!H114</f>
        <v>144064</v>
      </c>
      <c r="I114" s="25" t="n">
        <f aca="false">'Color classification'!E114</f>
        <v>6</v>
      </c>
      <c r="J114" s="13" t="n">
        <f aca="false">'Color classification'!F114</f>
        <v>159994</v>
      </c>
      <c r="K114" s="25" t="n">
        <f aca="false">'Color classification'!G114</f>
        <v>15930</v>
      </c>
      <c r="L114" s="12" t="n">
        <f aca="false">'Color classification'!H114</f>
        <v>144070</v>
      </c>
    </row>
    <row r="115" customFormat="false" ht="15" hidden="false" customHeight="false" outlineLevel="0" collapsed="false">
      <c r="A115" s="7"/>
      <c r="B115" s="2" t="n">
        <v>111</v>
      </c>
      <c r="C115" s="11" t="n">
        <v>15925</v>
      </c>
      <c r="D115" s="2" t="n">
        <v>144075</v>
      </c>
      <c r="E115" s="11" t="n">
        <f aca="false">'Color clustering'!E115</f>
        <v>11</v>
      </c>
      <c r="F115" s="13" t="n">
        <f aca="false">'Color clustering'!F115</f>
        <v>159989</v>
      </c>
      <c r="G115" s="25" t="n">
        <f aca="false">'Color clustering'!G115</f>
        <v>15928</v>
      </c>
      <c r="H115" s="12" t="n">
        <f aca="false">'Color clustering'!H115</f>
        <v>144072</v>
      </c>
      <c r="I115" s="25" t="n">
        <f aca="false">'Color classification'!E115</f>
        <v>3</v>
      </c>
      <c r="J115" s="13" t="n">
        <f aca="false">'Color classification'!F115</f>
        <v>159997</v>
      </c>
      <c r="K115" s="25" t="n">
        <f aca="false">'Color classification'!G115</f>
        <v>15928</v>
      </c>
      <c r="L115" s="12" t="n">
        <f aca="false">'Color classification'!H115</f>
        <v>144072</v>
      </c>
    </row>
    <row r="116" customFormat="false" ht="15" hidden="false" customHeight="false" outlineLevel="0" collapsed="false">
      <c r="A116" s="7"/>
      <c r="B116" s="2" t="n">
        <v>112</v>
      </c>
      <c r="C116" s="11" t="n">
        <v>15925</v>
      </c>
      <c r="D116" s="2" t="n">
        <v>144075</v>
      </c>
      <c r="E116" s="11" t="n">
        <f aca="false">'Color clustering'!E116</f>
        <v>40</v>
      </c>
      <c r="F116" s="13" t="n">
        <f aca="false">'Color clustering'!F116</f>
        <v>159960</v>
      </c>
      <c r="G116" s="25" t="n">
        <f aca="false">'Color clustering'!G116</f>
        <v>15931</v>
      </c>
      <c r="H116" s="12" t="n">
        <f aca="false">'Color clustering'!H116</f>
        <v>144069</v>
      </c>
      <c r="I116" s="25" t="n">
        <f aca="false">'Color classification'!E116</f>
        <v>4</v>
      </c>
      <c r="J116" s="13" t="n">
        <f aca="false">'Color classification'!F116</f>
        <v>159996</v>
      </c>
      <c r="K116" s="25" t="n">
        <f aca="false">'Color classification'!G116</f>
        <v>15930</v>
      </c>
      <c r="L116" s="12" t="n">
        <f aca="false">'Color classification'!H116</f>
        <v>144070</v>
      </c>
    </row>
    <row r="117" customFormat="false" ht="15" hidden="false" customHeight="false" outlineLevel="0" collapsed="false">
      <c r="A117" s="7"/>
      <c r="B117" s="2" t="n">
        <v>113</v>
      </c>
      <c r="C117" s="11" t="n">
        <v>15925</v>
      </c>
      <c r="D117" s="2" t="n">
        <v>144075</v>
      </c>
      <c r="E117" s="11" t="n">
        <f aca="false">'Color clustering'!E117</f>
        <v>1152</v>
      </c>
      <c r="F117" s="13" t="n">
        <f aca="false">'Color clustering'!F117</f>
        <v>158848</v>
      </c>
      <c r="G117" s="25" t="n">
        <f aca="false">'Color clustering'!G117</f>
        <v>15929</v>
      </c>
      <c r="H117" s="12" t="n">
        <f aca="false">'Color clustering'!H117</f>
        <v>144071</v>
      </c>
      <c r="I117" s="25" t="n">
        <f aca="false">'Color classification'!E117</f>
        <v>78</v>
      </c>
      <c r="J117" s="13" t="n">
        <f aca="false">'Color classification'!F117</f>
        <v>159922</v>
      </c>
      <c r="K117" s="25" t="n">
        <f aca="false">'Color classification'!G117</f>
        <v>15929</v>
      </c>
      <c r="L117" s="12" t="n">
        <f aca="false">'Color classification'!H117</f>
        <v>144071</v>
      </c>
    </row>
    <row r="118" customFormat="false" ht="15" hidden="false" customHeight="false" outlineLevel="0" collapsed="false">
      <c r="A118" s="7"/>
      <c r="B118" s="2" t="n">
        <v>114</v>
      </c>
      <c r="C118" s="11" t="n">
        <v>15925</v>
      </c>
      <c r="D118" s="2" t="n">
        <v>144075</v>
      </c>
      <c r="E118" s="11" t="n">
        <f aca="false">'Color clustering'!E118</f>
        <v>62</v>
      </c>
      <c r="F118" s="13" t="n">
        <f aca="false">'Color clustering'!F118</f>
        <v>159938</v>
      </c>
      <c r="G118" s="25" t="n">
        <f aca="false">'Color clustering'!G118</f>
        <v>15930</v>
      </c>
      <c r="H118" s="12" t="n">
        <f aca="false">'Color clustering'!H118</f>
        <v>144070</v>
      </c>
      <c r="I118" s="25" t="n">
        <f aca="false">'Color classification'!E118</f>
        <v>4</v>
      </c>
      <c r="J118" s="13" t="n">
        <f aca="false">'Color classification'!F118</f>
        <v>159996</v>
      </c>
      <c r="K118" s="25" t="n">
        <f aca="false">'Color classification'!G118</f>
        <v>15930</v>
      </c>
      <c r="L118" s="12" t="n">
        <f aca="false">'Color classification'!H118</f>
        <v>144070</v>
      </c>
    </row>
    <row r="119" customFormat="false" ht="15" hidden="false" customHeight="false" outlineLevel="0" collapsed="false">
      <c r="A119" s="7"/>
      <c r="B119" s="2" t="n">
        <v>115</v>
      </c>
      <c r="C119" s="11" t="n">
        <v>15925</v>
      </c>
      <c r="D119" s="2" t="n">
        <v>144075</v>
      </c>
      <c r="E119" s="11" t="n">
        <f aca="false">'Color clustering'!E119</f>
        <v>3</v>
      </c>
      <c r="F119" s="13" t="n">
        <f aca="false">'Color clustering'!F119</f>
        <v>159997</v>
      </c>
      <c r="G119" s="25" t="n">
        <f aca="false">'Color clustering'!G119</f>
        <v>15931</v>
      </c>
      <c r="H119" s="12" t="n">
        <f aca="false">'Color clustering'!H119</f>
        <v>144069</v>
      </c>
      <c r="I119" s="25" t="n">
        <f aca="false">'Color classification'!E119</f>
        <v>31</v>
      </c>
      <c r="J119" s="13" t="n">
        <f aca="false">'Color classification'!F119</f>
        <v>159969</v>
      </c>
      <c r="K119" s="25" t="n">
        <f aca="false">'Color classification'!G119</f>
        <v>15930</v>
      </c>
      <c r="L119" s="12" t="n">
        <f aca="false">'Color classification'!H119</f>
        <v>144070</v>
      </c>
    </row>
    <row r="120" customFormat="false" ht="15" hidden="false" customHeight="false" outlineLevel="0" collapsed="false">
      <c r="A120" s="7"/>
      <c r="B120" s="2" t="n">
        <v>116</v>
      </c>
      <c r="C120" s="11" t="n">
        <v>15925</v>
      </c>
      <c r="D120" s="2" t="n">
        <v>144075</v>
      </c>
      <c r="E120" s="11" t="n">
        <f aca="false">'Color clustering'!E120</f>
        <v>71</v>
      </c>
      <c r="F120" s="13" t="n">
        <f aca="false">'Color clustering'!F120</f>
        <v>159929</v>
      </c>
      <c r="G120" s="25" t="n">
        <f aca="false">'Color clustering'!G120</f>
        <v>15939</v>
      </c>
      <c r="H120" s="12" t="n">
        <f aca="false">'Color clustering'!H120</f>
        <v>144061</v>
      </c>
      <c r="I120" s="25" t="n">
        <f aca="false">'Color classification'!E120</f>
        <v>335</v>
      </c>
      <c r="J120" s="13" t="n">
        <f aca="false">'Color classification'!F120</f>
        <v>159665</v>
      </c>
      <c r="K120" s="25" t="n">
        <f aca="false">'Color classification'!G120</f>
        <v>15928</v>
      </c>
      <c r="L120" s="12" t="n">
        <f aca="false">'Color classification'!H120</f>
        <v>144072</v>
      </c>
    </row>
    <row r="121" customFormat="false" ht="15" hidden="false" customHeight="false" outlineLevel="0" collapsed="false">
      <c r="A121" s="7"/>
      <c r="B121" s="2" t="n">
        <v>117</v>
      </c>
      <c r="C121" s="11" t="n">
        <v>15925</v>
      </c>
      <c r="D121" s="2" t="n">
        <v>144075</v>
      </c>
      <c r="E121" s="11" t="n">
        <f aca="false">'Color clustering'!E121</f>
        <v>18</v>
      </c>
      <c r="F121" s="13" t="n">
        <f aca="false">'Color clustering'!F121</f>
        <v>159982</v>
      </c>
      <c r="G121" s="25" t="n">
        <f aca="false">'Color clustering'!G121</f>
        <v>15928</v>
      </c>
      <c r="H121" s="12" t="n">
        <f aca="false">'Color clustering'!H121</f>
        <v>144072</v>
      </c>
      <c r="I121" s="25" t="n">
        <f aca="false">'Color classification'!E121</f>
        <v>20</v>
      </c>
      <c r="J121" s="13" t="n">
        <f aca="false">'Color classification'!F121</f>
        <v>159980</v>
      </c>
      <c r="K121" s="25" t="n">
        <f aca="false">'Color classification'!G121</f>
        <v>15928</v>
      </c>
      <c r="L121" s="12" t="n">
        <f aca="false">'Color classification'!H121</f>
        <v>144072</v>
      </c>
    </row>
    <row r="122" customFormat="false" ht="15" hidden="false" customHeight="false" outlineLevel="0" collapsed="false">
      <c r="A122" s="7"/>
      <c r="B122" s="2" t="n">
        <v>118</v>
      </c>
      <c r="C122" s="11" t="n">
        <v>15925</v>
      </c>
      <c r="D122" s="2" t="n">
        <v>144075</v>
      </c>
      <c r="E122" s="11" t="n">
        <f aca="false">'Color clustering'!E122</f>
        <v>156</v>
      </c>
      <c r="F122" s="13" t="n">
        <f aca="false">'Color clustering'!F122</f>
        <v>159844</v>
      </c>
      <c r="G122" s="25" t="n">
        <f aca="false">'Color clustering'!G122</f>
        <v>15928</v>
      </c>
      <c r="H122" s="12" t="n">
        <f aca="false">'Color clustering'!H122</f>
        <v>144072</v>
      </c>
      <c r="I122" s="25" t="n">
        <f aca="false">'Color classification'!E122</f>
        <v>2</v>
      </c>
      <c r="J122" s="13" t="n">
        <f aca="false">'Color classification'!F122</f>
        <v>159998</v>
      </c>
      <c r="K122" s="25" t="n">
        <f aca="false">'Color classification'!G122</f>
        <v>15928</v>
      </c>
      <c r="L122" s="12" t="n">
        <f aca="false">'Color classification'!H122</f>
        <v>144072</v>
      </c>
    </row>
    <row r="123" customFormat="false" ht="15" hidden="false" customHeight="false" outlineLevel="0" collapsed="false">
      <c r="A123" s="7"/>
      <c r="B123" s="2" t="n">
        <v>119</v>
      </c>
      <c r="C123" s="11" t="n">
        <v>15925</v>
      </c>
      <c r="D123" s="2" t="n">
        <v>144075</v>
      </c>
      <c r="E123" s="11" t="n">
        <f aca="false">'Color clustering'!E123</f>
        <v>11</v>
      </c>
      <c r="F123" s="13" t="n">
        <f aca="false">'Color clustering'!F123</f>
        <v>159989</v>
      </c>
      <c r="G123" s="25" t="n">
        <f aca="false">'Color clustering'!G123</f>
        <v>15928</v>
      </c>
      <c r="H123" s="12" t="n">
        <f aca="false">'Color clustering'!H123</f>
        <v>144072</v>
      </c>
      <c r="I123" s="25" t="n">
        <f aca="false">'Color classification'!E123</f>
        <v>32</v>
      </c>
      <c r="J123" s="13" t="n">
        <f aca="false">'Color classification'!F123</f>
        <v>159968</v>
      </c>
      <c r="K123" s="25" t="n">
        <f aca="false">'Color classification'!G123</f>
        <v>15928</v>
      </c>
      <c r="L123" s="12" t="n">
        <f aca="false">'Color classification'!H123</f>
        <v>144072</v>
      </c>
    </row>
    <row r="124" customFormat="false" ht="15" hidden="false" customHeight="false" outlineLevel="0" collapsed="false">
      <c r="A124" s="7"/>
      <c r="B124" s="2" t="n">
        <v>120</v>
      </c>
      <c r="C124" s="11" t="n">
        <v>15925</v>
      </c>
      <c r="D124" s="2" t="n">
        <v>144075</v>
      </c>
      <c r="E124" s="11" t="n">
        <f aca="false">'Color clustering'!E124</f>
        <v>31</v>
      </c>
      <c r="F124" s="13" t="n">
        <f aca="false">'Color clustering'!F124</f>
        <v>159969</v>
      </c>
      <c r="G124" s="25" t="n">
        <f aca="false">'Color clustering'!G124</f>
        <v>15928</v>
      </c>
      <c r="H124" s="12" t="n">
        <f aca="false">'Color clustering'!H124</f>
        <v>144072</v>
      </c>
      <c r="I124" s="25" t="n">
        <f aca="false">'Color classification'!E124</f>
        <v>10</v>
      </c>
      <c r="J124" s="13" t="n">
        <f aca="false">'Color classification'!F124</f>
        <v>159990</v>
      </c>
      <c r="K124" s="25" t="n">
        <f aca="false">'Color classification'!G124</f>
        <v>15928</v>
      </c>
      <c r="L124" s="12" t="n">
        <f aca="false">'Color classification'!H124</f>
        <v>144072</v>
      </c>
    </row>
    <row r="125" customFormat="false" ht="15" hidden="false" customHeight="false" outlineLevel="0" collapsed="false">
      <c r="A125" s="7"/>
      <c r="B125" s="2" t="n">
        <v>121</v>
      </c>
      <c r="C125" s="11" t="n">
        <v>15925</v>
      </c>
      <c r="D125" s="2" t="n">
        <v>144075</v>
      </c>
      <c r="E125" s="11" t="n">
        <f aca="false">'Color clustering'!E125</f>
        <v>10</v>
      </c>
      <c r="F125" s="13" t="n">
        <f aca="false">'Color clustering'!F125</f>
        <v>159990</v>
      </c>
      <c r="G125" s="25" t="n">
        <f aca="false">'Color clustering'!G125</f>
        <v>15928</v>
      </c>
      <c r="H125" s="12" t="n">
        <f aca="false">'Color clustering'!H125</f>
        <v>144072</v>
      </c>
      <c r="I125" s="25" t="n">
        <f aca="false">'Color classification'!E125</f>
        <v>1250</v>
      </c>
      <c r="J125" s="13" t="n">
        <f aca="false">'Color classification'!F125</f>
        <v>158750</v>
      </c>
      <c r="K125" s="25" t="n">
        <f aca="false">'Color classification'!G125</f>
        <v>15928</v>
      </c>
      <c r="L125" s="12" t="n">
        <f aca="false">'Color classification'!H125</f>
        <v>144072</v>
      </c>
    </row>
    <row r="126" customFormat="false" ht="15" hidden="false" customHeight="false" outlineLevel="0" collapsed="false">
      <c r="A126" s="7"/>
      <c r="B126" s="2" t="n">
        <v>122</v>
      </c>
      <c r="C126" s="11" t="n">
        <v>15925</v>
      </c>
      <c r="D126" s="2" t="n">
        <v>144075</v>
      </c>
      <c r="E126" s="11" t="n">
        <f aca="false">'Color clustering'!E126</f>
        <v>25</v>
      </c>
      <c r="F126" s="13" t="n">
        <f aca="false">'Color clustering'!F126</f>
        <v>159975</v>
      </c>
      <c r="G126" s="25" t="n">
        <f aca="false">'Color clustering'!G126</f>
        <v>15926</v>
      </c>
      <c r="H126" s="12" t="n">
        <f aca="false">'Color clustering'!H126</f>
        <v>144074</v>
      </c>
      <c r="I126" s="25" t="n">
        <f aca="false">'Color classification'!E126</f>
        <v>123</v>
      </c>
      <c r="J126" s="13" t="n">
        <f aca="false">'Color classification'!F126</f>
        <v>159877</v>
      </c>
      <c r="K126" s="25" t="n">
        <f aca="false">'Color classification'!G126</f>
        <v>15927</v>
      </c>
      <c r="L126" s="12" t="n">
        <f aca="false">'Color classification'!H126</f>
        <v>144073</v>
      </c>
    </row>
    <row r="127" customFormat="false" ht="15" hidden="false" customHeight="false" outlineLevel="0" collapsed="false">
      <c r="A127" s="7"/>
      <c r="B127" s="2" t="n">
        <v>123</v>
      </c>
      <c r="C127" s="11" t="n">
        <v>15925</v>
      </c>
      <c r="D127" s="2" t="n">
        <v>144075</v>
      </c>
      <c r="E127" s="11" t="n">
        <f aca="false">'Color clustering'!E127</f>
        <v>71</v>
      </c>
      <c r="F127" s="13" t="n">
        <f aca="false">'Color clustering'!F127</f>
        <v>159929</v>
      </c>
      <c r="G127" s="25" t="n">
        <f aca="false">'Color clustering'!G127</f>
        <v>15927</v>
      </c>
      <c r="H127" s="12" t="n">
        <f aca="false">'Color clustering'!H127</f>
        <v>144073</v>
      </c>
      <c r="I127" s="25" t="n">
        <f aca="false">'Color classification'!E127</f>
        <v>591</v>
      </c>
      <c r="J127" s="13" t="n">
        <f aca="false">'Color classification'!F127</f>
        <v>159409</v>
      </c>
      <c r="K127" s="25" t="n">
        <f aca="false">'Color classification'!G127</f>
        <v>15928</v>
      </c>
      <c r="L127" s="12" t="n">
        <f aca="false">'Color classification'!H127</f>
        <v>144072</v>
      </c>
    </row>
    <row r="128" customFormat="false" ht="15" hidden="false" customHeight="false" outlineLevel="0" collapsed="false">
      <c r="A128" s="7"/>
      <c r="B128" s="2" t="n">
        <v>124</v>
      </c>
      <c r="C128" s="11" t="n">
        <v>15925</v>
      </c>
      <c r="D128" s="2" t="n">
        <v>144075</v>
      </c>
      <c r="E128" s="11" t="n">
        <f aca="false">'Color clustering'!E128</f>
        <v>18</v>
      </c>
      <c r="F128" s="13" t="n">
        <f aca="false">'Color clustering'!F128</f>
        <v>159982</v>
      </c>
      <c r="G128" s="25" t="n">
        <f aca="false">'Color clustering'!G128</f>
        <v>15938</v>
      </c>
      <c r="H128" s="12" t="n">
        <f aca="false">'Color clustering'!H128</f>
        <v>144062</v>
      </c>
      <c r="I128" s="25" t="n">
        <f aca="false">'Color classification'!E128</f>
        <v>16</v>
      </c>
      <c r="J128" s="13" t="n">
        <f aca="false">'Color classification'!F128</f>
        <v>159984</v>
      </c>
      <c r="K128" s="25" t="n">
        <f aca="false">'Color classification'!G128</f>
        <v>15930</v>
      </c>
      <c r="L128" s="12" t="n">
        <f aca="false">'Color classification'!H128</f>
        <v>144070</v>
      </c>
    </row>
    <row r="129" customFormat="false" ht="15" hidden="false" customHeight="false" outlineLevel="0" collapsed="false">
      <c r="A129" s="7"/>
      <c r="B129" s="2" t="n">
        <v>125</v>
      </c>
      <c r="C129" s="11" t="n">
        <v>15925</v>
      </c>
      <c r="D129" s="2" t="n">
        <v>144075</v>
      </c>
      <c r="E129" s="11" t="n">
        <f aca="false">'Color clustering'!E129</f>
        <v>12</v>
      </c>
      <c r="F129" s="13" t="n">
        <f aca="false">'Color clustering'!F129</f>
        <v>159988</v>
      </c>
      <c r="G129" s="25" t="n">
        <f aca="false">'Color clustering'!G129</f>
        <v>15929</v>
      </c>
      <c r="H129" s="12" t="n">
        <f aca="false">'Color clustering'!H129</f>
        <v>144071</v>
      </c>
      <c r="I129" s="25" t="n">
        <f aca="false">'Color classification'!E129</f>
        <v>12</v>
      </c>
      <c r="J129" s="13" t="n">
        <f aca="false">'Color classification'!F129</f>
        <v>159988</v>
      </c>
      <c r="K129" s="25" t="n">
        <f aca="false">'Color classification'!G129</f>
        <v>15928</v>
      </c>
      <c r="L129" s="12" t="n">
        <f aca="false">'Color classification'!H129</f>
        <v>144072</v>
      </c>
    </row>
    <row r="130" customFormat="false" ht="15" hidden="false" customHeight="false" outlineLevel="0" collapsed="false">
      <c r="A130" s="7"/>
      <c r="B130" s="2" t="n">
        <v>126</v>
      </c>
      <c r="C130" s="11" t="n">
        <v>15925</v>
      </c>
      <c r="D130" s="2" t="n">
        <v>144075</v>
      </c>
      <c r="E130" s="11" t="n">
        <f aca="false">'Color clustering'!E130</f>
        <v>88</v>
      </c>
      <c r="F130" s="13" t="n">
        <f aca="false">'Color clustering'!F130</f>
        <v>159912</v>
      </c>
      <c r="G130" s="25" t="n">
        <f aca="false">'Color clustering'!G130</f>
        <v>15929</v>
      </c>
      <c r="H130" s="12" t="n">
        <f aca="false">'Color clustering'!H130</f>
        <v>144071</v>
      </c>
      <c r="I130" s="25" t="n">
        <f aca="false">'Color classification'!E130</f>
        <v>19</v>
      </c>
      <c r="J130" s="13" t="n">
        <f aca="false">'Color classification'!F130</f>
        <v>159981</v>
      </c>
      <c r="K130" s="25" t="n">
        <f aca="false">'Color classification'!G130</f>
        <v>15927</v>
      </c>
      <c r="L130" s="12" t="n">
        <f aca="false">'Color classification'!H130</f>
        <v>144073</v>
      </c>
    </row>
    <row r="131" customFormat="false" ht="15" hidden="false" customHeight="false" outlineLevel="0" collapsed="false">
      <c r="A131" s="7"/>
      <c r="B131" s="2" t="n">
        <v>127</v>
      </c>
      <c r="C131" s="11" t="n">
        <v>15925</v>
      </c>
      <c r="D131" s="2" t="n">
        <v>144075</v>
      </c>
      <c r="E131" s="11" t="n">
        <f aca="false">'Color clustering'!E131</f>
        <v>254</v>
      </c>
      <c r="F131" s="13" t="n">
        <f aca="false">'Color clustering'!F131</f>
        <v>159746</v>
      </c>
      <c r="G131" s="25" t="n">
        <f aca="false">'Color clustering'!G131</f>
        <v>15929</v>
      </c>
      <c r="H131" s="12" t="n">
        <f aca="false">'Color clustering'!H131</f>
        <v>144071</v>
      </c>
      <c r="I131" s="25" t="n">
        <f aca="false">'Color classification'!E131</f>
        <v>622</v>
      </c>
      <c r="J131" s="13" t="n">
        <f aca="false">'Color classification'!F131</f>
        <v>159378</v>
      </c>
      <c r="K131" s="25" t="n">
        <f aca="false">'Color classification'!G131</f>
        <v>15927</v>
      </c>
      <c r="L131" s="12" t="n">
        <f aca="false">'Color classification'!H131</f>
        <v>144073</v>
      </c>
    </row>
    <row r="132" customFormat="false" ht="15" hidden="false" customHeight="false" outlineLevel="0" collapsed="false">
      <c r="A132" s="7"/>
      <c r="B132" s="2" t="n">
        <v>128</v>
      </c>
      <c r="C132" s="11" t="n">
        <v>15925</v>
      </c>
      <c r="D132" s="2" t="n">
        <v>144075</v>
      </c>
      <c r="E132" s="11" t="n">
        <f aca="false">'Color clustering'!E132</f>
        <v>23</v>
      </c>
      <c r="F132" s="13" t="n">
        <f aca="false">'Color clustering'!F132</f>
        <v>159977</v>
      </c>
      <c r="G132" s="25" t="n">
        <f aca="false">'Color clustering'!G132</f>
        <v>15927</v>
      </c>
      <c r="H132" s="12" t="n">
        <f aca="false">'Color clustering'!H132</f>
        <v>144073</v>
      </c>
      <c r="I132" s="25" t="n">
        <f aca="false">'Color classification'!E132</f>
        <v>403</v>
      </c>
      <c r="J132" s="13" t="n">
        <f aca="false">'Color classification'!F132</f>
        <v>159597</v>
      </c>
      <c r="K132" s="25" t="n">
        <f aca="false">'Color classification'!G132</f>
        <v>15927</v>
      </c>
      <c r="L132" s="12" t="n">
        <f aca="false">'Color classification'!H132</f>
        <v>144073</v>
      </c>
    </row>
    <row r="133" customFormat="false" ht="15" hidden="false" customHeight="false" outlineLevel="0" collapsed="false">
      <c r="A133" s="7"/>
      <c r="B133" s="2" t="n">
        <v>129</v>
      </c>
      <c r="C133" s="11" t="n">
        <v>15925</v>
      </c>
      <c r="D133" s="2" t="n">
        <v>144075</v>
      </c>
      <c r="E133" s="11" t="n">
        <f aca="false">'Color clustering'!E133</f>
        <v>8</v>
      </c>
      <c r="F133" s="13" t="n">
        <f aca="false">'Color clustering'!F133</f>
        <v>159992</v>
      </c>
      <c r="G133" s="25" t="n">
        <f aca="false">'Color clustering'!G133</f>
        <v>15941</v>
      </c>
      <c r="H133" s="12" t="n">
        <f aca="false">'Color clustering'!H133</f>
        <v>144059</v>
      </c>
      <c r="I133" s="25" t="n">
        <f aca="false">'Color classification'!E133</f>
        <v>17</v>
      </c>
      <c r="J133" s="13" t="n">
        <f aca="false">'Color classification'!F133</f>
        <v>159983</v>
      </c>
      <c r="K133" s="25" t="n">
        <f aca="false">'Color classification'!G133</f>
        <v>15929</v>
      </c>
      <c r="L133" s="12" t="n">
        <f aca="false">'Color classification'!H133</f>
        <v>144071</v>
      </c>
    </row>
    <row r="134" customFormat="false" ht="15" hidden="false" customHeight="false" outlineLevel="0" collapsed="false">
      <c r="A134" s="7"/>
      <c r="B134" s="2" t="n">
        <v>130</v>
      </c>
      <c r="C134" s="11" t="n">
        <v>15925</v>
      </c>
      <c r="D134" s="2" t="n">
        <v>144075</v>
      </c>
      <c r="E134" s="11" t="n">
        <f aca="false">'Color clustering'!E134</f>
        <v>164</v>
      </c>
      <c r="F134" s="13" t="n">
        <f aca="false">'Color clustering'!F134</f>
        <v>159836</v>
      </c>
      <c r="G134" s="25" t="n">
        <f aca="false">'Color clustering'!G134</f>
        <v>15929</v>
      </c>
      <c r="H134" s="12" t="n">
        <f aca="false">'Color clustering'!H134</f>
        <v>144071</v>
      </c>
      <c r="I134" s="25" t="n">
        <f aca="false">'Color classification'!E134</f>
        <v>14</v>
      </c>
      <c r="J134" s="13" t="n">
        <f aca="false">'Color classification'!F134</f>
        <v>159986</v>
      </c>
      <c r="K134" s="25" t="n">
        <f aca="false">'Color classification'!G134</f>
        <v>15928</v>
      </c>
      <c r="L134" s="12" t="n">
        <f aca="false">'Color classification'!H134</f>
        <v>144072</v>
      </c>
    </row>
    <row r="135" customFormat="false" ht="15" hidden="false" customHeight="false" outlineLevel="0" collapsed="false">
      <c r="A135" s="7"/>
      <c r="B135" s="2" t="n">
        <v>131</v>
      </c>
      <c r="C135" s="11" t="n">
        <v>15925</v>
      </c>
      <c r="D135" s="2" t="n">
        <v>144075</v>
      </c>
      <c r="E135" s="11" t="n">
        <f aca="false">'Color clustering'!E135</f>
        <v>21</v>
      </c>
      <c r="F135" s="13" t="n">
        <f aca="false">'Color clustering'!F135</f>
        <v>159979</v>
      </c>
      <c r="G135" s="25" t="n">
        <f aca="false">'Color clustering'!G135</f>
        <v>15929</v>
      </c>
      <c r="H135" s="12" t="n">
        <f aca="false">'Color clustering'!H135</f>
        <v>144071</v>
      </c>
      <c r="I135" s="25" t="n">
        <f aca="false">'Color classification'!E135</f>
        <v>920</v>
      </c>
      <c r="J135" s="13" t="n">
        <f aca="false">'Color classification'!F135</f>
        <v>159080</v>
      </c>
      <c r="K135" s="25" t="n">
        <f aca="false">'Color classification'!G135</f>
        <v>15929</v>
      </c>
      <c r="L135" s="12" t="n">
        <f aca="false">'Color classification'!H135</f>
        <v>144071</v>
      </c>
    </row>
    <row r="136" customFormat="false" ht="15" hidden="false" customHeight="false" outlineLevel="0" collapsed="false">
      <c r="A136" s="7"/>
      <c r="B136" s="2" t="n">
        <v>132</v>
      </c>
      <c r="C136" s="11" t="n">
        <v>15925</v>
      </c>
      <c r="D136" s="2" t="n">
        <v>144075</v>
      </c>
      <c r="E136" s="11" t="n">
        <f aca="false">'Color clustering'!E136</f>
        <v>6</v>
      </c>
      <c r="F136" s="13" t="n">
        <f aca="false">'Color clustering'!F136</f>
        <v>159994</v>
      </c>
      <c r="G136" s="25" t="n">
        <f aca="false">'Color clustering'!G136</f>
        <v>15929</v>
      </c>
      <c r="H136" s="12" t="n">
        <f aca="false">'Color clustering'!H136</f>
        <v>144071</v>
      </c>
      <c r="I136" s="25" t="n">
        <f aca="false">'Color classification'!E136</f>
        <v>154</v>
      </c>
      <c r="J136" s="13" t="n">
        <f aca="false">'Color classification'!F136</f>
        <v>159846</v>
      </c>
      <c r="K136" s="25" t="n">
        <f aca="false">'Color classification'!G136</f>
        <v>15930</v>
      </c>
      <c r="L136" s="12" t="n">
        <f aca="false">'Color classification'!H136</f>
        <v>144070</v>
      </c>
    </row>
    <row r="137" customFormat="false" ht="15" hidden="false" customHeight="false" outlineLevel="0" collapsed="false">
      <c r="A137" s="7"/>
      <c r="B137" s="2" t="n">
        <v>133</v>
      </c>
      <c r="C137" s="11" t="n">
        <v>15925</v>
      </c>
      <c r="D137" s="2" t="n">
        <v>144075</v>
      </c>
      <c r="E137" s="11" t="n">
        <f aca="false">'Color clustering'!E137</f>
        <v>16</v>
      </c>
      <c r="F137" s="13" t="n">
        <f aca="false">'Color clustering'!F137</f>
        <v>159984</v>
      </c>
      <c r="G137" s="25" t="n">
        <f aca="false">'Color clustering'!G137</f>
        <v>15929</v>
      </c>
      <c r="H137" s="12" t="n">
        <f aca="false">'Color clustering'!H137</f>
        <v>144071</v>
      </c>
      <c r="I137" s="25" t="n">
        <f aca="false">'Color classification'!E137</f>
        <v>38</v>
      </c>
      <c r="J137" s="13" t="n">
        <f aca="false">'Color classification'!F137</f>
        <v>159962</v>
      </c>
      <c r="K137" s="25" t="n">
        <f aca="false">'Color classification'!G137</f>
        <v>15928</v>
      </c>
      <c r="L137" s="12" t="n">
        <f aca="false">'Color classification'!H137</f>
        <v>144072</v>
      </c>
    </row>
    <row r="138" customFormat="false" ht="15" hidden="false" customHeight="false" outlineLevel="0" collapsed="false">
      <c r="A138" s="7"/>
      <c r="B138" s="2" t="n">
        <v>134</v>
      </c>
      <c r="C138" s="11" t="n">
        <v>15925</v>
      </c>
      <c r="D138" s="2" t="n">
        <v>144075</v>
      </c>
      <c r="E138" s="11" t="n">
        <f aca="false">'Color clustering'!E138</f>
        <v>6</v>
      </c>
      <c r="F138" s="13" t="n">
        <f aca="false">'Color clustering'!F138</f>
        <v>159994</v>
      </c>
      <c r="G138" s="25" t="n">
        <f aca="false">'Color clustering'!G138</f>
        <v>15930</v>
      </c>
      <c r="H138" s="12" t="n">
        <f aca="false">'Color clustering'!H138</f>
        <v>144070</v>
      </c>
      <c r="I138" s="25" t="n">
        <f aca="false">'Color classification'!E138</f>
        <v>0</v>
      </c>
      <c r="J138" s="13" t="n">
        <f aca="false">'Color classification'!F138</f>
        <v>160000</v>
      </c>
      <c r="K138" s="25" t="n">
        <f aca="false">'Color classification'!G138</f>
        <v>15931</v>
      </c>
      <c r="L138" s="12" t="n">
        <f aca="false">'Color classification'!H138</f>
        <v>144069</v>
      </c>
    </row>
    <row r="139" customFormat="false" ht="15" hidden="false" customHeight="false" outlineLevel="0" collapsed="false">
      <c r="A139" s="7"/>
      <c r="B139" s="2" t="n">
        <v>135</v>
      </c>
      <c r="C139" s="11" t="n">
        <v>15925</v>
      </c>
      <c r="D139" s="2" t="n">
        <v>144075</v>
      </c>
      <c r="E139" s="11" t="n">
        <f aca="false">'Color clustering'!E139</f>
        <v>9</v>
      </c>
      <c r="F139" s="13" t="n">
        <f aca="false">'Color clustering'!F139</f>
        <v>159991</v>
      </c>
      <c r="G139" s="25" t="n">
        <f aca="false">'Color clustering'!G139</f>
        <v>15927</v>
      </c>
      <c r="H139" s="12" t="n">
        <f aca="false">'Color clustering'!H139</f>
        <v>144073</v>
      </c>
      <c r="I139" s="25" t="n">
        <f aca="false">'Color classification'!E139</f>
        <v>8</v>
      </c>
      <c r="J139" s="13" t="n">
        <f aca="false">'Color classification'!F139</f>
        <v>159992</v>
      </c>
      <c r="K139" s="25" t="n">
        <f aca="false">'Color classification'!G139</f>
        <v>15928</v>
      </c>
      <c r="L139" s="12" t="n">
        <f aca="false">'Color classification'!H139</f>
        <v>144072</v>
      </c>
    </row>
    <row r="140" customFormat="false" ht="15" hidden="false" customHeight="false" outlineLevel="0" collapsed="false">
      <c r="A140" s="7"/>
      <c r="B140" s="2" t="n">
        <v>136</v>
      </c>
      <c r="C140" s="11" t="n">
        <v>15925</v>
      </c>
      <c r="D140" s="2" t="n">
        <v>144075</v>
      </c>
      <c r="E140" s="11" t="n">
        <f aca="false">'Color clustering'!E140</f>
        <v>26</v>
      </c>
      <c r="F140" s="13" t="n">
        <f aca="false">'Color clustering'!F140</f>
        <v>159974</v>
      </c>
      <c r="G140" s="25" t="n">
        <f aca="false">'Color clustering'!G140</f>
        <v>15937</v>
      </c>
      <c r="H140" s="12" t="n">
        <f aca="false">'Color clustering'!H140</f>
        <v>144063</v>
      </c>
      <c r="I140" s="25" t="n">
        <f aca="false">'Color classification'!E140</f>
        <v>75</v>
      </c>
      <c r="J140" s="13" t="n">
        <f aca="false">'Color classification'!F140</f>
        <v>159925</v>
      </c>
      <c r="K140" s="25" t="n">
        <f aca="false">'Color classification'!G140</f>
        <v>15928</v>
      </c>
      <c r="L140" s="12" t="n">
        <f aca="false">'Color classification'!H140</f>
        <v>144072</v>
      </c>
    </row>
    <row r="141" customFormat="false" ht="15" hidden="false" customHeight="false" outlineLevel="0" collapsed="false">
      <c r="A141" s="7"/>
      <c r="B141" s="2" t="n">
        <v>137</v>
      </c>
      <c r="C141" s="11" t="n">
        <v>15925</v>
      </c>
      <c r="D141" s="2" t="n">
        <v>144075</v>
      </c>
      <c r="E141" s="11" t="n">
        <f aca="false">'Color clustering'!E141</f>
        <v>5</v>
      </c>
      <c r="F141" s="13" t="n">
        <f aca="false">'Color clustering'!F141</f>
        <v>159995</v>
      </c>
      <c r="G141" s="25" t="n">
        <f aca="false">'Color clustering'!G141</f>
        <v>16011</v>
      </c>
      <c r="H141" s="12" t="n">
        <f aca="false">'Color clustering'!H141</f>
        <v>143989</v>
      </c>
      <c r="I141" s="25" t="n">
        <f aca="false">'Color classification'!E141</f>
        <v>15</v>
      </c>
      <c r="J141" s="13" t="n">
        <f aca="false">'Color classification'!F141</f>
        <v>159985</v>
      </c>
      <c r="K141" s="25" t="n">
        <f aca="false">'Color classification'!G141</f>
        <v>15928</v>
      </c>
      <c r="L141" s="12" t="n">
        <f aca="false">'Color classification'!H141</f>
        <v>144072</v>
      </c>
    </row>
    <row r="142" customFormat="false" ht="15" hidden="false" customHeight="false" outlineLevel="0" collapsed="false">
      <c r="A142" s="7"/>
      <c r="B142" s="2" t="n">
        <v>138</v>
      </c>
      <c r="C142" s="11" t="n">
        <v>15925</v>
      </c>
      <c r="D142" s="2" t="n">
        <v>144075</v>
      </c>
      <c r="E142" s="11" t="n">
        <f aca="false">'Color clustering'!E142</f>
        <v>2</v>
      </c>
      <c r="F142" s="13" t="n">
        <f aca="false">'Color clustering'!F142</f>
        <v>159998</v>
      </c>
      <c r="G142" s="25" t="n">
        <f aca="false">'Color clustering'!G142</f>
        <v>15929</v>
      </c>
      <c r="H142" s="12" t="n">
        <f aca="false">'Color clustering'!H142</f>
        <v>144071</v>
      </c>
      <c r="I142" s="25" t="n">
        <f aca="false">'Color classification'!E142</f>
        <v>0</v>
      </c>
      <c r="J142" s="13" t="n">
        <f aca="false">'Color classification'!F142</f>
        <v>160000</v>
      </c>
      <c r="K142" s="25" t="n">
        <f aca="false">'Color classification'!G142</f>
        <v>15929</v>
      </c>
      <c r="L142" s="12" t="n">
        <f aca="false">'Color classification'!H142</f>
        <v>144071</v>
      </c>
    </row>
    <row r="143" customFormat="false" ht="15" hidden="false" customHeight="false" outlineLevel="0" collapsed="false">
      <c r="A143" s="7"/>
      <c r="B143" s="2" t="n">
        <v>139</v>
      </c>
      <c r="C143" s="11" t="n">
        <v>15925</v>
      </c>
      <c r="D143" s="2" t="n">
        <v>144075</v>
      </c>
      <c r="E143" s="11" t="n">
        <f aca="false">'Color clustering'!E143</f>
        <v>6</v>
      </c>
      <c r="F143" s="13" t="n">
        <f aca="false">'Color clustering'!F143</f>
        <v>159994</v>
      </c>
      <c r="G143" s="25" t="n">
        <f aca="false">'Color clustering'!G143</f>
        <v>15929</v>
      </c>
      <c r="H143" s="12" t="n">
        <f aca="false">'Color clustering'!H143</f>
        <v>144071</v>
      </c>
      <c r="I143" s="25" t="n">
        <f aca="false">'Color classification'!E143</f>
        <v>53</v>
      </c>
      <c r="J143" s="13" t="n">
        <f aca="false">'Color classification'!F143</f>
        <v>159947</v>
      </c>
      <c r="K143" s="25" t="n">
        <f aca="false">'Color classification'!G143</f>
        <v>15929</v>
      </c>
      <c r="L143" s="12" t="n">
        <f aca="false">'Color classification'!H143</f>
        <v>144071</v>
      </c>
    </row>
    <row r="144" customFormat="false" ht="15" hidden="false" customHeight="false" outlineLevel="0" collapsed="false">
      <c r="A144" s="7"/>
      <c r="B144" s="2" t="n">
        <v>140</v>
      </c>
      <c r="C144" s="11" t="n">
        <v>15925</v>
      </c>
      <c r="D144" s="2" t="n">
        <v>144075</v>
      </c>
      <c r="E144" s="11" t="n">
        <f aca="false">'Color clustering'!E144</f>
        <v>26</v>
      </c>
      <c r="F144" s="13" t="n">
        <f aca="false">'Color clustering'!F144</f>
        <v>159974</v>
      </c>
      <c r="G144" s="25" t="n">
        <f aca="false">'Color clustering'!G144</f>
        <v>15946</v>
      </c>
      <c r="H144" s="12" t="n">
        <f aca="false">'Color clustering'!H144</f>
        <v>144054</v>
      </c>
      <c r="I144" s="25" t="n">
        <f aca="false">'Color classification'!E144</f>
        <v>434</v>
      </c>
      <c r="J144" s="13" t="n">
        <f aca="false">'Color classification'!F144</f>
        <v>159566</v>
      </c>
      <c r="K144" s="25" t="n">
        <f aca="false">'Color classification'!G144</f>
        <v>15935</v>
      </c>
      <c r="L144" s="12" t="n">
        <f aca="false">'Color classification'!H144</f>
        <v>144065</v>
      </c>
    </row>
    <row r="145" customFormat="false" ht="15" hidden="false" customHeight="false" outlineLevel="0" collapsed="false">
      <c r="A145" s="7"/>
      <c r="B145" s="2" t="n">
        <v>141</v>
      </c>
      <c r="C145" s="11" t="n">
        <v>15925</v>
      </c>
      <c r="D145" s="2" t="n">
        <v>144075</v>
      </c>
      <c r="E145" s="11" t="n">
        <f aca="false">'Color clustering'!E145</f>
        <v>1107</v>
      </c>
      <c r="F145" s="13" t="n">
        <f aca="false">'Color clustering'!F145</f>
        <v>158893</v>
      </c>
      <c r="G145" s="25" t="n">
        <f aca="false">'Color clustering'!G145</f>
        <v>15928</v>
      </c>
      <c r="H145" s="12" t="n">
        <f aca="false">'Color clustering'!H145</f>
        <v>144072</v>
      </c>
      <c r="I145" s="25" t="n">
        <f aca="false">'Color classification'!E145</f>
        <v>26</v>
      </c>
      <c r="J145" s="13" t="n">
        <f aca="false">'Color classification'!F145</f>
        <v>159974</v>
      </c>
      <c r="K145" s="25" t="n">
        <f aca="false">'Color classification'!G145</f>
        <v>15929</v>
      </c>
      <c r="L145" s="12" t="n">
        <f aca="false">'Color classification'!H145</f>
        <v>144071</v>
      </c>
    </row>
    <row r="146" customFormat="false" ht="15" hidden="false" customHeight="false" outlineLevel="0" collapsed="false">
      <c r="A146" s="7"/>
      <c r="B146" s="2" t="n">
        <v>142</v>
      </c>
      <c r="C146" s="11" t="n">
        <v>15925</v>
      </c>
      <c r="D146" s="2" t="n">
        <v>144075</v>
      </c>
      <c r="E146" s="11" t="n">
        <f aca="false">'Color clustering'!E146</f>
        <v>2</v>
      </c>
      <c r="F146" s="13" t="n">
        <f aca="false">'Color clustering'!F146</f>
        <v>159998</v>
      </c>
      <c r="G146" s="25" t="n">
        <f aca="false">'Color clustering'!G146</f>
        <v>15927</v>
      </c>
      <c r="H146" s="12" t="n">
        <f aca="false">'Color clustering'!H146</f>
        <v>144073</v>
      </c>
      <c r="I146" s="25" t="n">
        <f aca="false">'Color classification'!E146</f>
        <v>2</v>
      </c>
      <c r="J146" s="13" t="n">
        <f aca="false">'Color classification'!F146</f>
        <v>159998</v>
      </c>
      <c r="K146" s="25" t="n">
        <f aca="false">'Color classification'!G146</f>
        <v>15929</v>
      </c>
      <c r="L146" s="12" t="n">
        <f aca="false">'Color classification'!H146</f>
        <v>144071</v>
      </c>
    </row>
    <row r="147" customFormat="false" ht="15" hidden="false" customHeight="false" outlineLevel="0" collapsed="false">
      <c r="A147" s="7"/>
      <c r="B147" s="2" t="n">
        <v>143</v>
      </c>
      <c r="C147" s="11" t="n">
        <v>15925</v>
      </c>
      <c r="D147" s="2" t="n">
        <v>144075</v>
      </c>
      <c r="E147" s="11" t="n">
        <f aca="false">'Color clustering'!E147</f>
        <v>7</v>
      </c>
      <c r="F147" s="13" t="n">
        <f aca="false">'Color clustering'!F147</f>
        <v>159993</v>
      </c>
      <c r="G147" s="25" t="n">
        <f aca="false">'Color clustering'!G147</f>
        <v>15927</v>
      </c>
      <c r="H147" s="12" t="n">
        <f aca="false">'Color clustering'!H147</f>
        <v>144073</v>
      </c>
      <c r="I147" s="25" t="n">
        <f aca="false">'Color classification'!E147</f>
        <v>2</v>
      </c>
      <c r="J147" s="13" t="n">
        <f aca="false">'Color classification'!F147</f>
        <v>159998</v>
      </c>
      <c r="K147" s="25" t="n">
        <f aca="false">'Color classification'!G147</f>
        <v>15929</v>
      </c>
      <c r="L147" s="12" t="n">
        <f aca="false">'Color classification'!H147</f>
        <v>144071</v>
      </c>
    </row>
    <row r="148" customFormat="false" ht="15" hidden="false" customHeight="false" outlineLevel="0" collapsed="false">
      <c r="A148" s="7"/>
      <c r="B148" s="2" t="n">
        <v>144</v>
      </c>
      <c r="C148" s="11" t="n">
        <v>15925</v>
      </c>
      <c r="D148" s="2" t="n">
        <v>144075</v>
      </c>
      <c r="E148" s="11" t="n">
        <f aca="false">'Color clustering'!E148</f>
        <v>7</v>
      </c>
      <c r="F148" s="13" t="n">
        <f aca="false">'Color clustering'!F148</f>
        <v>159993</v>
      </c>
      <c r="G148" s="25" t="n">
        <f aca="false">'Color clustering'!G148</f>
        <v>15927</v>
      </c>
      <c r="H148" s="12" t="n">
        <f aca="false">'Color clustering'!H148</f>
        <v>144073</v>
      </c>
      <c r="I148" s="25" t="n">
        <f aca="false">'Color classification'!E148</f>
        <v>0</v>
      </c>
      <c r="J148" s="13" t="n">
        <f aca="false">'Color classification'!F148</f>
        <v>160000</v>
      </c>
      <c r="K148" s="25" t="n">
        <f aca="false">'Color classification'!G148</f>
        <v>15928</v>
      </c>
      <c r="L148" s="12" t="n">
        <f aca="false">'Color classification'!H148</f>
        <v>144072</v>
      </c>
    </row>
    <row r="149" customFormat="false" ht="15" hidden="false" customHeight="false" outlineLevel="0" collapsed="false">
      <c r="A149" s="7"/>
      <c r="B149" s="2" t="n">
        <v>145</v>
      </c>
      <c r="C149" s="11" t="n">
        <v>15925</v>
      </c>
      <c r="D149" s="2" t="n">
        <v>144075</v>
      </c>
      <c r="E149" s="11" t="n">
        <f aca="false">'Color clustering'!E149</f>
        <v>93</v>
      </c>
      <c r="F149" s="13" t="n">
        <f aca="false">'Color clustering'!F149</f>
        <v>159907</v>
      </c>
      <c r="G149" s="25" t="n">
        <f aca="false">'Color clustering'!G149</f>
        <v>15926</v>
      </c>
      <c r="H149" s="12" t="n">
        <f aca="false">'Color clustering'!H149</f>
        <v>144074</v>
      </c>
      <c r="I149" s="25" t="n">
        <f aca="false">'Color classification'!E149</f>
        <v>13</v>
      </c>
      <c r="J149" s="13" t="n">
        <f aca="false">'Color classification'!F149</f>
        <v>159987</v>
      </c>
      <c r="K149" s="25" t="n">
        <f aca="false">'Color classification'!G149</f>
        <v>15928</v>
      </c>
      <c r="L149" s="12" t="n">
        <f aca="false">'Color classification'!H149</f>
        <v>144072</v>
      </c>
    </row>
    <row r="150" customFormat="false" ht="15" hidden="false" customHeight="false" outlineLevel="0" collapsed="false">
      <c r="A150" s="7"/>
      <c r="B150" s="2" t="n">
        <v>146</v>
      </c>
      <c r="C150" s="11" t="n">
        <v>15925</v>
      </c>
      <c r="D150" s="2" t="n">
        <v>144075</v>
      </c>
      <c r="E150" s="11" t="n">
        <f aca="false">'Color clustering'!E150</f>
        <v>3</v>
      </c>
      <c r="F150" s="13" t="n">
        <f aca="false">'Color clustering'!F150</f>
        <v>159997</v>
      </c>
      <c r="G150" s="25" t="n">
        <f aca="false">'Color clustering'!G150</f>
        <v>15928</v>
      </c>
      <c r="H150" s="12" t="n">
        <f aca="false">'Color clustering'!H150</f>
        <v>144072</v>
      </c>
      <c r="I150" s="25" t="n">
        <f aca="false">'Color classification'!E150</f>
        <v>303</v>
      </c>
      <c r="J150" s="13" t="n">
        <f aca="false">'Color classification'!F150</f>
        <v>159697</v>
      </c>
      <c r="K150" s="25" t="n">
        <f aca="false">'Color classification'!G150</f>
        <v>15929</v>
      </c>
      <c r="L150" s="12" t="n">
        <f aca="false">'Color classification'!H150</f>
        <v>144071</v>
      </c>
    </row>
    <row r="151" customFormat="false" ht="15" hidden="false" customHeight="false" outlineLevel="0" collapsed="false">
      <c r="A151" s="7"/>
      <c r="B151" s="2" t="n">
        <v>147</v>
      </c>
      <c r="C151" s="11" t="n">
        <v>15925</v>
      </c>
      <c r="D151" s="2" t="n">
        <v>144075</v>
      </c>
      <c r="E151" s="11" t="n">
        <f aca="false">'Color clustering'!E151</f>
        <v>6</v>
      </c>
      <c r="F151" s="13" t="n">
        <f aca="false">'Color clustering'!F151</f>
        <v>159994</v>
      </c>
      <c r="G151" s="25" t="n">
        <f aca="false">'Color clustering'!G151</f>
        <v>15928</v>
      </c>
      <c r="H151" s="12" t="n">
        <f aca="false">'Color clustering'!H151</f>
        <v>144072</v>
      </c>
      <c r="I151" s="25" t="n">
        <f aca="false">'Color classification'!E151</f>
        <v>78</v>
      </c>
      <c r="J151" s="13" t="n">
        <f aca="false">'Color classification'!F151</f>
        <v>159922</v>
      </c>
      <c r="K151" s="25" t="n">
        <f aca="false">'Color classification'!G151</f>
        <v>15929</v>
      </c>
      <c r="L151" s="12" t="n">
        <f aca="false">'Color classification'!H151</f>
        <v>144071</v>
      </c>
    </row>
    <row r="152" customFormat="false" ht="15" hidden="false" customHeight="false" outlineLevel="0" collapsed="false">
      <c r="A152" s="7"/>
      <c r="B152" s="2" t="n">
        <v>148</v>
      </c>
      <c r="C152" s="11" t="n">
        <v>15925</v>
      </c>
      <c r="D152" s="2" t="n">
        <v>144075</v>
      </c>
      <c r="E152" s="11" t="n">
        <f aca="false">'Color clustering'!E152</f>
        <v>4</v>
      </c>
      <c r="F152" s="13" t="n">
        <f aca="false">'Color clustering'!F152</f>
        <v>159996</v>
      </c>
      <c r="G152" s="25" t="n">
        <f aca="false">'Color clustering'!G152</f>
        <v>15928</v>
      </c>
      <c r="H152" s="12" t="n">
        <f aca="false">'Color clustering'!H152</f>
        <v>144072</v>
      </c>
      <c r="I152" s="25" t="n">
        <f aca="false">'Color classification'!E152</f>
        <v>56</v>
      </c>
      <c r="J152" s="13" t="n">
        <f aca="false">'Color classification'!F152</f>
        <v>159944</v>
      </c>
      <c r="K152" s="25" t="n">
        <f aca="false">'Color classification'!G152</f>
        <v>15929</v>
      </c>
      <c r="L152" s="12" t="n">
        <f aca="false">'Color classification'!H152</f>
        <v>144071</v>
      </c>
    </row>
    <row r="153" customFormat="false" ht="15" hidden="false" customHeight="false" outlineLevel="0" collapsed="false">
      <c r="A153" s="7"/>
      <c r="B153" s="2" t="n">
        <v>149</v>
      </c>
      <c r="C153" s="11" t="n">
        <v>15925</v>
      </c>
      <c r="D153" s="2" t="n">
        <v>144075</v>
      </c>
      <c r="E153" s="11" t="n">
        <f aca="false">'Color clustering'!E153</f>
        <v>8</v>
      </c>
      <c r="F153" s="13" t="n">
        <f aca="false">'Color clustering'!F153</f>
        <v>159992</v>
      </c>
      <c r="G153" s="25" t="n">
        <f aca="false">'Color clustering'!G153</f>
        <v>15929</v>
      </c>
      <c r="H153" s="12" t="n">
        <f aca="false">'Color clustering'!H153</f>
        <v>144071</v>
      </c>
      <c r="I153" s="25" t="n">
        <f aca="false">'Color classification'!E153</f>
        <v>555</v>
      </c>
      <c r="J153" s="13" t="n">
        <f aca="false">'Color classification'!F153</f>
        <v>159445</v>
      </c>
      <c r="K153" s="25" t="n">
        <f aca="false">'Color classification'!G153</f>
        <v>15930</v>
      </c>
      <c r="L153" s="12" t="n">
        <f aca="false">'Color classification'!H153</f>
        <v>144070</v>
      </c>
    </row>
    <row r="154" customFormat="false" ht="15" hidden="false" customHeight="false" outlineLevel="0" collapsed="false">
      <c r="A154" s="7"/>
      <c r="B154" s="2" t="n">
        <v>150</v>
      </c>
      <c r="C154" s="11" t="n">
        <v>15925</v>
      </c>
      <c r="D154" s="2" t="n">
        <v>144075</v>
      </c>
      <c r="E154" s="11" t="n">
        <f aca="false">'Color clustering'!E154</f>
        <v>5</v>
      </c>
      <c r="F154" s="13" t="n">
        <f aca="false">'Color clustering'!F154</f>
        <v>159995</v>
      </c>
      <c r="G154" s="25" t="n">
        <f aca="false">'Color clustering'!G154</f>
        <v>15928</v>
      </c>
      <c r="H154" s="12" t="n">
        <f aca="false">'Color clustering'!H154</f>
        <v>144072</v>
      </c>
      <c r="I154" s="25" t="n">
        <f aca="false">'Color classification'!E154</f>
        <v>13</v>
      </c>
      <c r="J154" s="13" t="n">
        <f aca="false">'Color classification'!F154</f>
        <v>159987</v>
      </c>
      <c r="K154" s="25" t="n">
        <f aca="false">'Color classification'!G154</f>
        <v>15930</v>
      </c>
      <c r="L154" s="12" t="n">
        <f aca="false">'Color classification'!H154</f>
        <v>144070</v>
      </c>
    </row>
    <row r="155" customFormat="false" ht="15" hidden="false" customHeight="false" outlineLevel="0" collapsed="false">
      <c r="A155" s="7"/>
      <c r="B155" s="2" t="n">
        <v>151</v>
      </c>
      <c r="C155" s="11" t="n">
        <v>15925</v>
      </c>
      <c r="D155" s="2" t="n">
        <v>144075</v>
      </c>
      <c r="E155" s="11" t="n">
        <f aca="false">'Color clustering'!E155</f>
        <v>7</v>
      </c>
      <c r="F155" s="13" t="n">
        <f aca="false">'Color clustering'!F155</f>
        <v>159993</v>
      </c>
      <c r="G155" s="25" t="n">
        <f aca="false">'Color clustering'!G155</f>
        <v>15940</v>
      </c>
      <c r="H155" s="12" t="n">
        <f aca="false">'Color clustering'!H155</f>
        <v>144060</v>
      </c>
      <c r="I155" s="25" t="n">
        <f aca="false">'Color classification'!E155</f>
        <v>49</v>
      </c>
      <c r="J155" s="13" t="n">
        <f aca="false">'Color classification'!F155</f>
        <v>159951</v>
      </c>
      <c r="K155" s="25" t="n">
        <f aca="false">'Color classification'!G155</f>
        <v>15931</v>
      </c>
      <c r="L155" s="12" t="n">
        <f aca="false">'Color classification'!H155</f>
        <v>144069</v>
      </c>
    </row>
    <row r="156" customFormat="false" ht="15" hidden="false" customHeight="false" outlineLevel="0" collapsed="false">
      <c r="A156" s="7"/>
      <c r="B156" s="2" t="n">
        <v>152</v>
      </c>
      <c r="C156" s="11" t="n">
        <v>15925</v>
      </c>
      <c r="D156" s="2" t="n">
        <v>144075</v>
      </c>
      <c r="E156" s="11" t="n">
        <f aca="false">'Color clustering'!E156</f>
        <v>1465</v>
      </c>
      <c r="F156" s="13" t="n">
        <f aca="false">'Color clustering'!F156</f>
        <v>158535</v>
      </c>
      <c r="G156" s="25" t="n">
        <f aca="false">'Color clustering'!G156</f>
        <v>15929</v>
      </c>
      <c r="H156" s="12" t="n">
        <f aca="false">'Color clustering'!H156</f>
        <v>144071</v>
      </c>
      <c r="I156" s="25" t="n">
        <f aca="false">'Color classification'!E156</f>
        <v>61</v>
      </c>
      <c r="J156" s="13" t="n">
        <f aca="false">'Color classification'!F156</f>
        <v>159939</v>
      </c>
      <c r="K156" s="25" t="n">
        <f aca="false">'Color classification'!G156</f>
        <v>15928</v>
      </c>
      <c r="L156" s="12" t="n">
        <f aca="false">'Color classification'!H156</f>
        <v>144072</v>
      </c>
    </row>
    <row r="157" customFormat="false" ht="15" hidden="false" customHeight="false" outlineLevel="0" collapsed="false">
      <c r="A157" s="7"/>
      <c r="B157" s="2" t="n">
        <v>153</v>
      </c>
      <c r="C157" s="11" t="n">
        <v>15925</v>
      </c>
      <c r="D157" s="2" t="n">
        <v>144075</v>
      </c>
      <c r="E157" s="11" t="n">
        <f aca="false">'Color clustering'!E157</f>
        <v>32</v>
      </c>
      <c r="F157" s="13" t="n">
        <f aca="false">'Color clustering'!F157</f>
        <v>159968</v>
      </c>
      <c r="G157" s="25" t="n">
        <f aca="false">'Color clustering'!G157</f>
        <v>15929</v>
      </c>
      <c r="H157" s="12" t="n">
        <f aca="false">'Color clustering'!H157</f>
        <v>144071</v>
      </c>
      <c r="I157" s="25" t="n">
        <f aca="false">'Color classification'!E157</f>
        <v>11</v>
      </c>
      <c r="J157" s="13" t="n">
        <f aca="false">'Color classification'!F157</f>
        <v>159989</v>
      </c>
      <c r="K157" s="25" t="n">
        <f aca="false">'Color classification'!G157</f>
        <v>15927</v>
      </c>
      <c r="L157" s="12" t="n">
        <f aca="false">'Color classification'!H157</f>
        <v>144073</v>
      </c>
    </row>
    <row r="158" customFormat="false" ht="15" hidden="false" customHeight="false" outlineLevel="0" collapsed="false">
      <c r="A158" s="7"/>
      <c r="B158" s="2" t="n">
        <v>154</v>
      </c>
      <c r="C158" s="11" t="n">
        <v>15925</v>
      </c>
      <c r="D158" s="2" t="n">
        <v>144075</v>
      </c>
      <c r="E158" s="11" t="n">
        <f aca="false">'Color clustering'!E158</f>
        <v>64</v>
      </c>
      <c r="F158" s="13" t="n">
        <f aca="false">'Color clustering'!F158</f>
        <v>159936</v>
      </c>
      <c r="G158" s="25" t="n">
        <f aca="false">'Color clustering'!G158</f>
        <v>15929</v>
      </c>
      <c r="H158" s="12" t="n">
        <f aca="false">'Color clustering'!H158</f>
        <v>144071</v>
      </c>
      <c r="I158" s="25" t="n">
        <f aca="false">'Color classification'!E158</f>
        <v>5</v>
      </c>
      <c r="J158" s="13" t="n">
        <f aca="false">'Color classification'!F158</f>
        <v>159995</v>
      </c>
      <c r="K158" s="25" t="n">
        <f aca="false">'Color classification'!G158</f>
        <v>15927</v>
      </c>
      <c r="L158" s="12" t="n">
        <f aca="false">'Color classification'!H158</f>
        <v>144073</v>
      </c>
    </row>
    <row r="159" customFormat="false" ht="15" hidden="false" customHeight="false" outlineLevel="0" collapsed="false">
      <c r="A159" s="7"/>
      <c r="B159" s="2" t="n">
        <v>155</v>
      </c>
      <c r="C159" s="11" t="n">
        <v>15925</v>
      </c>
      <c r="D159" s="2" t="n">
        <v>144075</v>
      </c>
      <c r="E159" s="11" t="n">
        <f aca="false">'Color clustering'!E159</f>
        <v>365</v>
      </c>
      <c r="F159" s="13" t="n">
        <f aca="false">'Color clustering'!F159</f>
        <v>159635</v>
      </c>
      <c r="G159" s="25" t="n">
        <f aca="false">'Color clustering'!G159</f>
        <v>15928</v>
      </c>
      <c r="H159" s="12" t="n">
        <f aca="false">'Color clustering'!H159</f>
        <v>144072</v>
      </c>
      <c r="I159" s="25" t="n">
        <f aca="false">'Color classification'!E159</f>
        <v>13</v>
      </c>
      <c r="J159" s="13" t="n">
        <f aca="false">'Color classification'!F159</f>
        <v>159987</v>
      </c>
      <c r="K159" s="25" t="n">
        <f aca="false">'Color classification'!G159</f>
        <v>15927</v>
      </c>
      <c r="L159" s="12" t="n">
        <f aca="false">'Color classification'!H159</f>
        <v>144073</v>
      </c>
    </row>
    <row r="160" customFormat="false" ht="15" hidden="false" customHeight="false" outlineLevel="0" collapsed="false">
      <c r="A160" s="7"/>
      <c r="B160" s="2" t="n">
        <v>156</v>
      </c>
      <c r="C160" s="11" t="n">
        <v>15925</v>
      </c>
      <c r="D160" s="2" t="n">
        <v>144075</v>
      </c>
      <c r="E160" s="11" t="n">
        <f aca="false">'Color clustering'!E160</f>
        <v>5</v>
      </c>
      <c r="F160" s="13" t="n">
        <f aca="false">'Color clustering'!F160</f>
        <v>159995</v>
      </c>
      <c r="G160" s="25" t="n">
        <f aca="false">'Color clustering'!G160</f>
        <v>15928</v>
      </c>
      <c r="H160" s="12" t="n">
        <f aca="false">'Color clustering'!H160</f>
        <v>144072</v>
      </c>
      <c r="I160" s="25" t="n">
        <f aca="false">'Color classification'!E160</f>
        <v>10</v>
      </c>
      <c r="J160" s="13" t="n">
        <f aca="false">'Color classification'!F160</f>
        <v>159990</v>
      </c>
      <c r="K160" s="25" t="n">
        <f aca="false">'Color classification'!G160</f>
        <v>15928</v>
      </c>
      <c r="L160" s="12" t="n">
        <f aca="false">'Color classification'!H160</f>
        <v>144072</v>
      </c>
    </row>
    <row r="161" customFormat="false" ht="15" hidden="false" customHeight="false" outlineLevel="0" collapsed="false">
      <c r="A161" s="7"/>
      <c r="B161" s="2" t="n">
        <v>157</v>
      </c>
      <c r="C161" s="11" t="n">
        <v>15925</v>
      </c>
      <c r="D161" s="2" t="n">
        <v>144075</v>
      </c>
      <c r="E161" s="11" t="n">
        <f aca="false">'Color clustering'!E161</f>
        <v>799</v>
      </c>
      <c r="F161" s="13" t="n">
        <f aca="false">'Color clustering'!F161</f>
        <v>159201</v>
      </c>
      <c r="G161" s="25" t="n">
        <f aca="false">'Color clustering'!G161</f>
        <v>15928</v>
      </c>
      <c r="H161" s="12" t="n">
        <f aca="false">'Color clustering'!H161</f>
        <v>144072</v>
      </c>
      <c r="I161" s="25" t="n">
        <f aca="false">'Color classification'!E161</f>
        <v>7</v>
      </c>
      <c r="J161" s="13" t="n">
        <f aca="false">'Color classification'!F161</f>
        <v>159993</v>
      </c>
      <c r="K161" s="25" t="n">
        <f aca="false">'Color classification'!G161</f>
        <v>15927</v>
      </c>
      <c r="L161" s="12" t="n">
        <f aca="false">'Color classification'!H161</f>
        <v>144073</v>
      </c>
    </row>
    <row r="162" customFormat="false" ht="15" hidden="false" customHeight="false" outlineLevel="0" collapsed="false">
      <c r="A162" s="7"/>
      <c r="B162" s="2" t="n">
        <v>158</v>
      </c>
      <c r="C162" s="11" t="n">
        <v>15925</v>
      </c>
      <c r="D162" s="2" t="n">
        <v>144075</v>
      </c>
      <c r="E162" s="11" t="n">
        <f aca="false">'Color clustering'!E162</f>
        <v>12</v>
      </c>
      <c r="F162" s="13" t="n">
        <f aca="false">'Color clustering'!F162</f>
        <v>159988</v>
      </c>
      <c r="G162" s="25" t="n">
        <f aca="false">'Color clustering'!G162</f>
        <v>15928</v>
      </c>
      <c r="H162" s="12" t="n">
        <f aca="false">'Color clustering'!H162</f>
        <v>144072</v>
      </c>
      <c r="I162" s="25" t="n">
        <f aca="false">'Color classification'!E162</f>
        <v>706</v>
      </c>
      <c r="J162" s="13" t="n">
        <f aca="false">'Color classification'!F162</f>
        <v>159294</v>
      </c>
      <c r="K162" s="25" t="n">
        <f aca="false">'Color classification'!G162</f>
        <v>15926</v>
      </c>
      <c r="L162" s="12" t="n">
        <f aca="false">'Color classification'!H162</f>
        <v>144074</v>
      </c>
    </row>
    <row r="163" customFormat="false" ht="15" hidden="false" customHeight="false" outlineLevel="0" collapsed="false">
      <c r="A163" s="7"/>
      <c r="B163" s="2" t="n">
        <v>159</v>
      </c>
      <c r="C163" s="11" t="n">
        <v>15925</v>
      </c>
      <c r="D163" s="2" t="n">
        <v>144075</v>
      </c>
      <c r="E163" s="11" t="n">
        <f aca="false">'Color clustering'!E163</f>
        <v>87</v>
      </c>
      <c r="F163" s="13" t="n">
        <f aca="false">'Color clustering'!F163</f>
        <v>159913</v>
      </c>
      <c r="G163" s="25" t="n">
        <f aca="false">'Color clustering'!G163</f>
        <v>15927</v>
      </c>
      <c r="H163" s="12" t="n">
        <f aca="false">'Color clustering'!H163</f>
        <v>144073</v>
      </c>
      <c r="I163" s="25" t="n">
        <f aca="false">'Color classification'!E163</f>
        <v>22</v>
      </c>
      <c r="J163" s="13" t="n">
        <f aca="false">'Color classification'!F163</f>
        <v>159978</v>
      </c>
      <c r="K163" s="25" t="n">
        <f aca="false">'Color classification'!G163</f>
        <v>15926</v>
      </c>
      <c r="L163" s="12" t="n">
        <f aca="false">'Color classification'!H163</f>
        <v>144074</v>
      </c>
    </row>
    <row r="164" customFormat="false" ht="15" hidden="false" customHeight="false" outlineLevel="0" collapsed="false">
      <c r="A164" s="7"/>
      <c r="B164" s="2" t="n">
        <v>160</v>
      </c>
      <c r="C164" s="11" t="n">
        <v>15925</v>
      </c>
      <c r="D164" s="2" t="n">
        <v>144075</v>
      </c>
      <c r="E164" s="11" t="n">
        <f aca="false">'Color clustering'!E164</f>
        <v>26</v>
      </c>
      <c r="F164" s="13" t="n">
        <f aca="false">'Color clustering'!F164</f>
        <v>159974</v>
      </c>
      <c r="G164" s="25" t="n">
        <f aca="false">'Color clustering'!G164</f>
        <v>15929</v>
      </c>
      <c r="H164" s="12" t="n">
        <f aca="false">'Color clustering'!H164</f>
        <v>144071</v>
      </c>
      <c r="I164" s="25" t="n">
        <f aca="false">'Color classification'!E164</f>
        <v>8</v>
      </c>
      <c r="J164" s="13" t="n">
        <f aca="false">'Color classification'!F164</f>
        <v>159992</v>
      </c>
      <c r="K164" s="25" t="n">
        <f aca="false">'Color classification'!G164</f>
        <v>15928</v>
      </c>
      <c r="L164" s="12" t="n">
        <f aca="false">'Color classification'!H164</f>
        <v>144072</v>
      </c>
    </row>
    <row r="165" customFormat="false" ht="15" hidden="false" customHeight="false" outlineLevel="0" collapsed="false">
      <c r="A165" s="7"/>
      <c r="B165" s="2" t="n">
        <v>161</v>
      </c>
      <c r="C165" s="11" t="n">
        <v>15925</v>
      </c>
      <c r="D165" s="2" t="n">
        <v>144075</v>
      </c>
      <c r="E165" s="11" t="n">
        <f aca="false">'Color clustering'!E165</f>
        <v>427</v>
      </c>
      <c r="F165" s="13" t="n">
        <f aca="false">'Color clustering'!F165</f>
        <v>159573</v>
      </c>
      <c r="G165" s="25" t="n">
        <f aca="false">'Color clustering'!G165</f>
        <v>15928</v>
      </c>
      <c r="H165" s="12" t="n">
        <f aca="false">'Color clustering'!H165</f>
        <v>144072</v>
      </c>
      <c r="I165" s="25" t="n">
        <f aca="false">'Color classification'!E165</f>
        <v>6</v>
      </c>
      <c r="J165" s="13" t="n">
        <f aca="false">'Color classification'!F165</f>
        <v>159994</v>
      </c>
      <c r="K165" s="25" t="n">
        <f aca="false">'Color classification'!G165</f>
        <v>15928</v>
      </c>
      <c r="L165" s="12" t="n">
        <f aca="false">'Color classification'!H165</f>
        <v>144072</v>
      </c>
    </row>
    <row r="166" customFormat="false" ht="15" hidden="false" customHeight="false" outlineLevel="0" collapsed="false">
      <c r="A166" s="7"/>
      <c r="B166" s="2" t="n">
        <v>162</v>
      </c>
      <c r="C166" s="11" t="n">
        <v>15925</v>
      </c>
      <c r="D166" s="2" t="n">
        <v>144075</v>
      </c>
      <c r="E166" s="11" t="n">
        <f aca="false">'Color clustering'!E166</f>
        <v>284</v>
      </c>
      <c r="F166" s="13" t="n">
        <f aca="false">'Color clustering'!F166</f>
        <v>159716</v>
      </c>
      <c r="G166" s="25" t="n">
        <f aca="false">'Color clustering'!G166</f>
        <v>15927</v>
      </c>
      <c r="H166" s="12" t="n">
        <f aca="false">'Color clustering'!H166</f>
        <v>144073</v>
      </c>
      <c r="I166" s="25" t="n">
        <f aca="false">'Color classification'!E166</f>
        <v>66</v>
      </c>
      <c r="J166" s="13" t="n">
        <f aca="false">'Color classification'!F166</f>
        <v>159934</v>
      </c>
      <c r="K166" s="25" t="n">
        <f aca="false">'Color classification'!G166</f>
        <v>15928</v>
      </c>
      <c r="L166" s="12" t="n">
        <f aca="false">'Color classification'!H166</f>
        <v>144072</v>
      </c>
    </row>
    <row r="167" customFormat="false" ht="15" hidden="false" customHeight="false" outlineLevel="0" collapsed="false">
      <c r="A167" s="7"/>
      <c r="B167" s="2" t="n">
        <v>163</v>
      </c>
      <c r="C167" s="11" t="n">
        <v>15925</v>
      </c>
      <c r="D167" s="2" t="n">
        <v>144075</v>
      </c>
      <c r="E167" s="11" t="n">
        <f aca="false">'Color clustering'!E167</f>
        <v>2</v>
      </c>
      <c r="F167" s="13" t="n">
        <f aca="false">'Color clustering'!F167</f>
        <v>159998</v>
      </c>
      <c r="G167" s="25" t="n">
        <f aca="false">'Color clustering'!G167</f>
        <v>15928</v>
      </c>
      <c r="H167" s="12" t="n">
        <f aca="false">'Color clustering'!H167</f>
        <v>144072</v>
      </c>
      <c r="I167" s="25" t="n">
        <f aca="false">'Color classification'!E167</f>
        <v>8</v>
      </c>
      <c r="J167" s="13" t="n">
        <f aca="false">'Color classification'!F167</f>
        <v>159992</v>
      </c>
      <c r="K167" s="25" t="n">
        <f aca="false">'Color classification'!G167</f>
        <v>15929</v>
      </c>
      <c r="L167" s="12" t="n">
        <f aca="false">'Color classification'!H167</f>
        <v>144071</v>
      </c>
    </row>
    <row r="168" customFormat="false" ht="15" hidden="false" customHeight="false" outlineLevel="0" collapsed="false">
      <c r="A168" s="7"/>
      <c r="B168" s="2" t="n">
        <v>164</v>
      </c>
      <c r="C168" s="11" t="n">
        <v>15925</v>
      </c>
      <c r="D168" s="2" t="n">
        <v>144075</v>
      </c>
      <c r="E168" s="11" t="n">
        <f aca="false">'Color clustering'!E168</f>
        <v>20</v>
      </c>
      <c r="F168" s="13" t="n">
        <f aca="false">'Color clustering'!F168</f>
        <v>159980</v>
      </c>
      <c r="G168" s="25" t="n">
        <f aca="false">'Color clustering'!G168</f>
        <v>15928</v>
      </c>
      <c r="H168" s="12" t="n">
        <f aca="false">'Color clustering'!H168</f>
        <v>144072</v>
      </c>
      <c r="I168" s="25" t="n">
        <f aca="false">'Color classification'!E168</f>
        <v>4</v>
      </c>
      <c r="J168" s="13" t="n">
        <f aca="false">'Color classification'!F168</f>
        <v>159996</v>
      </c>
      <c r="K168" s="25" t="n">
        <f aca="false">'Color classification'!G168</f>
        <v>15930</v>
      </c>
      <c r="L168" s="12" t="n">
        <f aca="false">'Color classification'!H168</f>
        <v>144070</v>
      </c>
    </row>
    <row r="169" customFormat="false" ht="15" hidden="false" customHeight="false" outlineLevel="0" collapsed="false">
      <c r="A169" s="7"/>
      <c r="B169" s="2" t="n">
        <v>165</v>
      </c>
      <c r="C169" s="11" t="n">
        <v>15925</v>
      </c>
      <c r="D169" s="2" t="n">
        <v>144075</v>
      </c>
      <c r="E169" s="11" t="n">
        <f aca="false">'Color clustering'!E169</f>
        <v>10</v>
      </c>
      <c r="F169" s="13" t="n">
        <f aca="false">'Color clustering'!F169</f>
        <v>159990</v>
      </c>
      <c r="G169" s="25" t="n">
        <f aca="false">'Color clustering'!G169</f>
        <v>15928</v>
      </c>
      <c r="H169" s="12" t="n">
        <f aca="false">'Color clustering'!H169</f>
        <v>144072</v>
      </c>
      <c r="I169" s="25" t="n">
        <f aca="false">'Color classification'!E169</f>
        <v>8</v>
      </c>
      <c r="J169" s="13" t="n">
        <f aca="false">'Color classification'!F169</f>
        <v>159992</v>
      </c>
      <c r="K169" s="25" t="n">
        <f aca="false">'Color classification'!G169</f>
        <v>15930</v>
      </c>
      <c r="L169" s="12" t="n">
        <f aca="false">'Color classification'!H169</f>
        <v>144070</v>
      </c>
    </row>
    <row r="170" customFormat="false" ht="15" hidden="false" customHeight="false" outlineLevel="0" collapsed="false">
      <c r="A170" s="7"/>
      <c r="B170" s="2" t="n">
        <v>166</v>
      </c>
      <c r="C170" s="11" t="n">
        <v>15925</v>
      </c>
      <c r="D170" s="2" t="n">
        <v>144075</v>
      </c>
      <c r="E170" s="11" t="n">
        <f aca="false">'Color clustering'!E170</f>
        <v>4</v>
      </c>
      <c r="F170" s="13" t="n">
        <f aca="false">'Color clustering'!F170</f>
        <v>159996</v>
      </c>
      <c r="G170" s="25" t="n">
        <f aca="false">'Color clustering'!G170</f>
        <v>15928</v>
      </c>
      <c r="H170" s="12" t="n">
        <f aca="false">'Color clustering'!H170</f>
        <v>144072</v>
      </c>
      <c r="I170" s="25" t="n">
        <f aca="false">'Color classification'!E170</f>
        <v>6</v>
      </c>
      <c r="J170" s="13" t="n">
        <f aca="false">'Color classification'!F170</f>
        <v>159994</v>
      </c>
      <c r="K170" s="25" t="n">
        <f aca="false">'Color classification'!G170</f>
        <v>15930</v>
      </c>
      <c r="L170" s="12" t="n">
        <f aca="false">'Color classification'!H170</f>
        <v>144070</v>
      </c>
    </row>
    <row r="171" customFormat="false" ht="15" hidden="false" customHeight="false" outlineLevel="0" collapsed="false">
      <c r="A171" s="7"/>
      <c r="B171" s="2" t="n">
        <v>167</v>
      </c>
      <c r="C171" s="11" t="n">
        <v>15925</v>
      </c>
      <c r="D171" s="2" t="n">
        <v>144075</v>
      </c>
      <c r="E171" s="11" t="n">
        <f aca="false">'Color clustering'!E171</f>
        <v>5</v>
      </c>
      <c r="F171" s="13" t="n">
        <f aca="false">'Color clustering'!F171</f>
        <v>159995</v>
      </c>
      <c r="G171" s="25" t="n">
        <f aca="false">'Color clustering'!G171</f>
        <v>15938</v>
      </c>
      <c r="H171" s="12" t="n">
        <f aca="false">'Color clustering'!H171</f>
        <v>144062</v>
      </c>
      <c r="I171" s="25" t="n">
        <f aca="false">'Color classification'!E171</f>
        <v>135</v>
      </c>
      <c r="J171" s="13" t="n">
        <f aca="false">'Color classification'!F171</f>
        <v>159865</v>
      </c>
      <c r="K171" s="25" t="n">
        <f aca="false">'Color classification'!G171</f>
        <v>15924</v>
      </c>
      <c r="L171" s="12" t="n">
        <f aca="false">'Color classification'!H171</f>
        <v>144076</v>
      </c>
    </row>
    <row r="172" customFormat="false" ht="15" hidden="false" customHeight="false" outlineLevel="0" collapsed="false">
      <c r="A172" s="7"/>
      <c r="B172" s="2" t="n">
        <v>168</v>
      </c>
      <c r="C172" s="11" t="n">
        <v>15925</v>
      </c>
      <c r="D172" s="2" t="n">
        <v>144075</v>
      </c>
      <c r="E172" s="11" t="n">
        <f aca="false">'Color clustering'!E172</f>
        <v>7</v>
      </c>
      <c r="F172" s="13" t="n">
        <f aca="false">'Color clustering'!F172</f>
        <v>159993</v>
      </c>
      <c r="G172" s="25" t="n">
        <f aca="false">'Color clustering'!G172</f>
        <v>15929</v>
      </c>
      <c r="H172" s="12" t="n">
        <f aca="false">'Color clustering'!H172</f>
        <v>144071</v>
      </c>
      <c r="I172" s="25" t="n">
        <f aca="false">'Color classification'!E172</f>
        <v>5</v>
      </c>
      <c r="J172" s="13" t="n">
        <f aca="false">'Color classification'!F172</f>
        <v>159995</v>
      </c>
      <c r="K172" s="25" t="n">
        <f aca="false">'Color classification'!G172</f>
        <v>15929</v>
      </c>
      <c r="L172" s="12" t="n">
        <f aca="false">'Color classification'!H172</f>
        <v>144071</v>
      </c>
    </row>
    <row r="173" customFormat="false" ht="15" hidden="false" customHeight="false" outlineLevel="0" collapsed="false">
      <c r="A173" s="7"/>
      <c r="B173" s="2" t="n">
        <v>169</v>
      </c>
      <c r="C173" s="11" t="n">
        <v>15925</v>
      </c>
      <c r="D173" s="2" t="n">
        <v>144075</v>
      </c>
      <c r="E173" s="11" t="n">
        <f aca="false">'Color clustering'!E173</f>
        <v>60</v>
      </c>
      <c r="F173" s="13" t="n">
        <f aca="false">'Color clustering'!F173</f>
        <v>159940</v>
      </c>
      <c r="G173" s="25" t="n">
        <f aca="false">'Color clustering'!G173</f>
        <v>15942</v>
      </c>
      <c r="H173" s="12" t="n">
        <f aca="false">'Color clustering'!H173</f>
        <v>144058</v>
      </c>
      <c r="I173" s="25" t="n">
        <f aca="false">'Color classification'!E173</f>
        <v>20</v>
      </c>
      <c r="J173" s="13" t="n">
        <f aca="false">'Color classification'!F173</f>
        <v>159980</v>
      </c>
      <c r="K173" s="25" t="n">
        <f aca="false">'Color classification'!G173</f>
        <v>15933</v>
      </c>
      <c r="L173" s="12" t="n">
        <f aca="false">'Color classification'!H173</f>
        <v>144067</v>
      </c>
    </row>
    <row r="174" customFormat="false" ht="15" hidden="false" customHeight="false" outlineLevel="0" collapsed="false">
      <c r="A174" s="7"/>
      <c r="B174" s="2" t="n">
        <v>170</v>
      </c>
      <c r="C174" s="11" t="n">
        <v>15925</v>
      </c>
      <c r="D174" s="2" t="n">
        <v>144075</v>
      </c>
      <c r="E174" s="11" t="n">
        <f aca="false">'Color clustering'!E174</f>
        <v>8</v>
      </c>
      <c r="F174" s="13" t="n">
        <f aca="false">'Color clustering'!F174</f>
        <v>159992</v>
      </c>
      <c r="G174" s="25" t="n">
        <f aca="false">'Color clustering'!G174</f>
        <v>15928</v>
      </c>
      <c r="H174" s="12" t="n">
        <f aca="false">'Color clustering'!H174</f>
        <v>144072</v>
      </c>
      <c r="I174" s="25" t="n">
        <f aca="false">'Color classification'!E174</f>
        <v>21</v>
      </c>
      <c r="J174" s="13" t="n">
        <f aca="false">'Color classification'!F174</f>
        <v>159979</v>
      </c>
      <c r="K174" s="25" t="n">
        <f aca="false">'Color classification'!G174</f>
        <v>15929</v>
      </c>
      <c r="L174" s="12" t="n">
        <f aca="false">'Color classification'!H174</f>
        <v>144071</v>
      </c>
    </row>
    <row r="175" customFormat="false" ht="15" hidden="false" customHeight="false" outlineLevel="0" collapsed="false">
      <c r="A175" s="7"/>
      <c r="B175" s="2" t="n">
        <v>171</v>
      </c>
      <c r="C175" s="11" t="n">
        <v>15925</v>
      </c>
      <c r="D175" s="2" t="n">
        <v>144075</v>
      </c>
      <c r="E175" s="11" t="n">
        <f aca="false">'Color clustering'!E175</f>
        <v>8</v>
      </c>
      <c r="F175" s="13" t="n">
        <f aca="false">'Color clustering'!F175</f>
        <v>159992</v>
      </c>
      <c r="G175" s="25" t="n">
        <f aca="false">'Color clustering'!G175</f>
        <v>15928</v>
      </c>
      <c r="H175" s="12" t="n">
        <f aca="false">'Color clustering'!H175</f>
        <v>144072</v>
      </c>
      <c r="I175" s="25" t="n">
        <f aca="false">'Color classification'!E175</f>
        <v>7</v>
      </c>
      <c r="J175" s="13" t="n">
        <f aca="false">'Color classification'!F175</f>
        <v>159993</v>
      </c>
      <c r="K175" s="25" t="n">
        <f aca="false">'Color classification'!G175</f>
        <v>15929</v>
      </c>
      <c r="L175" s="12" t="n">
        <f aca="false">'Color classification'!H175</f>
        <v>144071</v>
      </c>
    </row>
    <row r="176" customFormat="false" ht="15" hidden="false" customHeight="false" outlineLevel="0" collapsed="false">
      <c r="A176" s="7"/>
      <c r="B176" s="2" t="n">
        <v>172</v>
      </c>
      <c r="C176" s="11" t="n">
        <v>15925</v>
      </c>
      <c r="D176" s="2" t="n">
        <v>144075</v>
      </c>
      <c r="E176" s="11" t="n">
        <f aca="false">'Color clustering'!E176</f>
        <v>29</v>
      </c>
      <c r="F176" s="13" t="n">
        <f aca="false">'Color clustering'!F176</f>
        <v>159971</v>
      </c>
      <c r="G176" s="25" t="n">
        <f aca="false">'Color clustering'!G176</f>
        <v>15925</v>
      </c>
      <c r="H176" s="12" t="n">
        <f aca="false">'Color clustering'!H176</f>
        <v>144075</v>
      </c>
      <c r="I176" s="25" t="n">
        <f aca="false">'Color classification'!E176</f>
        <v>16</v>
      </c>
      <c r="J176" s="13" t="n">
        <f aca="false">'Color classification'!F176</f>
        <v>159984</v>
      </c>
      <c r="K176" s="25" t="n">
        <f aca="false">'Color classification'!G176</f>
        <v>15927</v>
      </c>
      <c r="L176" s="12" t="n">
        <f aca="false">'Color classification'!H176</f>
        <v>144073</v>
      </c>
    </row>
    <row r="177" customFormat="false" ht="15" hidden="false" customHeight="false" outlineLevel="0" collapsed="false">
      <c r="A177" s="7"/>
      <c r="B177" s="2" t="n">
        <v>173</v>
      </c>
      <c r="C177" s="11" t="n">
        <v>15925</v>
      </c>
      <c r="D177" s="2" t="n">
        <v>144075</v>
      </c>
      <c r="E177" s="11" t="n">
        <f aca="false">'Color clustering'!E177</f>
        <v>6</v>
      </c>
      <c r="F177" s="13" t="n">
        <f aca="false">'Color clustering'!F177</f>
        <v>159994</v>
      </c>
      <c r="G177" s="25" t="n">
        <f aca="false">'Color clustering'!G177</f>
        <v>15928</v>
      </c>
      <c r="H177" s="12" t="n">
        <f aca="false">'Color clustering'!H177</f>
        <v>144072</v>
      </c>
      <c r="I177" s="25" t="n">
        <f aca="false">'Color classification'!E177</f>
        <v>7</v>
      </c>
      <c r="J177" s="13" t="n">
        <f aca="false">'Color classification'!F177</f>
        <v>159993</v>
      </c>
      <c r="K177" s="25" t="n">
        <f aca="false">'Color classification'!G177</f>
        <v>15928</v>
      </c>
      <c r="L177" s="12" t="n">
        <f aca="false">'Color classification'!H177</f>
        <v>144072</v>
      </c>
    </row>
    <row r="178" customFormat="false" ht="15" hidden="false" customHeight="false" outlineLevel="0" collapsed="false">
      <c r="A178" s="7"/>
      <c r="B178" s="2" t="n">
        <v>174</v>
      </c>
      <c r="C178" s="11" t="n">
        <v>15925</v>
      </c>
      <c r="D178" s="2" t="n">
        <v>144075</v>
      </c>
      <c r="E178" s="11" t="n">
        <f aca="false">'Color clustering'!E178</f>
        <v>4</v>
      </c>
      <c r="F178" s="13" t="n">
        <f aca="false">'Color clustering'!F178</f>
        <v>159996</v>
      </c>
      <c r="G178" s="25" t="n">
        <f aca="false">'Color clustering'!G178</f>
        <v>15928</v>
      </c>
      <c r="H178" s="12" t="n">
        <f aca="false">'Color clustering'!H178</f>
        <v>144072</v>
      </c>
      <c r="I178" s="25" t="n">
        <f aca="false">'Color classification'!E178</f>
        <v>5</v>
      </c>
      <c r="J178" s="13" t="n">
        <f aca="false">'Color classification'!F178</f>
        <v>159995</v>
      </c>
      <c r="K178" s="25" t="n">
        <f aca="false">'Color classification'!G178</f>
        <v>15928</v>
      </c>
      <c r="L178" s="12" t="n">
        <f aca="false">'Color classification'!H178</f>
        <v>144072</v>
      </c>
    </row>
    <row r="179" customFormat="false" ht="15" hidden="false" customHeight="false" outlineLevel="0" collapsed="false">
      <c r="A179" s="7"/>
      <c r="B179" s="2" t="n">
        <v>175</v>
      </c>
      <c r="C179" s="11" t="n">
        <v>15925</v>
      </c>
      <c r="D179" s="2" t="n">
        <v>144075</v>
      </c>
      <c r="E179" s="11" t="n">
        <f aca="false">'Color clustering'!E179</f>
        <v>7</v>
      </c>
      <c r="F179" s="13" t="n">
        <f aca="false">'Color clustering'!F179</f>
        <v>159993</v>
      </c>
      <c r="G179" s="25" t="n">
        <f aca="false">'Color clustering'!G179</f>
        <v>15928</v>
      </c>
      <c r="H179" s="12" t="n">
        <f aca="false">'Color clustering'!H179</f>
        <v>144072</v>
      </c>
      <c r="I179" s="25" t="n">
        <f aca="false">'Color classification'!E179</f>
        <v>2</v>
      </c>
      <c r="J179" s="13" t="n">
        <f aca="false">'Color classification'!F179</f>
        <v>159998</v>
      </c>
      <c r="K179" s="25" t="n">
        <f aca="false">'Color classification'!G179</f>
        <v>15928</v>
      </c>
      <c r="L179" s="12" t="n">
        <f aca="false">'Color classification'!H179</f>
        <v>144072</v>
      </c>
    </row>
    <row r="180" customFormat="false" ht="15" hidden="false" customHeight="false" outlineLevel="0" collapsed="false">
      <c r="A180" s="7"/>
      <c r="B180" s="2" t="n">
        <v>176</v>
      </c>
      <c r="C180" s="11" t="n">
        <v>15925</v>
      </c>
      <c r="D180" s="2" t="n">
        <v>144075</v>
      </c>
      <c r="E180" s="11" t="n">
        <f aca="false">'Color clustering'!E180</f>
        <v>5</v>
      </c>
      <c r="F180" s="13" t="n">
        <f aca="false">'Color clustering'!F180</f>
        <v>159995</v>
      </c>
      <c r="G180" s="25" t="n">
        <f aca="false">'Color clustering'!G180</f>
        <v>15929</v>
      </c>
      <c r="H180" s="12" t="n">
        <f aca="false">'Color clustering'!H180</f>
        <v>144071</v>
      </c>
      <c r="I180" s="25" t="n">
        <f aca="false">'Color classification'!E180</f>
        <v>3</v>
      </c>
      <c r="J180" s="13" t="n">
        <f aca="false">'Color classification'!F180</f>
        <v>159997</v>
      </c>
      <c r="K180" s="25" t="n">
        <f aca="false">'Color classification'!G180</f>
        <v>15928</v>
      </c>
      <c r="L180" s="12" t="n">
        <f aca="false">'Color classification'!H180</f>
        <v>144072</v>
      </c>
    </row>
    <row r="181" customFormat="false" ht="15" hidden="false" customHeight="false" outlineLevel="0" collapsed="false">
      <c r="A181" s="7"/>
      <c r="B181" s="2" t="n">
        <v>177</v>
      </c>
      <c r="C181" s="11" t="n">
        <v>15925</v>
      </c>
      <c r="D181" s="2" t="n">
        <v>144075</v>
      </c>
      <c r="E181" s="11" t="n">
        <f aca="false">'Color clustering'!E181</f>
        <v>9</v>
      </c>
      <c r="F181" s="13" t="n">
        <f aca="false">'Color clustering'!F181</f>
        <v>159991</v>
      </c>
      <c r="G181" s="25" t="n">
        <f aca="false">'Color clustering'!G181</f>
        <v>15929</v>
      </c>
      <c r="H181" s="12" t="n">
        <f aca="false">'Color clustering'!H181</f>
        <v>144071</v>
      </c>
      <c r="I181" s="25" t="n">
        <f aca="false">'Color classification'!E181</f>
        <v>8</v>
      </c>
      <c r="J181" s="13" t="n">
        <f aca="false">'Color classification'!F181</f>
        <v>159992</v>
      </c>
      <c r="K181" s="25" t="n">
        <f aca="false">'Color classification'!G181</f>
        <v>15929</v>
      </c>
      <c r="L181" s="12" t="n">
        <f aca="false">'Color classification'!H181</f>
        <v>144071</v>
      </c>
    </row>
    <row r="182" customFormat="false" ht="15" hidden="false" customHeight="false" outlineLevel="0" collapsed="false">
      <c r="A182" s="7"/>
      <c r="B182" s="2" t="n">
        <v>178</v>
      </c>
      <c r="C182" s="11" t="n">
        <v>15925</v>
      </c>
      <c r="D182" s="2" t="n">
        <v>144075</v>
      </c>
      <c r="E182" s="11" t="n">
        <f aca="false">'Color clustering'!E182</f>
        <v>12</v>
      </c>
      <c r="F182" s="13" t="n">
        <f aca="false">'Color clustering'!F182</f>
        <v>159988</v>
      </c>
      <c r="G182" s="25" t="n">
        <f aca="false">'Color clustering'!G182</f>
        <v>15929</v>
      </c>
      <c r="H182" s="12" t="n">
        <f aca="false">'Color clustering'!H182</f>
        <v>144071</v>
      </c>
      <c r="I182" s="25" t="n">
        <f aca="false">'Color classification'!E182</f>
        <v>6</v>
      </c>
      <c r="J182" s="13" t="n">
        <f aca="false">'Color classification'!F182</f>
        <v>159994</v>
      </c>
      <c r="K182" s="25" t="n">
        <f aca="false">'Color classification'!G182</f>
        <v>15929</v>
      </c>
      <c r="L182" s="12" t="n">
        <f aca="false">'Color classification'!H182</f>
        <v>144071</v>
      </c>
    </row>
    <row r="183" customFormat="false" ht="15" hidden="false" customHeight="false" outlineLevel="0" collapsed="false">
      <c r="A183" s="7"/>
      <c r="B183" s="2" t="n">
        <v>179</v>
      </c>
      <c r="C183" s="11" t="n">
        <v>15925</v>
      </c>
      <c r="D183" s="2" t="n">
        <v>144075</v>
      </c>
      <c r="E183" s="11" t="n">
        <f aca="false">'Color clustering'!E183</f>
        <v>44</v>
      </c>
      <c r="F183" s="13" t="n">
        <f aca="false">'Color clustering'!F183</f>
        <v>159956</v>
      </c>
      <c r="G183" s="25" t="n">
        <f aca="false">'Color clustering'!G183</f>
        <v>16012</v>
      </c>
      <c r="H183" s="12" t="n">
        <f aca="false">'Color clustering'!H183</f>
        <v>143988</v>
      </c>
      <c r="I183" s="25" t="n">
        <f aca="false">'Color classification'!E183</f>
        <v>44</v>
      </c>
      <c r="J183" s="13" t="n">
        <f aca="false">'Color classification'!F183</f>
        <v>159956</v>
      </c>
      <c r="K183" s="25" t="n">
        <f aca="false">'Color classification'!G183</f>
        <v>15928</v>
      </c>
      <c r="L183" s="12" t="n">
        <f aca="false">'Color classification'!H183</f>
        <v>144072</v>
      </c>
    </row>
    <row r="184" customFormat="false" ht="15" hidden="false" customHeight="false" outlineLevel="0" collapsed="false">
      <c r="A184" s="7"/>
      <c r="B184" s="2" t="n">
        <v>180</v>
      </c>
      <c r="C184" s="11" t="n">
        <v>15925</v>
      </c>
      <c r="D184" s="2" t="n">
        <v>144075</v>
      </c>
      <c r="E184" s="11" t="n">
        <f aca="false">'Color clustering'!E184</f>
        <v>10</v>
      </c>
      <c r="F184" s="13" t="n">
        <f aca="false">'Color clustering'!F184</f>
        <v>159990</v>
      </c>
      <c r="G184" s="25" t="n">
        <f aca="false">'Color clustering'!G184</f>
        <v>15929</v>
      </c>
      <c r="H184" s="12" t="n">
        <f aca="false">'Color clustering'!H184</f>
        <v>144071</v>
      </c>
      <c r="I184" s="25" t="n">
        <f aca="false">'Color classification'!E184</f>
        <v>722</v>
      </c>
      <c r="J184" s="13" t="n">
        <f aca="false">'Color classification'!F184</f>
        <v>159278</v>
      </c>
      <c r="K184" s="25" t="n">
        <f aca="false">'Color classification'!G184</f>
        <v>15928</v>
      </c>
      <c r="L184" s="12" t="n">
        <f aca="false">'Color classification'!H184</f>
        <v>144072</v>
      </c>
    </row>
    <row r="185" customFormat="false" ht="15" hidden="false" customHeight="false" outlineLevel="0" collapsed="false">
      <c r="A185" s="7"/>
      <c r="B185" s="2" t="n">
        <v>181</v>
      </c>
      <c r="C185" s="11" t="n">
        <v>15925</v>
      </c>
      <c r="D185" s="2" t="n">
        <v>144075</v>
      </c>
      <c r="E185" s="11" t="n">
        <f aca="false">'Color clustering'!E185</f>
        <v>31</v>
      </c>
      <c r="F185" s="13" t="n">
        <f aca="false">'Color clustering'!F185</f>
        <v>159969</v>
      </c>
      <c r="G185" s="25" t="n">
        <f aca="false">'Color clustering'!G185</f>
        <v>15929</v>
      </c>
      <c r="H185" s="12" t="n">
        <f aca="false">'Color clustering'!H185</f>
        <v>144071</v>
      </c>
      <c r="I185" s="25" t="n">
        <f aca="false">'Color classification'!E185</f>
        <v>8</v>
      </c>
      <c r="J185" s="13" t="n">
        <f aca="false">'Color classification'!F185</f>
        <v>159992</v>
      </c>
      <c r="K185" s="25" t="n">
        <f aca="false">'Color classification'!G185</f>
        <v>15928</v>
      </c>
      <c r="L185" s="12" t="n">
        <f aca="false">'Color classification'!H185</f>
        <v>144072</v>
      </c>
    </row>
    <row r="186" customFormat="false" ht="15" hidden="false" customHeight="false" outlineLevel="0" collapsed="false">
      <c r="A186" s="7"/>
      <c r="B186" s="2" t="n">
        <v>182</v>
      </c>
      <c r="C186" s="11" t="n">
        <v>15925</v>
      </c>
      <c r="D186" s="2" t="n">
        <v>144075</v>
      </c>
      <c r="E186" s="11" t="n">
        <f aca="false">'Color clustering'!E186</f>
        <v>30</v>
      </c>
      <c r="F186" s="13" t="n">
        <f aca="false">'Color clustering'!F186</f>
        <v>159970</v>
      </c>
      <c r="G186" s="25" t="n">
        <f aca="false">'Color clustering'!G186</f>
        <v>15928</v>
      </c>
      <c r="H186" s="12" t="n">
        <f aca="false">'Color clustering'!H186</f>
        <v>144072</v>
      </c>
      <c r="I186" s="25" t="n">
        <f aca="false">'Color classification'!E186</f>
        <v>4</v>
      </c>
      <c r="J186" s="13" t="n">
        <f aca="false">'Color classification'!F186</f>
        <v>159996</v>
      </c>
      <c r="K186" s="25" t="n">
        <f aca="false">'Color classification'!G186</f>
        <v>15927</v>
      </c>
      <c r="L186" s="12" t="n">
        <f aca="false">'Color classification'!H186</f>
        <v>144073</v>
      </c>
    </row>
    <row r="187" customFormat="false" ht="15" hidden="false" customHeight="false" outlineLevel="0" collapsed="false">
      <c r="A187" s="7"/>
      <c r="B187" s="2" t="n">
        <v>183</v>
      </c>
      <c r="C187" s="11" t="n">
        <v>15925</v>
      </c>
      <c r="D187" s="2" t="n">
        <v>144075</v>
      </c>
      <c r="E187" s="11" t="n">
        <f aca="false">'Color clustering'!E187</f>
        <v>7</v>
      </c>
      <c r="F187" s="13" t="n">
        <f aca="false">'Color clustering'!F187</f>
        <v>159993</v>
      </c>
      <c r="G187" s="25" t="n">
        <f aca="false">'Color clustering'!G187</f>
        <v>15929</v>
      </c>
      <c r="H187" s="12" t="n">
        <f aca="false">'Color clustering'!H187</f>
        <v>144071</v>
      </c>
      <c r="I187" s="25" t="n">
        <f aca="false">'Color classification'!E187</f>
        <v>16</v>
      </c>
      <c r="J187" s="13" t="n">
        <f aca="false">'Color classification'!F187</f>
        <v>159984</v>
      </c>
      <c r="K187" s="25" t="n">
        <f aca="false">'Color classification'!G187</f>
        <v>15928</v>
      </c>
      <c r="L187" s="12" t="n">
        <f aca="false">'Color classification'!H187</f>
        <v>144072</v>
      </c>
    </row>
    <row r="188" customFormat="false" ht="15" hidden="false" customHeight="false" outlineLevel="0" collapsed="false">
      <c r="A188" s="7"/>
      <c r="B188" s="2" t="n">
        <v>184</v>
      </c>
      <c r="C188" s="11" t="n">
        <v>15925</v>
      </c>
      <c r="D188" s="2" t="n">
        <v>144075</v>
      </c>
      <c r="E188" s="11" t="n">
        <f aca="false">'Color clustering'!E188</f>
        <v>730</v>
      </c>
      <c r="F188" s="13" t="n">
        <f aca="false">'Color clustering'!F188</f>
        <v>159270</v>
      </c>
      <c r="G188" s="25" t="n">
        <f aca="false">'Color clustering'!G188</f>
        <v>15928</v>
      </c>
      <c r="H188" s="12" t="n">
        <f aca="false">'Color clustering'!H188</f>
        <v>144072</v>
      </c>
      <c r="I188" s="25" t="n">
        <f aca="false">'Color classification'!E188</f>
        <v>17</v>
      </c>
      <c r="J188" s="13" t="n">
        <f aca="false">'Color classification'!F188</f>
        <v>159983</v>
      </c>
      <c r="K188" s="25" t="n">
        <f aca="false">'Color classification'!G188</f>
        <v>15927</v>
      </c>
      <c r="L188" s="12" t="n">
        <f aca="false">'Color classification'!H188</f>
        <v>144073</v>
      </c>
    </row>
    <row r="189" customFormat="false" ht="15" hidden="false" customHeight="false" outlineLevel="0" collapsed="false">
      <c r="A189" s="7"/>
      <c r="B189" s="2" t="n">
        <v>185</v>
      </c>
      <c r="C189" s="11" t="n">
        <v>15925</v>
      </c>
      <c r="D189" s="2" t="n">
        <v>144075</v>
      </c>
      <c r="E189" s="11" t="n">
        <f aca="false">'Color clustering'!E189</f>
        <v>11</v>
      </c>
      <c r="F189" s="13" t="n">
        <f aca="false">'Color clustering'!F189</f>
        <v>159989</v>
      </c>
      <c r="G189" s="25" t="n">
        <f aca="false">'Color clustering'!G189</f>
        <v>15939</v>
      </c>
      <c r="H189" s="12" t="n">
        <f aca="false">'Color clustering'!H189</f>
        <v>144061</v>
      </c>
      <c r="I189" s="25" t="n">
        <f aca="false">'Color classification'!E189</f>
        <v>95</v>
      </c>
      <c r="J189" s="13" t="n">
        <f aca="false">'Color classification'!F189</f>
        <v>159905</v>
      </c>
      <c r="K189" s="25" t="n">
        <f aca="false">'Color classification'!G189</f>
        <v>15928</v>
      </c>
      <c r="L189" s="12" t="n">
        <f aca="false">'Color classification'!H189</f>
        <v>144072</v>
      </c>
    </row>
    <row r="190" customFormat="false" ht="15" hidden="false" customHeight="false" outlineLevel="0" collapsed="false">
      <c r="A190" s="7"/>
      <c r="B190" s="2" t="n">
        <v>186</v>
      </c>
      <c r="C190" s="11" t="n">
        <v>15925</v>
      </c>
      <c r="D190" s="2" t="n">
        <v>144075</v>
      </c>
      <c r="E190" s="11" t="n">
        <f aca="false">'Color clustering'!E190</f>
        <v>20</v>
      </c>
      <c r="F190" s="13" t="n">
        <f aca="false">'Color clustering'!F190</f>
        <v>159980</v>
      </c>
      <c r="G190" s="25" t="n">
        <f aca="false">'Color clustering'!G190</f>
        <v>15926</v>
      </c>
      <c r="H190" s="12" t="n">
        <f aca="false">'Color clustering'!H190</f>
        <v>144074</v>
      </c>
      <c r="I190" s="25" t="n">
        <f aca="false">'Color classification'!E190</f>
        <v>8</v>
      </c>
      <c r="J190" s="13" t="n">
        <f aca="false">'Color classification'!F190</f>
        <v>159992</v>
      </c>
      <c r="K190" s="25" t="n">
        <f aca="false">'Color classification'!G190</f>
        <v>15927</v>
      </c>
      <c r="L190" s="12" t="n">
        <f aca="false">'Color classification'!H190</f>
        <v>144073</v>
      </c>
    </row>
    <row r="191" customFormat="false" ht="15" hidden="false" customHeight="false" outlineLevel="0" collapsed="false">
      <c r="A191" s="7"/>
      <c r="B191" s="2" t="n">
        <v>187</v>
      </c>
      <c r="C191" s="11" t="n">
        <v>15925</v>
      </c>
      <c r="D191" s="2" t="n">
        <v>144075</v>
      </c>
      <c r="E191" s="11" t="n">
        <f aca="false">'Color clustering'!E191</f>
        <v>11</v>
      </c>
      <c r="F191" s="13" t="n">
        <f aca="false">'Color clustering'!F191</f>
        <v>159989</v>
      </c>
      <c r="G191" s="25" t="n">
        <f aca="false">'Color clustering'!G191</f>
        <v>15928</v>
      </c>
      <c r="H191" s="12" t="n">
        <f aca="false">'Color clustering'!H191</f>
        <v>144072</v>
      </c>
      <c r="I191" s="25" t="n">
        <f aca="false">'Color classification'!E191</f>
        <v>3</v>
      </c>
      <c r="J191" s="13" t="n">
        <f aca="false">'Color classification'!F191</f>
        <v>159997</v>
      </c>
      <c r="K191" s="25" t="n">
        <f aca="false">'Color classification'!G191</f>
        <v>15927</v>
      </c>
      <c r="L191" s="12" t="n">
        <f aca="false">'Color classification'!H191</f>
        <v>144073</v>
      </c>
    </row>
    <row r="192" customFormat="false" ht="15" hidden="false" customHeight="false" outlineLevel="0" collapsed="false">
      <c r="A192" s="7"/>
      <c r="B192" s="2" t="n">
        <v>188</v>
      </c>
      <c r="C192" s="11" t="n">
        <v>15925</v>
      </c>
      <c r="D192" s="2" t="n">
        <v>144075</v>
      </c>
      <c r="E192" s="11" t="n">
        <f aca="false">'Color clustering'!E192</f>
        <v>67</v>
      </c>
      <c r="F192" s="13" t="n">
        <f aca="false">'Color clustering'!F192</f>
        <v>159933</v>
      </c>
      <c r="G192" s="25" t="n">
        <f aca="false">'Color clustering'!G192</f>
        <v>15928</v>
      </c>
      <c r="H192" s="12" t="n">
        <f aca="false">'Color clustering'!H192</f>
        <v>144072</v>
      </c>
      <c r="I192" s="25" t="n">
        <f aca="false">'Color classification'!E192</f>
        <v>1</v>
      </c>
      <c r="J192" s="13" t="n">
        <f aca="false">'Color classification'!F192</f>
        <v>159999</v>
      </c>
      <c r="K192" s="25" t="n">
        <f aca="false">'Color classification'!G192</f>
        <v>15928</v>
      </c>
      <c r="L192" s="12" t="n">
        <f aca="false">'Color classification'!H192</f>
        <v>144072</v>
      </c>
    </row>
    <row r="193" customFormat="false" ht="15" hidden="false" customHeight="false" outlineLevel="0" collapsed="false">
      <c r="A193" s="7"/>
      <c r="B193" s="2" t="n">
        <v>189</v>
      </c>
      <c r="C193" s="11" t="n">
        <v>15925</v>
      </c>
      <c r="D193" s="2" t="n">
        <v>144075</v>
      </c>
      <c r="E193" s="11" t="n">
        <f aca="false">'Color clustering'!E193</f>
        <v>1104</v>
      </c>
      <c r="F193" s="13" t="n">
        <f aca="false">'Color clustering'!F193</f>
        <v>158896</v>
      </c>
      <c r="G193" s="25" t="n">
        <f aca="false">'Color clustering'!G193</f>
        <v>15929</v>
      </c>
      <c r="H193" s="12" t="n">
        <f aca="false">'Color clustering'!H193</f>
        <v>144071</v>
      </c>
      <c r="I193" s="25" t="n">
        <f aca="false">'Color classification'!E193</f>
        <v>3</v>
      </c>
      <c r="J193" s="13" t="n">
        <f aca="false">'Color classification'!F193</f>
        <v>159997</v>
      </c>
      <c r="K193" s="25" t="n">
        <f aca="false">'Color classification'!G193</f>
        <v>15928</v>
      </c>
      <c r="L193" s="12" t="n">
        <f aca="false">'Color classification'!H193</f>
        <v>144072</v>
      </c>
    </row>
    <row r="194" customFormat="false" ht="15" hidden="false" customHeight="false" outlineLevel="0" collapsed="false">
      <c r="A194" s="7"/>
      <c r="B194" s="2" t="n">
        <v>190</v>
      </c>
      <c r="C194" s="11" t="n">
        <v>15925</v>
      </c>
      <c r="D194" s="2" t="n">
        <v>144075</v>
      </c>
      <c r="E194" s="11" t="n">
        <f aca="false">'Color clustering'!E194</f>
        <v>80</v>
      </c>
      <c r="F194" s="13" t="n">
        <f aca="false">'Color clustering'!F194</f>
        <v>159920</v>
      </c>
      <c r="G194" s="25" t="n">
        <f aca="false">'Color clustering'!G194</f>
        <v>15927</v>
      </c>
      <c r="H194" s="12" t="n">
        <f aca="false">'Color clustering'!H194</f>
        <v>144073</v>
      </c>
      <c r="I194" s="25" t="n">
        <f aca="false">'Color classification'!E194</f>
        <v>17</v>
      </c>
      <c r="J194" s="13" t="n">
        <f aca="false">'Color classification'!F194</f>
        <v>159983</v>
      </c>
      <c r="K194" s="25" t="n">
        <f aca="false">'Color classification'!G194</f>
        <v>15926</v>
      </c>
      <c r="L194" s="12" t="n">
        <f aca="false">'Color classification'!H194</f>
        <v>144074</v>
      </c>
    </row>
    <row r="195" customFormat="false" ht="15" hidden="false" customHeight="false" outlineLevel="0" collapsed="false">
      <c r="A195" s="7"/>
      <c r="B195" s="2" t="n">
        <v>191</v>
      </c>
      <c r="C195" s="11" t="n">
        <v>15925</v>
      </c>
      <c r="D195" s="2" t="n">
        <v>144075</v>
      </c>
      <c r="E195" s="11" t="n">
        <f aca="false">'Color clustering'!E195</f>
        <v>6</v>
      </c>
      <c r="F195" s="13" t="n">
        <f aca="false">'Color clustering'!F195</f>
        <v>159994</v>
      </c>
      <c r="G195" s="25" t="n">
        <f aca="false">'Color clustering'!G195</f>
        <v>15927</v>
      </c>
      <c r="H195" s="12" t="n">
        <f aca="false">'Color clustering'!H195</f>
        <v>144073</v>
      </c>
      <c r="I195" s="25" t="n">
        <f aca="false">'Color classification'!E195</f>
        <v>10</v>
      </c>
      <c r="J195" s="13" t="n">
        <f aca="false">'Color classification'!F195</f>
        <v>159990</v>
      </c>
      <c r="K195" s="25" t="n">
        <f aca="false">'Color classification'!G195</f>
        <v>15928</v>
      </c>
      <c r="L195" s="12" t="n">
        <f aca="false">'Color classification'!H195</f>
        <v>144072</v>
      </c>
    </row>
    <row r="196" customFormat="false" ht="15" hidden="false" customHeight="false" outlineLevel="0" collapsed="false">
      <c r="A196" s="7"/>
      <c r="B196" s="2" t="n">
        <v>192</v>
      </c>
      <c r="C196" s="11" t="n">
        <v>15925</v>
      </c>
      <c r="D196" s="2" t="n">
        <v>144075</v>
      </c>
      <c r="E196" s="11" t="n">
        <f aca="false">'Color clustering'!E196</f>
        <v>1409</v>
      </c>
      <c r="F196" s="13" t="n">
        <f aca="false">'Color clustering'!F196</f>
        <v>158591</v>
      </c>
      <c r="G196" s="25" t="n">
        <f aca="false">'Color clustering'!G196</f>
        <v>15927</v>
      </c>
      <c r="H196" s="12" t="n">
        <f aca="false">'Color clustering'!H196</f>
        <v>144073</v>
      </c>
      <c r="I196" s="25" t="n">
        <f aca="false">'Color classification'!E196</f>
        <v>4</v>
      </c>
      <c r="J196" s="13" t="n">
        <f aca="false">'Color classification'!F196</f>
        <v>159996</v>
      </c>
      <c r="K196" s="25" t="n">
        <f aca="false">'Color classification'!G196</f>
        <v>15928</v>
      </c>
      <c r="L196" s="12" t="n">
        <f aca="false">'Color classification'!H196</f>
        <v>144072</v>
      </c>
    </row>
    <row r="197" customFormat="false" ht="15" hidden="false" customHeight="false" outlineLevel="0" collapsed="false">
      <c r="A197" s="7"/>
      <c r="B197" s="2" t="n">
        <v>193</v>
      </c>
      <c r="C197" s="11" t="n">
        <v>15925</v>
      </c>
      <c r="D197" s="2" t="n">
        <v>144075</v>
      </c>
      <c r="E197" s="11" t="n">
        <f aca="false">'Color clustering'!E197</f>
        <v>747</v>
      </c>
      <c r="F197" s="13" t="n">
        <f aca="false">'Color clustering'!F197</f>
        <v>159253</v>
      </c>
      <c r="G197" s="25" t="n">
        <f aca="false">'Color clustering'!G197</f>
        <v>15927</v>
      </c>
      <c r="H197" s="12" t="n">
        <f aca="false">'Color clustering'!H197</f>
        <v>144073</v>
      </c>
      <c r="I197" s="25" t="n">
        <f aca="false">'Color classification'!E197</f>
        <v>19</v>
      </c>
      <c r="J197" s="13" t="n">
        <f aca="false">'Color classification'!F197</f>
        <v>159981</v>
      </c>
      <c r="K197" s="25" t="n">
        <f aca="false">'Color classification'!G197</f>
        <v>15928</v>
      </c>
      <c r="L197" s="12" t="n">
        <f aca="false">'Color classification'!H197</f>
        <v>144072</v>
      </c>
    </row>
    <row r="198" customFormat="false" ht="15" hidden="false" customHeight="false" outlineLevel="0" collapsed="false">
      <c r="A198" s="7"/>
      <c r="B198" s="2" t="n">
        <v>194</v>
      </c>
      <c r="C198" s="11" t="n">
        <v>15925</v>
      </c>
      <c r="D198" s="2" t="n">
        <v>144075</v>
      </c>
      <c r="E198" s="11" t="n">
        <f aca="false">'Color clustering'!E198</f>
        <v>5</v>
      </c>
      <c r="F198" s="13" t="n">
        <f aca="false">'Color clustering'!F198</f>
        <v>159995</v>
      </c>
      <c r="G198" s="25" t="n">
        <f aca="false">'Color clustering'!G198</f>
        <v>15927</v>
      </c>
      <c r="H198" s="12" t="n">
        <f aca="false">'Color clustering'!H198</f>
        <v>144073</v>
      </c>
      <c r="I198" s="25" t="n">
        <f aca="false">'Color classification'!E198</f>
        <v>815</v>
      </c>
      <c r="J198" s="13" t="n">
        <f aca="false">'Color classification'!F198</f>
        <v>159185</v>
      </c>
      <c r="K198" s="25" t="n">
        <f aca="false">'Color classification'!G198</f>
        <v>15928</v>
      </c>
      <c r="L198" s="12" t="n">
        <f aca="false">'Color classification'!H198</f>
        <v>144072</v>
      </c>
    </row>
    <row r="199" customFormat="false" ht="15" hidden="false" customHeight="false" outlineLevel="0" collapsed="false">
      <c r="A199" s="7"/>
      <c r="B199" s="2" t="n">
        <v>195</v>
      </c>
      <c r="C199" s="11" t="n">
        <v>15925</v>
      </c>
      <c r="D199" s="2" t="n">
        <v>144075</v>
      </c>
      <c r="E199" s="11" t="n">
        <f aca="false">'Color clustering'!E199</f>
        <v>18</v>
      </c>
      <c r="F199" s="13" t="n">
        <f aca="false">'Color clustering'!F199</f>
        <v>159982</v>
      </c>
      <c r="G199" s="25" t="n">
        <f aca="false">'Color clustering'!G199</f>
        <v>15928</v>
      </c>
      <c r="H199" s="12" t="n">
        <f aca="false">'Color clustering'!H199</f>
        <v>144072</v>
      </c>
      <c r="I199" s="25" t="n">
        <f aca="false">'Color classification'!E199</f>
        <v>7</v>
      </c>
      <c r="J199" s="13" t="n">
        <f aca="false">'Color classification'!F199</f>
        <v>159993</v>
      </c>
      <c r="K199" s="25" t="n">
        <f aca="false">'Color classification'!G199</f>
        <v>15927</v>
      </c>
      <c r="L199" s="12" t="n">
        <f aca="false">'Color classification'!H199</f>
        <v>144073</v>
      </c>
    </row>
    <row r="200" customFormat="false" ht="15" hidden="false" customHeight="false" outlineLevel="0" collapsed="false">
      <c r="A200" s="7"/>
      <c r="B200" s="2" t="n">
        <v>196</v>
      </c>
      <c r="C200" s="11" t="n">
        <v>15925</v>
      </c>
      <c r="D200" s="2" t="n">
        <v>144075</v>
      </c>
      <c r="E200" s="11" t="n">
        <f aca="false">'Color clustering'!E200</f>
        <v>682</v>
      </c>
      <c r="F200" s="13" t="n">
        <f aca="false">'Color clustering'!F200</f>
        <v>159318</v>
      </c>
      <c r="G200" s="25" t="n">
        <f aca="false">'Color clustering'!G200</f>
        <v>15930</v>
      </c>
      <c r="H200" s="12" t="n">
        <f aca="false">'Color clustering'!H200</f>
        <v>144070</v>
      </c>
      <c r="I200" s="25" t="n">
        <f aca="false">'Color classification'!E200</f>
        <v>671</v>
      </c>
      <c r="J200" s="13" t="n">
        <f aca="false">'Color classification'!F200</f>
        <v>159329</v>
      </c>
      <c r="K200" s="25" t="n">
        <f aca="false">'Color classification'!G200</f>
        <v>15930</v>
      </c>
      <c r="L200" s="12" t="n">
        <f aca="false">'Color classification'!H200</f>
        <v>144070</v>
      </c>
    </row>
    <row r="201" customFormat="false" ht="15" hidden="false" customHeight="false" outlineLevel="0" collapsed="false">
      <c r="A201" s="7"/>
      <c r="B201" s="2" t="n">
        <v>197</v>
      </c>
      <c r="C201" s="11" t="n">
        <v>15925</v>
      </c>
      <c r="D201" s="2" t="n">
        <v>144075</v>
      </c>
      <c r="E201" s="11" t="n">
        <f aca="false">'Color clustering'!E201</f>
        <v>14</v>
      </c>
      <c r="F201" s="13" t="n">
        <f aca="false">'Color clustering'!F201</f>
        <v>159986</v>
      </c>
      <c r="G201" s="25" t="n">
        <f aca="false">'Color clustering'!G201</f>
        <v>15928</v>
      </c>
      <c r="H201" s="12" t="n">
        <f aca="false">'Color clustering'!H201</f>
        <v>144072</v>
      </c>
      <c r="I201" s="25" t="n">
        <f aca="false">'Color classification'!E201</f>
        <v>23</v>
      </c>
      <c r="J201" s="13" t="n">
        <f aca="false">'Color classification'!F201</f>
        <v>159977</v>
      </c>
      <c r="K201" s="25" t="n">
        <f aca="false">'Color classification'!G201</f>
        <v>15930</v>
      </c>
      <c r="L201" s="12" t="n">
        <f aca="false">'Color classification'!H201</f>
        <v>144070</v>
      </c>
    </row>
    <row r="202" customFormat="false" ht="15" hidden="false" customHeight="false" outlineLevel="0" collapsed="false">
      <c r="A202" s="7"/>
      <c r="B202" s="2" t="n">
        <v>198</v>
      </c>
      <c r="C202" s="11" t="n">
        <v>15925</v>
      </c>
      <c r="D202" s="2" t="n">
        <v>144075</v>
      </c>
      <c r="E202" s="11" t="n">
        <f aca="false">'Color clustering'!E202</f>
        <v>24</v>
      </c>
      <c r="F202" s="13" t="n">
        <f aca="false">'Color clustering'!F202</f>
        <v>159976</v>
      </c>
      <c r="G202" s="25" t="n">
        <f aca="false">'Color clustering'!G202</f>
        <v>15929</v>
      </c>
      <c r="H202" s="12" t="n">
        <f aca="false">'Color clustering'!H202</f>
        <v>144071</v>
      </c>
      <c r="I202" s="25" t="n">
        <f aca="false">'Color classification'!E202</f>
        <v>46</v>
      </c>
      <c r="J202" s="13" t="n">
        <f aca="false">'Color classification'!F202</f>
        <v>159954</v>
      </c>
      <c r="K202" s="25" t="n">
        <f aca="false">'Color classification'!G202</f>
        <v>15928</v>
      </c>
      <c r="L202" s="12" t="n">
        <f aca="false">'Color classification'!H202</f>
        <v>144072</v>
      </c>
    </row>
    <row r="203" customFormat="false" ht="15" hidden="false" customHeight="false" outlineLevel="0" collapsed="false">
      <c r="A203" s="7"/>
      <c r="B203" s="2" t="n">
        <v>199</v>
      </c>
      <c r="C203" s="11" t="n">
        <v>15925</v>
      </c>
      <c r="D203" s="2" t="n">
        <v>144075</v>
      </c>
      <c r="E203" s="11" t="n">
        <f aca="false">'Color clustering'!E203</f>
        <v>155</v>
      </c>
      <c r="F203" s="13" t="n">
        <f aca="false">'Color clustering'!F203</f>
        <v>159845</v>
      </c>
      <c r="G203" s="25" t="n">
        <f aca="false">'Color clustering'!G203</f>
        <v>15928</v>
      </c>
      <c r="H203" s="12" t="n">
        <f aca="false">'Color clustering'!H203</f>
        <v>144072</v>
      </c>
      <c r="I203" s="25" t="n">
        <f aca="false">'Color classification'!E203</f>
        <v>185</v>
      </c>
      <c r="J203" s="13" t="n">
        <f aca="false">'Color classification'!F203</f>
        <v>159815</v>
      </c>
      <c r="K203" s="25" t="n">
        <f aca="false">'Color classification'!G203</f>
        <v>15930</v>
      </c>
      <c r="L203" s="12" t="n">
        <f aca="false">'Color classification'!H203</f>
        <v>144070</v>
      </c>
    </row>
    <row r="204" customFormat="false" ht="15" hidden="false" customHeight="false" outlineLevel="0" collapsed="false">
      <c r="A204" s="7"/>
      <c r="B204" s="14" t="s">
        <v>8</v>
      </c>
      <c r="C204" s="15" t="n">
        <f aca="false">SUM(C4:C203)</f>
        <v>3185000</v>
      </c>
      <c r="D204" s="17" t="n">
        <f aca="false">SUM(D4:D203)</f>
        <v>28815000</v>
      </c>
      <c r="E204" s="15" t="n">
        <f aca="false">SUM(E4:E203)</f>
        <v>41733</v>
      </c>
      <c r="F204" s="18" t="n">
        <f aca="false">SUM(F4:F203)</f>
        <v>31958267</v>
      </c>
      <c r="G204" s="17" t="n">
        <f aca="false">SUM(G4:G203)</f>
        <v>3186867</v>
      </c>
      <c r="H204" s="16" t="n">
        <f aca="false">SUM(H4:H203)</f>
        <v>28813133</v>
      </c>
      <c r="I204" s="17" t="n">
        <f aca="false">SUM(I4:I203)</f>
        <v>49991</v>
      </c>
      <c r="J204" s="18" t="n">
        <f aca="false">SUM(J4:J203)</f>
        <v>31950009</v>
      </c>
      <c r="K204" s="17" t="n">
        <f aca="false">SUM(K4:K203)</f>
        <v>3185873</v>
      </c>
      <c r="L204" s="16" t="n">
        <f aca="false">SUM(L4:L203)</f>
        <v>28814127</v>
      </c>
    </row>
    <row r="209" customFormat="false" ht="15" hidden="false" customHeight="false" outlineLevel="0" collapsed="false">
      <c r="A209" s="2"/>
      <c r="B209" s="19" t="s">
        <v>0</v>
      </c>
      <c r="C209" s="33" t="s">
        <v>16</v>
      </c>
      <c r="D209" s="33"/>
      <c r="E209" s="33"/>
      <c r="F209" s="33"/>
      <c r="G209" s="33"/>
      <c r="H209" s="33"/>
      <c r="I209" s="34" t="s">
        <v>17</v>
      </c>
      <c r="J209" s="34"/>
      <c r="K209" s="34"/>
      <c r="L209" s="34"/>
      <c r="M209" s="34"/>
      <c r="N209" s="34"/>
    </row>
    <row r="210" customFormat="false" ht="15" hidden="false" customHeight="false" outlineLevel="0" collapsed="false">
      <c r="A210" s="2"/>
      <c r="B210" s="19"/>
      <c r="C210" s="35" t="s">
        <v>3</v>
      </c>
      <c r="D210" s="35"/>
      <c r="E210" s="35"/>
      <c r="F210" s="36" t="s">
        <v>4</v>
      </c>
      <c r="G210" s="36"/>
      <c r="H210" s="36"/>
      <c r="I210" s="35" t="s">
        <v>3</v>
      </c>
      <c r="J210" s="35"/>
      <c r="K210" s="35"/>
      <c r="L210" s="37" t="s">
        <v>4</v>
      </c>
      <c r="M210" s="37"/>
      <c r="N210" s="37"/>
    </row>
    <row r="211" customFormat="false" ht="15" hidden="false" customHeight="false" outlineLevel="0" collapsed="false">
      <c r="A211" s="7" t="s">
        <v>15</v>
      </c>
      <c r="B211" s="19"/>
      <c r="C211" s="38" t="str">
        <f aca="false">E3</f>
        <v>#e65a49</v>
      </c>
      <c r="D211" s="39" t="str">
        <f aca="false">F3</f>
        <v>#ffffff</v>
      </c>
      <c r="E211" s="40"/>
      <c r="F211" s="41" t="str">
        <f aca="false">G3</f>
        <v>#e65a49</v>
      </c>
      <c r="G211" s="39" t="str">
        <f aca="false">H3</f>
        <v>#ffffff</v>
      </c>
      <c r="H211" s="42"/>
      <c r="I211" s="38" t="str">
        <f aca="false">I3</f>
        <v>#e65a49</v>
      </c>
      <c r="J211" s="39" t="str">
        <f aca="false">J3</f>
        <v>#ffffff</v>
      </c>
      <c r="K211" s="40"/>
      <c r="L211" s="41" t="str">
        <f aca="false">K3</f>
        <v>#e65a49</v>
      </c>
      <c r="M211" s="39" t="str">
        <f aca="false">L3</f>
        <v>#ffffff</v>
      </c>
      <c r="N211" s="40"/>
    </row>
    <row r="212" customFormat="false" ht="15" hidden="false" customHeight="false" outlineLevel="0" collapsed="false">
      <c r="A212" s="7"/>
      <c r="B212" s="25" t="n">
        <v>0</v>
      </c>
      <c r="C212" s="43" t="n">
        <f aca="false">(ABS(C4-E4)/C4)*100</f>
        <v>0.0502354788069074</v>
      </c>
      <c r="D212" s="44" t="n">
        <f aca="false">(ABS(D4-F4)/D4)*100</f>
        <v>0.00555266354329342</v>
      </c>
      <c r="E212" s="40"/>
      <c r="F212" s="44" t="n">
        <f aca="false">(ABS(C4-G4)/C4)*100</f>
        <v>0.0502354788069074</v>
      </c>
      <c r="G212" s="44" t="n">
        <f aca="false">(ABS(D4-H4)/D4)*100</f>
        <v>0.00555266354329342</v>
      </c>
      <c r="H212" s="42"/>
      <c r="I212" s="43" t="n">
        <f aca="false">(ABS(C4-I4)/C4)*100</f>
        <v>0.0125588697017268</v>
      </c>
      <c r="J212" s="44" t="n">
        <f aca="false">(ABS(D4-J4)/D4)*100</f>
        <v>0.00138816588582336</v>
      </c>
      <c r="K212" s="40"/>
      <c r="L212" s="44" t="n">
        <f aca="false">(ABS(C4-K4)/C4)*100</f>
        <v>0.0125588697017268</v>
      </c>
      <c r="M212" s="44" t="n">
        <f aca="false">(ABS(D4-L4)/D4)*100</f>
        <v>0.00138816588582336</v>
      </c>
      <c r="N212" s="40"/>
    </row>
    <row r="213" customFormat="false" ht="15" hidden="false" customHeight="false" outlineLevel="0" collapsed="false">
      <c r="A213" s="7"/>
      <c r="B213" s="25" t="n">
        <v>1</v>
      </c>
      <c r="C213" s="43" t="n">
        <f aca="false">(ABS(C5-E5)/C5)*100</f>
        <v>96.7472527472527</v>
      </c>
      <c r="D213" s="44" t="n">
        <f aca="false">(ABS(D5-F5)/D5)*100</f>
        <v>10.6937359014402</v>
      </c>
      <c r="E213" s="40"/>
      <c r="F213" s="44" t="n">
        <f aca="false">(ABS(C5-G5)/C5)*100</f>
        <v>0</v>
      </c>
      <c r="G213" s="44" t="n">
        <f aca="false">(ABS(D5-H5)/D5)*100</f>
        <v>0</v>
      </c>
      <c r="H213" s="42"/>
      <c r="I213" s="43" t="n">
        <f aca="false">(ABS(C5-I5)/C5)*100</f>
        <v>99.8555729984302</v>
      </c>
      <c r="J213" s="44" t="n">
        <f aca="false">(ABS(D5-J5)/D5)*100</f>
        <v>11.0373069581815</v>
      </c>
      <c r="K213" s="40"/>
      <c r="L213" s="44" t="n">
        <f aca="false">(ABS(C5-K5)/C5)*100</f>
        <v>0.0125588697017268</v>
      </c>
      <c r="M213" s="44" t="n">
        <f aca="false">(ABS(D5-L5)/D5)*100</f>
        <v>0.00138816588582336</v>
      </c>
      <c r="N213" s="40"/>
    </row>
    <row r="214" customFormat="false" ht="15" hidden="false" customHeight="false" outlineLevel="0" collapsed="false">
      <c r="A214" s="7"/>
      <c r="B214" s="25" t="n">
        <v>2</v>
      </c>
      <c r="C214" s="43" t="n">
        <f aca="false">(ABS(C6-E6)/C6)*100</f>
        <v>99.9748822605965</v>
      </c>
      <c r="D214" s="44" t="n">
        <f aca="false">(ABS(D6-F6)/D6)*100</f>
        <v>11.0504945340968</v>
      </c>
      <c r="E214" s="40"/>
      <c r="F214" s="44" t="n">
        <f aca="false">(ABS(C6-G6)/C6)*100</f>
        <v>0.0251177394034537</v>
      </c>
      <c r="G214" s="44" t="n">
        <f aca="false">(ABS(D6-H6)/D6)*100</f>
        <v>0.00277633177164671</v>
      </c>
      <c r="H214" s="42"/>
      <c r="I214" s="43" t="n">
        <f aca="false">(ABS(C6-I6)/C6)*100</f>
        <v>99.8995290423862</v>
      </c>
      <c r="J214" s="44" t="n">
        <f aca="false">(ABS(D6-J6)/D6)*100</f>
        <v>11.0421655387819</v>
      </c>
      <c r="K214" s="40"/>
      <c r="L214" s="44" t="n">
        <f aca="false">(ABS(C6-K6)/C6)*100</f>
        <v>0.0188383045525903</v>
      </c>
      <c r="M214" s="44" t="n">
        <f aca="false">(ABS(D6-L6)/D6)*100</f>
        <v>0.00208224882873503</v>
      </c>
      <c r="N214" s="40"/>
    </row>
    <row r="215" customFormat="false" ht="15" hidden="false" customHeight="false" outlineLevel="0" collapsed="false">
      <c r="A215" s="7"/>
      <c r="B215" s="25" t="n">
        <v>3</v>
      </c>
      <c r="C215" s="43" t="n">
        <f aca="false">(ABS(C7-E7)/C7)*100</f>
        <v>100</v>
      </c>
      <c r="D215" s="44" t="n">
        <f aca="false">(ABS(D7-F7)/D7)*100</f>
        <v>11.0532708658685</v>
      </c>
      <c r="E215" s="40"/>
      <c r="F215" s="44" t="n">
        <f aca="false">(ABS(C7-G7)/C7)*100</f>
        <v>0.0313971742543171</v>
      </c>
      <c r="G215" s="44" t="n">
        <f aca="false">(ABS(D7-H7)/D7)*100</f>
        <v>0.00347041471455839</v>
      </c>
      <c r="H215" s="42"/>
      <c r="I215" s="43" t="n">
        <f aca="false">(ABS(C7-I7)/C7)*100</f>
        <v>100</v>
      </c>
      <c r="J215" s="44" t="n">
        <f aca="false">(ABS(D7-J7)/D7)*100</f>
        <v>11.0532708658685</v>
      </c>
      <c r="K215" s="40"/>
      <c r="L215" s="44" t="n">
        <f aca="false">(ABS(C7-K7)/C7)*100</f>
        <v>0.0251177394034537</v>
      </c>
      <c r="M215" s="44" t="n">
        <f aca="false">(ABS(D7-L7)/D7)*100</f>
        <v>0.00277633177164671</v>
      </c>
      <c r="N215" s="40"/>
    </row>
    <row r="216" customFormat="false" ht="15" hidden="false" customHeight="false" outlineLevel="0" collapsed="false">
      <c r="A216" s="7"/>
      <c r="B216" s="25" t="n">
        <v>4</v>
      </c>
      <c r="C216" s="43" t="n">
        <f aca="false">(ABS(C8-E8)/C8)*100</f>
        <v>99.7802197802198</v>
      </c>
      <c r="D216" s="44" t="n">
        <f aca="false">(ABS(D8-F8)/D8)*100</f>
        <v>11.0289779628666</v>
      </c>
      <c r="E216" s="40"/>
      <c r="F216" s="44" t="n">
        <f aca="false">(ABS(C8-G8)/C8)*100</f>
        <v>1.07378335949765</v>
      </c>
      <c r="G216" s="44" t="n">
        <f aca="false">(ABS(D8-H8)/D8)*100</f>
        <v>0.118688183237897</v>
      </c>
      <c r="H216" s="42"/>
      <c r="I216" s="43" t="n">
        <f aca="false">(ABS(C8-I8)/C8)*100</f>
        <v>99.9497645211931</v>
      </c>
      <c r="J216" s="44" t="n">
        <f aca="false">(ABS(D8-J8)/D8)*100</f>
        <v>11.0477182023252</v>
      </c>
      <c r="K216" s="40"/>
      <c r="L216" s="44" t="n">
        <f aca="false">(ABS(C8-K8)/C8)*100</f>
        <v>0.00627943485086342</v>
      </c>
      <c r="M216" s="44" t="n">
        <f aca="false">(ABS(D8-L8)/D8)*100</f>
        <v>0.000694082942911678</v>
      </c>
      <c r="N216" s="40"/>
    </row>
    <row r="217" customFormat="false" ht="15" hidden="false" customHeight="false" outlineLevel="0" collapsed="false">
      <c r="A217" s="7"/>
      <c r="B217" s="25" t="n">
        <v>5</v>
      </c>
      <c r="C217" s="43" t="n">
        <f aca="false">(ABS(C9-E9)/C9)*100</f>
        <v>99.9748822605965</v>
      </c>
      <c r="D217" s="44" t="n">
        <f aca="false">(ABS(D9-F9)/D9)*100</f>
        <v>11.0504945340968</v>
      </c>
      <c r="E217" s="40"/>
      <c r="F217" s="44" t="n">
        <f aca="false">(ABS(C9-G9)/C9)*100</f>
        <v>0.0188383045525903</v>
      </c>
      <c r="G217" s="44" t="n">
        <f aca="false">(ABS(D9-H9)/D9)*100</f>
        <v>0.00208224882873503</v>
      </c>
      <c r="H217" s="42"/>
      <c r="I217" s="43" t="n">
        <f aca="false">(ABS(C9-I9)/C9)*100</f>
        <v>99.9686028257457</v>
      </c>
      <c r="J217" s="44" t="n">
        <f aca="false">(ABS(D9-J9)/D9)*100</f>
        <v>11.0498004511539</v>
      </c>
      <c r="K217" s="40"/>
      <c r="L217" s="44" t="n">
        <f aca="false">(ABS(C9-K9)/C9)*100</f>
        <v>0.0251177394034537</v>
      </c>
      <c r="M217" s="44" t="n">
        <f aca="false">(ABS(D9-L9)/D9)*100</f>
        <v>0.00277633177164671</v>
      </c>
      <c r="N217" s="40"/>
    </row>
    <row r="218" customFormat="false" ht="15" hidden="false" customHeight="false" outlineLevel="0" collapsed="false">
      <c r="A218" s="7"/>
      <c r="B218" s="25" t="n">
        <v>6</v>
      </c>
      <c r="C218" s="43" t="n">
        <f aca="false">(ABS(C10-E10)/C10)*100</f>
        <v>100</v>
      </c>
      <c r="D218" s="44" t="n">
        <f aca="false">(ABS(D10-F10)/D10)*100</f>
        <v>11.0532708658685</v>
      </c>
      <c r="E218" s="40"/>
      <c r="F218" s="44" t="n">
        <f aca="false">(ABS(C10-G10)/C10)*100</f>
        <v>0.0313971742543171</v>
      </c>
      <c r="G218" s="44" t="n">
        <f aca="false">(ABS(D10-H10)/D10)*100</f>
        <v>0.00347041471455839</v>
      </c>
      <c r="H218" s="42"/>
      <c r="I218" s="43" t="n">
        <f aca="false">(ABS(C10-I10)/C10)*100</f>
        <v>99.9372056514914</v>
      </c>
      <c r="J218" s="44" t="n">
        <f aca="false">(ABS(D10-J10)/D10)*100</f>
        <v>11.0463300364394</v>
      </c>
      <c r="K218" s="40"/>
      <c r="L218" s="44" t="n">
        <f aca="false">(ABS(C10-K10)/C10)*100</f>
        <v>0.0188383045525903</v>
      </c>
      <c r="M218" s="44" t="n">
        <f aca="false">(ABS(D10-L10)/D10)*100</f>
        <v>0.00208224882873503</v>
      </c>
      <c r="N218" s="40"/>
    </row>
    <row r="219" customFormat="false" ht="15" hidden="false" customHeight="false" outlineLevel="0" collapsed="false">
      <c r="A219" s="7"/>
      <c r="B219" s="25" t="n">
        <v>7</v>
      </c>
      <c r="C219" s="43" t="n">
        <f aca="false">(ABS(C11-E11)/C11)*100</f>
        <v>99.9748822605965</v>
      </c>
      <c r="D219" s="44" t="n">
        <f aca="false">(ABS(D11-F11)/D11)*100</f>
        <v>11.0504945340968</v>
      </c>
      <c r="E219" s="40"/>
      <c r="F219" s="44" t="n">
        <f aca="false">(ABS(C11-G11)/C11)*100</f>
        <v>0.0251177394034537</v>
      </c>
      <c r="G219" s="44" t="n">
        <f aca="false">(ABS(D11-H11)/D11)*100</f>
        <v>0.00277633177164671</v>
      </c>
      <c r="H219" s="42"/>
      <c r="I219" s="43" t="n">
        <f aca="false">(ABS(C11-I11)/C11)*100</f>
        <v>99.9937205651491</v>
      </c>
      <c r="J219" s="44" t="n">
        <f aca="false">(ABS(D11-J11)/D11)*100</f>
        <v>11.0525767829256</v>
      </c>
      <c r="K219" s="40"/>
      <c r="L219" s="44" t="n">
        <f aca="false">(ABS(C11-K11)/C11)*100</f>
        <v>0.0251177394034537</v>
      </c>
      <c r="M219" s="44" t="n">
        <f aca="false">(ABS(D11-L11)/D11)*100</f>
        <v>0.00277633177164671</v>
      </c>
      <c r="N219" s="40"/>
    </row>
    <row r="220" customFormat="false" ht="15" hidden="false" customHeight="false" outlineLevel="0" collapsed="false">
      <c r="A220" s="7"/>
      <c r="B220" s="25" t="n">
        <v>8</v>
      </c>
      <c r="C220" s="43" t="n">
        <f aca="false">(ABS(C12-E12)/C12)*100</f>
        <v>99.9874411302983</v>
      </c>
      <c r="D220" s="44" t="n">
        <f aca="false">(ABS(D12-F12)/D12)*100</f>
        <v>11.0518826999826</v>
      </c>
      <c r="E220" s="40"/>
      <c r="F220" s="44" t="n">
        <f aca="false">(ABS(C12-G12)/C12)*100</f>
        <v>0.0251177394034537</v>
      </c>
      <c r="G220" s="44" t="n">
        <f aca="false">(ABS(D12-H12)/D12)*100</f>
        <v>0.00277633177164671</v>
      </c>
      <c r="H220" s="42"/>
      <c r="I220" s="43" t="n">
        <f aca="false">(ABS(C12-I12)/C12)*100</f>
        <v>99.956043956044</v>
      </c>
      <c r="J220" s="44" t="n">
        <f aca="false">(ABS(D12-J12)/D12)*100</f>
        <v>11.0484122852681</v>
      </c>
      <c r="K220" s="40"/>
      <c r="L220" s="44" t="n">
        <f aca="false">(ABS(C12-K12)/C12)*100</f>
        <v>0.0125588697017268</v>
      </c>
      <c r="M220" s="44" t="n">
        <f aca="false">(ABS(D12-L12)/D12)*100</f>
        <v>0.00138816588582336</v>
      </c>
      <c r="N220" s="40"/>
    </row>
    <row r="221" customFormat="false" ht="15" hidden="false" customHeight="false" outlineLevel="0" collapsed="false">
      <c r="A221" s="7"/>
      <c r="B221" s="25" t="n">
        <v>9</v>
      </c>
      <c r="C221" s="43" t="n">
        <f aca="false">(ABS(C13-E13)/C13)*100</f>
        <v>100</v>
      </c>
      <c r="D221" s="44" t="n">
        <f aca="false">(ABS(D13-F13)/D13)*100</f>
        <v>11.0532708658685</v>
      </c>
      <c r="E221" s="40"/>
      <c r="F221" s="44" t="n">
        <f aca="false">(ABS(C13-G13)/C13)*100</f>
        <v>0.0251177394034537</v>
      </c>
      <c r="G221" s="44" t="n">
        <f aca="false">(ABS(D13-H13)/D13)*100</f>
        <v>0.00277633177164671</v>
      </c>
      <c r="H221" s="42"/>
      <c r="I221" s="43" t="n">
        <f aca="false">(ABS(C13-I13)/C13)*100</f>
        <v>100</v>
      </c>
      <c r="J221" s="44" t="n">
        <f aca="false">(ABS(D13-J13)/D13)*100</f>
        <v>11.0532708658685</v>
      </c>
      <c r="K221" s="40"/>
      <c r="L221" s="44" t="n">
        <f aca="false">(ABS(C13-K13)/C13)*100</f>
        <v>0.0125588697017268</v>
      </c>
      <c r="M221" s="44" t="n">
        <f aca="false">(ABS(D13-L13)/D13)*100</f>
        <v>0.00138816588582336</v>
      </c>
      <c r="N221" s="40"/>
    </row>
    <row r="222" customFormat="false" ht="15" hidden="false" customHeight="false" outlineLevel="0" collapsed="false">
      <c r="A222" s="7"/>
      <c r="B222" s="25" t="n">
        <v>10</v>
      </c>
      <c r="C222" s="43" t="n">
        <f aca="false">(ABS(C14-E14)/C14)*100</f>
        <v>99.956043956044</v>
      </c>
      <c r="D222" s="44" t="n">
        <f aca="false">(ABS(D14-F14)/D14)*100</f>
        <v>11.0484122852681</v>
      </c>
      <c r="E222" s="40"/>
      <c r="F222" s="44" t="n">
        <f aca="false">(ABS(C14-G14)/C14)*100</f>
        <v>0.00627943485086342</v>
      </c>
      <c r="G222" s="44" t="n">
        <f aca="false">(ABS(D14-H14)/D14)*100</f>
        <v>0.000694082942911678</v>
      </c>
      <c r="H222" s="42"/>
      <c r="I222" s="43" t="n">
        <f aca="false">(ABS(C14-I14)/C14)*100</f>
        <v>99.8304552590267</v>
      </c>
      <c r="J222" s="44" t="n">
        <f aca="false">(ABS(D14-J14)/D14)*100</f>
        <v>11.0345306264099</v>
      </c>
      <c r="K222" s="40"/>
      <c r="L222" s="44" t="n">
        <f aca="false">(ABS(C14-K14)/C14)*100</f>
        <v>0.0125588697017268</v>
      </c>
      <c r="M222" s="44" t="n">
        <f aca="false">(ABS(D14-L14)/D14)*100</f>
        <v>0.00138816588582336</v>
      </c>
      <c r="N222" s="40"/>
    </row>
    <row r="223" customFormat="false" ht="15" hidden="false" customHeight="false" outlineLevel="0" collapsed="false">
      <c r="A223" s="7"/>
      <c r="B223" s="25" t="n">
        <v>11</v>
      </c>
      <c r="C223" s="43" t="n">
        <f aca="false">(ABS(C15-E15)/C15)*100</f>
        <v>99.9497645211931</v>
      </c>
      <c r="D223" s="44" t="n">
        <f aca="false">(ABS(D15-F15)/D15)*100</f>
        <v>11.0477182023252</v>
      </c>
      <c r="E223" s="40"/>
      <c r="F223" s="44" t="n">
        <f aca="false">(ABS(C15-G15)/C15)*100</f>
        <v>0.0251177394034537</v>
      </c>
      <c r="G223" s="44" t="n">
        <f aca="false">(ABS(D15-H15)/D15)*100</f>
        <v>0.00277633177164671</v>
      </c>
      <c r="H223" s="42"/>
      <c r="I223" s="43" t="n">
        <f aca="false">(ABS(C15-I15)/C15)*100</f>
        <v>99.8367346938776</v>
      </c>
      <c r="J223" s="44" t="n">
        <f aca="false">(ABS(D15-J15)/D15)*100</f>
        <v>11.0352247093528</v>
      </c>
      <c r="K223" s="40"/>
      <c r="L223" s="44" t="n">
        <f aca="false">(ABS(C15-K15)/C15)*100</f>
        <v>0.0188383045525903</v>
      </c>
      <c r="M223" s="44" t="n">
        <f aca="false">(ABS(D15-L15)/D15)*100</f>
        <v>0.00208224882873503</v>
      </c>
      <c r="N223" s="40"/>
    </row>
    <row r="224" customFormat="false" ht="15" hidden="false" customHeight="false" outlineLevel="0" collapsed="false">
      <c r="A224" s="7"/>
      <c r="B224" s="25" t="n">
        <v>12</v>
      </c>
      <c r="C224" s="43" t="n">
        <f aca="false">(ABS(C16-E16)/C16)*100</f>
        <v>99.8367346938776</v>
      </c>
      <c r="D224" s="44" t="n">
        <f aca="false">(ABS(D16-F16)/D16)*100</f>
        <v>11.0352247093528</v>
      </c>
      <c r="E224" s="40"/>
      <c r="F224" s="44" t="n">
        <f aca="false">(ABS(C16-G16)/C16)*100</f>
        <v>0.0125588697017268</v>
      </c>
      <c r="G224" s="44" t="n">
        <f aca="false">(ABS(D16-H16)/D16)*100</f>
        <v>0.00138816588582336</v>
      </c>
      <c r="H224" s="42"/>
      <c r="I224" s="43" t="n">
        <f aca="false">(ABS(C16-I16)/C16)*100</f>
        <v>99.5102040816327</v>
      </c>
      <c r="J224" s="44" t="n">
        <f aca="false">(ABS(D16-J16)/D16)*100</f>
        <v>10.9991323963214</v>
      </c>
      <c r="K224" s="40"/>
      <c r="L224" s="44" t="n">
        <f aca="false">(ABS(C16-K16)/C16)*100</f>
        <v>0.0125588697017268</v>
      </c>
      <c r="M224" s="44" t="n">
        <f aca="false">(ABS(D16-L16)/D16)*100</f>
        <v>0.00138816588582336</v>
      </c>
      <c r="N224" s="40"/>
    </row>
    <row r="225" customFormat="false" ht="15" hidden="false" customHeight="false" outlineLevel="0" collapsed="false">
      <c r="A225" s="7"/>
      <c r="B225" s="25" t="n">
        <v>13</v>
      </c>
      <c r="C225" s="43" t="n">
        <f aca="false">(ABS(C17-E17)/C17)*100</f>
        <v>100</v>
      </c>
      <c r="D225" s="44" t="n">
        <f aca="false">(ABS(D17-F17)/D17)*100</f>
        <v>11.0532708658685</v>
      </c>
      <c r="E225" s="40"/>
      <c r="F225" s="44" t="n">
        <f aca="false">(ABS(C17-G17)/C17)*100</f>
        <v>0.0125588697017268</v>
      </c>
      <c r="G225" s="44" t="n">
        <f aca="false">(ABS(D17-H17)/D17)*100</f>
        <v>0.00138816588582336</v>
      </c>
      <c r="H225" s="42"/>
      <c r="I225" s="43" t="n">
        <f aca="false">(ABS(C17-I17)/C17)*100</f>
        <v>99.3218210361068</v>
      </c>
      <c r="J225" s="44" t="n">
        <f aca="false">(ABS(D17-J17)/D17)*100</f>
        <v>10.978309908034</v>
      </c>
      <c r="K225" s="40"/>
      <c r="L225" s="44" t="n">
        <f aca="false">(ABS(C17-K17)/C17)*100</f>
        <v>0.0125588697017268</v>
      </c>
      <c r="M225" s="44" t="n">
        <f aca="false">(ABS(D17-L17)/D17)*100</f>
        <v>0.00138816588582336</v>
      </c>
      <c r="N225" s="40"/>
    </row>
    <row r="226" customFormat="false" ht="15" hidden="false" customHeight="false" outlineLevel="0" collapsed="false">
      <c r="A226" s="7"/>
      <c r="B226" s="25" t="n">
        <v>14</v>
      </c>
      <c r="C226" s="43" t="n">
        <f aca="false">(ABS(C18-E18)/C18)*100</f>
        <v>99.3029827315542</v>
      </c>
      <c r="D226" s="44" t="n">
        <f aca="false">(ABS(D18-F18)/D18)*100</f>
        <v>10.9762276592053</v>
      </c>
      <c r="E226" s="40"/>
      <c r="F226" s="44" t="n">
        <f aca="false">(ABS(C18-G18)/C18)*100</f>
        <v>0.0125588697017268</v>
      </c>
      <c r="G226" s="44" t="n">
        <f aca="false">(ABS(D18-H18)/D18)*100</f>
        <v>0.00138816588582336</v>
      </c>
      <c r="H226" s="42"/>
      <c r="I226" s="43" t="n">
        <f aca="false">(ABS(C18-I18)/C18)*100</f>
        <v>99.8241758241758</v>
      </c>
      <c r="J226" s="44" t="n">
        <f aca="false">(ABS(D18-J18)/D18)*100</f>
        <v>11.0338365434669</v>
      </c>
      <c r="K226" s="40"/>
      <c r="L226" s="44" t="n">
        <f aca="false">(ABS(C18-K18)/C18)*100</f>
        <v>0.0125588697017268</v>
      </c>
      <c r="M226" s="44" t="n">
        <f aca="false">(ABS(D18-L18)/D18)*100</f>
        <v>0.00138816588582336</v>
      </c>
      <c r="N226" s="40"/>
    </row>
    <row r="227" customFormat="false" ht="15" hidden="false" customHeight="false" outlineLevel="0" collapsed="false">
      <c r="A227" s="7"/>
      <c r="B227" s="25" t="n">
        <v>15</v>
      </c>
      <c r="C227" s="43" t="n">
        <f aca="false">(ABS(C19-E19)/C19)*100</f>
        <v>96.6718995290424</v>
      </c>
      <c r="D227" s="44" t="n">
        <f aca="false">(ABS(D19-F19)/D19)*100</f>
        <v>10.6854069061253</v>
      </c>
      <c r="E227" s="40"/>
      <c r="F227" s="44" t="n">
        <f aca="false">(ABS(C19-G19)/C19)*100</f>
        <v>0.0125588697017268</v>
      </c>
      <c r="G227" s="44" t="n">
        <f aca="false">(ABS(D19-H19)/D19)*100</f>
        <v>0.00138816588582336</v>
      </c>
      <c r="H227" s="42"/>
      <c r="I227" s="43" t="n">
        <f aca="false">(ABS(C19-I19)/C19)*100</f>
        <v>99.956043956044</v>
      </c>
      <c r="J227" s="44" t="n">
        <f aca="false">(ABS(D19-J19)/D19)*100</f>
        <v>11.0484122852681</v>
      </c>
      <c r="K227" s="40"/>
      <c r="L227" s="44" t="n">
        <f aca="false">(ABS(C19-K19)/C19)*100</f>
        <v>0</v>
      </c>
      <c r="M227" s="44" t="n">
        <f aca="false">(ABS(D19-L19)/D19)*100</f>
        <v>0</v>
      </c>
      <c r="N227" s="40"/>
    </row>
    <row r="228" customFormat="false" ht="15" hidden="false" customHeight="false" outlineLevel="0" collapsed="false">
      <c r="A228" s="7"/>
      <c r="B228" s="25" t="n">
        <v>16</v>
      </c>
      <c r="C228" s="43" t="n">
        <f aca="false">(ABS(C20-E20)/C20)*100</f>
        <v>99.9874411302983</v>
      </c>
      <c r="D228" s="44" t="n">
        <f aca="false">(ABS(D20-F20)/D20)*100</f>
        <v>11.0518826999826</v>
      </c>
      <c r="E228" s="40"/>
      <c r="F228" s="44" t="n">
        <f aca="false">(ABS(C20-G20)/C20)*100</f>
        <v>0.0125588697017268</v>
      </c>
      <c r="G228" s="44" t="n">
        <f aca="false">(ABS(D20-H20)/D20)*100</f>
        <v>0.00138816588582336</v>
      </c>
      <c r="H228" s="42"/>
      <c r="I228" s="43" t="n">
        <f aca="false">(ABS(C20-I20)/C20)*100</f>
        <v>95.541601255887</v>
      </c>
      <c r="J228" s="44" t="n">
        <f aca="false">(ABS(D20-J20)/D20)*100</f>
        <v>10.5604719764012</v>
      </c>
      <c r="K228" s="40"/>
      <c r="L228" s="44" t="n">
        <f aca="false">(ABS(C20-K20)/C20)*100</f>
        <v>0.00627943485086342</v>
      </c>
      <c r="M228" s="44" t="n">
        <f aca="false">(ABS(D20-L20)/D20)*100</f>
        <v>0.000694082942911678</v>
      </c>
      <c r="N228" s="40"/>
    </row>
    <row r="229" customFormat="false" ht="15" hidden="false" customHeight="false" outlineLevel="0" collapsed="false">
      <c r="A229" s="7"/>
      <c r="B229" s="25" t="n">
        <v>17</v>
      </c>
      <c r="C229" s="43" t="n">
        <f aca="false">(ABS(C21-E21)/C21)*100</f>
        <v>99.9623233908948</v>
      </c>
      <c r="D229" s="44" t="n">
        <f aca="false">(ABS(D21-F21)/D21)*100</f>
        <v>11.049106368211</v>
      </c>
      <c r="E229" s="40"/>
      <c r="F229" s="44" t="n">
        <f aca="false">(ABS(C21-G21)/C21)*100</f>
        <v>0.0125588697017268</v>
      </c>
      <c r="G229" s="44" t="n">
        <f aca="false">(ABS(D21-H21)/D21)*100</f>
        <v>0.00138816588582336</v>
      </c>
      <c r="H229" s="42"/>
      <c r="I229" s="43" t="n">
        <f aca="false">(ABS(C21-I21)/C21)*100</f>
        <v>97.6452119309262</v>
      </c>
      <c r="J229" s="44" t="n">
        <f aca="false">(ABS(D21-J21)/D21)*100</f>
        <v>10.7929897622766</v>
      </c>
      <c r="K229" s="40"/>
      <c r="L229" s="44" t="n">
        <f aca="false">(ABS(C21-K21)/C21)*100</f>
        <v>0</v>
      </c>
      <c r="M229" s="44" t="n">
        <f aca="false">(ABS(D21-L21)/D21)*100</f>
        <v>0</v>
      </c>
      <c r="N229" s="40"/>
    </row>
    <row r="230" customFormat="false" ht="15" hidden="false" customHeight="false" outlineLevel="0" collapsed="false">
      <c r="A230" s="7"/>
      <c r="B230" s="25" t="n">
        <v>18</v>
      </c>
      <c r="C230" s="43" t="n">
        <f aca="false">(ABS(C22-E22)/C22)*100</f>
        <v>95.5981161695447</v>
      </c>
      <c r="D230" s="44" t="n">
        <f aca="false">(ABS(D22-F22)/D22)*100</f>
        <v>10.5667187228874</v>
      </c>
      <c r="E230" s="40"/>
      <c r="F230" s="44" t="n">
        <f aca="false">(ABS(C22-G22)/C22)*100</f>
        <v>1.06750392464678</v>
      </c>
      <c r="G230" s="44" t="n">
        <f aca="false">(ABS(D22-H22)/D22)*100</f>
        <v>0.117994100294985</v>
      </c>
      <c r="H230" s="42"/>
      <c r="I230" s="43" t="n">
        <f aca="false">(ABS(C22-I22)/C22)*100</f>
        <v>99.7864992150707</v>
      </c>
      <c r="J230" s="44" t="n">
        <f aca="false">(ABS(D22-J22)/D22)*100</f>
        <v>11.0296720458095</v>
      </c>
      <c r="K230" s="40"/>
      <c r="L230" s="44" t="n">
        <f aca="false">(ABS(C22-K22)/C22)*100</f>
        <v>0.00627943485086342</v>
      </c>
      <c r="M230" s="44" t="n">
        <f aca="false">(ABS(D22-L22)/D22)*100</f>
        <v>0.000694082942911678</v>
      </c>
      <c r="N230" s="40"/>
    </row>
    <row r="231" customFormat="false" ht="15" hidden="false" customHeight="false" outlineLevel="0" collapsed="false">
      <c r="A231" s="7"/>
      <c r="B231" s="25" t="n">
        <v>19</v>
      </c>
      <c r="C231" s="43" t="n">
        <f aca="false">(ABS(C23-E23)/C23)*100</f>
        <v>99.8492935635793</v>
      </c>
      <c r="D231" s="44" t="n">
        <f aca="false">(ABS(D23-F23)/D23)*100</f>
        <v>11.0366128752386</v>
      </c>
      <c r="E231" s="40"/>
      <c r="F231" s="44" t="n">
        <f aca="false">(ABS(C23-G23)/C23)*100</f>
        <v>0.0125588697017268</v>
      </c>
      <c r="G231" s="44" t="n">
        <f aca="false">(ABS(D23-H23)/D23)*100</f>
        <v>0.00138816588582336</v>
      </c>
      <c r="H231" s="42"/>
      <c r="I231" s="43" t="n">
        <f aca="false">(ABS(C23-I23)/C23)*100</f>
        <v>99.6420722135008</v>
      </c>
      <c r="J231" s="44" t="n">
        <f aca="false">(ABS(D23-J23)/D23)*100</f>
        <v>11.0137081381225</v>
      </c>
      <c r="K231" s="40"/>
      <c r="L231" s="44" t="n">
        <f aca="false">(ABS(C23-K23)/C23)*100</f>
        <v>0.00627943485086342</v>
      </c>
      <c r="M231" s="44" t="n">
        <f aca="false">(ABS(D23-L23)/D23)*100</f>
        <v>0.000694082942911678</v>
      </c>
      <c r="N231" s="40"/>
    </row>
    <row r="232" customFormat="false" ht="15" hidden="false" customHeight="false" outlineLevel="0" collapsed="false">
      <c r="A232" s="7"/>
      <c r="B232" s="25" t="n">
        <v>20</v>
      </c>
      <c r="C232" s="43" t="n">
        <f aca="false">(ABS(C24-E24)/C24)*100</f>
        <v>99.679748822606</v>
      </c>
      <c r="D232" s="44" t="n">
        <f aca="false">(ABS(D24-F24)/D24)*100</f>
        <v>11.01787263578</v>
      </c>
      <c r="E232" s="40"/>
      <c r="F232" s="44" t="n">
        <f aca="false">(ABS(C24-G24)/C24)*100</f>
        <v>0.00627943485086342</v>
      </c>
      <c r="G232" s="44" t="n">
        <f aca="false">(ABS(D24-H24)/D24)*100</f>
        <v>0.000694082942911678</v>
      </c>
      <c r="H232" s="42"/>
      <c r="I232" s="43" t="n">
        <f aca="false">(ABS(C24-I24)/C24)*100</f>
        <v>99.9686028257457</v>
      </c>
      <c r="J232" s="44" t="n">
        <f aca="false">(ABS(D24-J24)/D24)*100</f>
        <v>11.0498004511539</v>
      </c>
      <c r="K232" s="40"/>
      <c r="L232" s="44" t="n">
        <f aca="false">(ABS(C24-K24)/C24)*100</f>
        <v>0</v>
      </c>
      <c r="M232" s="44" t="n">
        <f aca="false">(ABS(D24-L24)/D24)*100</f>
        <v>0</v>
      </c>
      <c r="N232" s="40"/>
    </row>
    <row r="233" customFormat="false" ht="15" hidden="false" customHeight="false" outlineLevel="0" collapsed="false">
      <c r="A233" s="7"/>
      <c r="B233" s="25" t="n">
        <v>21</v>
      </c>
      <c r="C233" s="43" t="n">
        <f aca="false">(ABS(C25-E25)/C25)*100</f>
        <v>99.9686028257457</v>
      </c>
      <c r="D233" s="44" t="n">
        <f aca="false">(ABS(D25-F25)/D25)*100</f>
        <v>11.0498004511539</v>
      </c>
      <c r="E233" s="40"/>
      <c r="F233" s="44" t="n">
        <f aca="false">(ABS(C25-G25)/C25)*100</f>
        <v>0.00627943485086342</v>
      </c>
      <c r="G233" s="44" t="n">
        <f aca="false">(ABS(D25-H25)/D25)*100</f>
        <v>0.000694082942911678</v>
      </c>
      <c r="H233" s="42"/>
      <c r="I233" s="43" t="n">
        <f aca="false">(ABS(C25-I25)/C25)*100</f>
        <v>92.458398744113</v>
      </c>
      <c r="J233" s="44" t="n">
        <f aca="false">(ABS(D25-J25)/D25)*100</f>
        <v>10.2196772514315</v>
      </c>
      <c r="K233" s="40"/>
      <c r="L233" s="44" t="n">
        <f aca="false">(ABS(C25-K25)/C25)*100</f>
        <v>0</v>
      </c>
      <c r="M233" s="44" t="n">
        <f aca="false">(ABS(D25-L25)/D25)*100</f>
        <v>0</v>
      </c>
      <c r="N233" s="40"/>
    </row>
    <row r="234" customFormat="false" ht="15" hidden="false" customHeight="false" outlineLevel="0" collapsed="false">
      <c r="A234" s="7"/>
      <c r="B234" s="25" t="n">
        <v>22</v>
      </c>
      <c r="C234" s="43" t="n">
        <f aca="false">(ABS(C26-E26)/C26)*100</f>
        <v>99.9246467817896</v>
      </c>
      <c r="D234" s="44" t="n">
        <f aca="false">(ABS(D26-F26)/D26)*100</f>
        <v>11.0449418705535</v>
      </c>
      <c r="E234" s="40"/>
      <c r="F234" s="44" t="n">
        <f aca="false">(ABS(C26-G26)/C26)*100</f>
        <v>0.0690737833594976</v>
      </c>
      <c r="G234" s="44" t="n">
        <f aca="false">(ABS(D26-H26)/D26)*100</f>
        <v>0.00763491237202846</v>
      </c>
      <c r="H234" s="42"/>
      <c r="I234" s="43" t="n">
        <f aca="false">(ABS(C26-I26)/C26)*100</f>
        <v>90.6499215070644</v>
      </c>
      <c r="J234" s="44" t="n">
        <f aca="false">(ABS(D26-J26)/D26)*100</f>
        <v>10.019781363873</v>
      </c>
      <c r="K234" s="40"/>
      <c r="L234" s="44" t="n">
        <f aca="false">(ABS(C26-K26)/C26)*100</f>
        <v>0.0251177394034537</v>
      </c>
      <c r="M234" s="44" t="n">
        <f aca="false">(ABS(D26-L26)/D26)*100</f>
        <v>0.00277633177164671</v>
      </c>
      <c r="N234" s="40"/>
    </row>
    <row r="235" customFormat="false" ht="15" hidden="false" customHeight="false" outlineLevel="0" collapsed="false">
      <c r="A235" s="7"/>
      <c r="B235" s="25" t="n">
        <v>23</v>
      </c>
      <c r="C235" s="43" t="n">
        <f aca="false">(ABS(C27-E27)/C27)*100</f>
        <v>92.5086342229199</v>
      </c>
      <c r="D235" s="44" t="n">
        <f aca="false">(ABS(D27-F27)/D27)*100</f>
        <v>10.2252299149748</v>
      </c>
      <c r="E235" s="40"/>
      <c r="F235" s="44" t="n">
        <f aca="false">(ABS(C27-G27)/C27)*100</f>
        <v>0</v>
      </c>
      <c r="G235" s="44" t="n">
        <f aca="false">(ABS(D27-H27)/D27)*100</f>
        <v>0</v>
      </c>
      <c r="H235" s="42"/>
      <c r="I235" s="43" t="n">
        <f aca="false">(ABS(C27-I27)/C27)*100</f>
        <v>95.5981161695447</v>
      </c>
      <c r="J235" s="44" t="n">
        <f aca="false">(ABS(D27-J27)/D27)*100</f>
        <v>10.5667187228874</v>
      </c>
      <c r="K235" s="40"/>
      <c r="L235" s="44" t="n">
        <f aca="false">(ABS(C27-K27)/C27)*100</f>
        <v>0</v>
      </c>
      <c r="M235" s="44" t="n">
        <f aca="false">(ABS(D27-L27)/D27)*100</f>
        <v>0</v>
      </c>
      <c r="N235" s="40"/>
    </row>
    <row r="236" customFormat="false" ht="15" hidden="false" customHeight="false" outlineLevel="0" collapsed="false">
      <c r="A236" s="7"/>
      <c r="B236" s="25" t="n">
        <v>24</v>
      </c>
      <c r="C236" s="43" t="n">
        <f aca="false">(ABS(C28-E28)/C28)*100</f>
        <v>99.7048665620094</v>
      </c>
      <c r="D236" s="44" t="n">
        <f aca="false">(ABS(D28-F28)/D28)*100</f>
        <v>11.0206489675516</v>
      </c>
      <c r="E236" s="40"/>
      <c r="F236" s="44" t="n">
        <f aca="false">(ABS(C28-G28)/C28)*100</f>
        <v>0</v>
      </c>
      <c r="G236" s="44" t="n">
        <f aca="false">(ABS(D28-H28)/D28)*100</f>
        <v>0</v>
      </c>
      <c r="H236" s="42"/>
      <c r="I236" s="43" t="n">
        <f aca="false">(ABS(C28-I28)/C28)*100</f>
        <v>90.116169544741</v>
      </c>
      <c r="J236" s="44" t="n">
        <f aca="false">(ABS(D28-J28)/D28)*100</f>
        <v>9.96078431372549</v>
      </c>
      <c r="K236" s="40"/>
      <c r="L236" s="44" t="n">
        <f aca="false">(ABS(C28-K28)/C28)*100</f>
        <v>0</v>
      </c>
      <c r="M236" s="44" t="n">
        <f aca="false">(ABS(D28-L28)/D28)*100</f>
        <v>0</v>
      </c>
      <c r="N236" s="40"/>
    </row>
    <row r="237" customFormat="false" ht="15" hidden="false" customHeight="false" outlineLevel="0" collapsed="false">
      <c r="A237" s="7"/>
      <c r="B237" s="25" t="n">
        <v>25</v>
      </c>
      <c r="C237" s="43" t="n">
        <f aca="false">(ABS(C29-E29)/C29)*100</f>
        <v>98.5243328100471</v>
      </c>
      <c r="D237" s="44" t="n">
        <f aca="false">(ABS(D29-F29)/D29)*100</f>
        <v>10.8901613742842</v>
      </c>
      <c r="E237" s="40"/>
      <c r="F237" s="44" t="n">
        <f aca="false">(ABS(C29-G29)/C29)*100</f>
        <v>0</v>
      </c>
      <c r="G237" s="44" t="n">
        <f aca="false">(ABS(D29-H29)/D29)*100</f>
        <v>0</v>
      </c>
      <c r="H237" s="42"/>
      <c r="I237" s="43" t="n">
        <f aca="false">(ABS(C29-I29)/C29)*100</f>
        <v>85.2370486656201</v>
      </c>
      <c r="J237" s="44" t="n">
        <f aca="false">(ABS(D29-J29)/D29)*100</f>
        <v>9.42148186708312</v>
      </c>
      <c r="K237" s="40"/>
      <c r="L237" s="44" t="n">
        <f aca="false">(ABS(C29-K29)/C29)*100</f>
        <v>0</v>
      </c>
      <c r="M237" s="44" t="n">
        <f aca="false">(ABS(D29-L29)/D29)*100</f>
        <v>0</v>
      </c>
      <c r="N237" s="40"/>
    </row>
    <row r="238" customFormat="false" ht="15" hidden="false" customHeight="false" outlineLevel="0" collapsed="false">
      <c r="A238" s="7"/>
      <c r="B238" s="25" t="n">
        <v>26</v>
      </c>
      <c r="C238" s="43" t="n">
        <f aca="false">(ABS(C30-E30)/C30)*100</f>
        <v>99.6295133437991</v>
      </c>
      <c r="D238" s="44" t="n">
        <f aca="false">(ABS(D30-F30)/D30)*100</f>
        <v>11.0123199722367</v>
      </c>
      <c r="E238" s="40"/>
      <c r="F238" s="44" t="n">
        <f aca="false">(ABS(C30-G30)/C30)*100</f>
        <v>0</v>
      </c>
      <c r="G238" s="44" t="n">
        <f aca="false">(ABS(D30-H30)/D30)*100</f>
        <v>0</v>
      </c>
      <c r="H238" s="42"/>
      <c r="I238" s="43" t="n">
        <f aca="false">(ABS(C30-I30)/C30)*100</f>
        <v>99.5981161695447</v>
      </c>
      <c r="J238" s="44" t="n">
        <f aca="false">(ABS(D30-J30)/D30)*100</f>
        <v>11.0088495575221</v>
      </c>
      <c r="K238" s="40"/>
      <c r="L238" s="44" t="n">
        <f aca="false">(ABS(C30-K30)/C30)*100</f>
        <v>0</v>
      </c>
      <c r="M238" s="44" t="n">
        <f aca="false">(ABS(D30-L30)/D30)*100</f>
        <v>0</v>
      </c>
      <c r="N238" s="40"/>
    </row>
    <row r="239" customFormat="false" ht="15" hidden="false" customHeight="false" outlineLevel="0" collapsed="false">
      <c r="A239" s="7"/>
      <c r="B239" s="25" t="n">
        <v>27</v>
      </c>
      <c r="C239" s="43" t="n">
        <f aca="false">(ABS(C31-E31)/C31)*100</f>
        <v>99.6420722135008</v>
      </c>
      <c r="D239" s="44" t="n">
        <f aca="false">(ABS(D31-F31)/D31)*100</f>
        <v>11.0137081381225</v>
      </c>
      <c r="E239" s="40"/>
      <c r="F239" s="44" t="n">
        <f aca="false">(ABS(C31-G31)/C31)*100</f>
        <v>0</v>
      </c>
      <c r="G239" s="44" t="n">
        <f aca="false">(ABS(D31-H31)/D31)*100</f>
        <v>0</v>
      </c>
      <c r="H239" s="42"/>
      <c r="I239" s="43" t="n">
        <f aca="false">(ABS(C31-I31)/C31)*100</f>
        <v>98.894819466248</v>
      </c>
      <c r="J239" s="44" t="n">
        <f aca="false">(ABS(D31-J31)/D31)*100</f>
        <v>10.931112267916</v>
      </c>
      <c r="K239" s="40"/>
      <c r="L239" s="44" t="n">
        <f aca="false">(ABS(C31-K31)/C31)*100</f>
        <v>0</v>
      </c>
      <c r="M239" s="44" t="n">
        <f aca="false">(ABS(D31-L31)/D31)*100</f>
        <v>0</v>
      </c>
      <c r="N239" s="40"/>
    </row>
    <row r="240" customFormat="false" ht="15" hidden="false" customHeight="false" outlineLevel="0" collapsed="false">
      <c r="A240" s="7"/>
      <c r="B240" s="25" t="n">
        <v>28</v>
      </c>
      <c r="C240" s="43" t="n">
        <f aca="false">(ABS(C32-E32)/C32)*100</f>
        <v>94.0722135007849</v>
      </c>
      <c r="D240" s="44" t="n">
        <f aca="false">(ABS(D32-F32)/D32)*100</f>
        <v>10.3980565677598</v>
      </c>
      <c r="E240" s="40"/>
      <c r="F240" s="44" t="n">
        <f aca="false">(ABS(C32-G32)/C32)*100</f>
        <v>0</v>
      </c>
      <c r="G240" s="44" t="n">
        <f aca="false">(ABS(D32-H32)/D32)*100</f>
        <v>0</v>
      </c>
      <c r="H240" s="42"/>
      <c r="I240" s="43" t="n">
        <f aca="false">(ABS(C32-I32)/C32)*100</f>
        <v>99.9309262166405</v>
      </c>
      <c r="J240" s="44" t="n">
        <f aca="false">(ABS(D32-J32)/D32)*100</f>
        <v>11.0456359534964</v>
      </c>
      <c r="K240" s="40"/>
      <c r="L240" s="44" t="n">
        <f aca="false">(ABS(C32-K32)/C32)*100</f>
        <v>0</v>
      </c>
      <c r="M240" s="44" t="n">
        <f aca="false">(ABS(D32-L32)/D32)*100</f>
        <v>0</v>
      </c>
      <c r="N240" s="40"/>
    </row>
    <row r="241" customFormat="false" ht="15" hidden="false" customHeight="false" outlineLevel="0" collapsed="false">
      <c r="A241" s="7"/>
      <c r="B241" s="25" t="n">
        <v>29</v>
      </c>
      <c r="C241" s="43" t="n">
        <f aca="false">(ABS(C33-E33)/C33)*100</f>
        <v>99.956043956044</v>
      </c>
      <c r="D241" s="44" t="n">
        <f aca="false">(ABS(D33-F33)/D33)*100</f>
        <v>11.0484122852681</v>
      </c>
      <c r="E241" s="40"/>
      <c r="F241" s="44" t="n">
        <f aca="false">(ABS(C33-G33)/C33)*100</f>
        <v>0.00627943485086342</v>
      </c>
      <c r="G241" s="44" t="n">
        <f aca="false">(ABS(D33-H33)/D33)*100</f>
        <v>0.000694082942911678</v>
      </c>
      <c r="H241" s="42"/>
      <c r="I241" s="43" t="n">
        <f aca="false">(ABS(C33-I33)/C33)*100</f>
        <v>99.861852433281</v>
      </c>
      <c r="J241" s="44" t="n">
        <f aca="false">(ABS(D33-J33)/D33)*100</f>
        <v>11.0380010411244</v>
      </c>
      <c r="K241" s="40"/>
      <c r="L241" s="44" t="n">
        <f aca="false">(ABS(C33-K33)/C33)*100</f>
        <v>0.00627943485086342</v>
      </c>
      <c r="M241" s="44" t="n">
        <f aca="false">(ABS(D33-L33)/D33)*100</f>
        <v>0.000694082942911678</v>
      </c>
      <c r="N241" s="40"/>
    </row>
    <row r="242" customFormat="false" ht="15" hidden="false" customHeight="false" outlineLevel="0" collapsed="false">
      <c r="A242" s="7"/>
      <c r="B242" s="25" t="n">
        <v>30</v>
      </c>
      <c r="C242" s="43" t="n">
        <f aca="false">(ABS(C34-E34)/C34)*100</f>
        <v>100</v>
      </c>
      <c r="D242" s="44" t="n">
        <f aca="false">(ABS(D34-F34)/D34)*100</f>
        <v>11.0532708658685</v>
      </c>
      <c r="E242" s="40"/>
      <c r="F242" s="44" t="n">
        <f aca="false">(ABS(C34-G34)/C34)*100</f>
        <v>0</v>
      </c>
      <c r="G242" s="44" t="n">
        <f aca="false">(ABS(D34-H34)/D34)*100</f>
        <v>0</v>
      </c>
      <c r="H242" s="42"/>
      <c r="I242" s="43" t="n">
        <f aca="false">(ABS(C34-I34)/C34)*100</f>
        <v>98.7880690737834</v>
      </c>
      <c r="J242" s="44" t="n">
        <f aca="false">(ABS(D34-J34)/D34)*100</f>
        <v>10.9193128578865</v>
      </c>
      <c r="K242" s="40"/>
      <c r="L242" s="44" t="n">
        <f aca="false">(ABS(C34-K34)/C34)*100</f>
        <v>0.0125588697017268</v>
      </c>
      <c r="M242" s="44" t="n">
        <f aca="false">(ABS(D34-L34)/D34)*100</f>
        <v>0.00138816588582336</v>
      </c>
      <c r="N242" s="40"/>
    </row>
    <row r="243" customFormat="false" ht="15" hidden="false" customHeight="false" outlineLevel="0" collapsed="false">
      <c r="A243" s="7"/>
      <c r="B243" s="25" t="n">
        <v>31</v>
      </c>
      <c r="C243" s="43" t="n">
        <f aca="false">(ABS(C35-E35)/C35)*100</f>
        <v>100</v>
      </c>
      <c r="D243" s="44" t="n">
        <f aca="false">(ABS(D35-F35)/D35)*100</f>
        <v>11.0532708658685</v>
      </c>
      <c r="E243" s="40"/>
      <c r="F243" s="44" t="n">
        <f aca="false">(ABS(C35-G35)/C35)*100</f>
        <v>0</v>
      </c>
      <c r="G243" s="44" t="n">
        <f aca="false">(ABS(D35-H35)/D35)*100</f>
        <v>0</v>
      </c>
      <c r="H243" s="42"/>
      <c r="I243" s="43" t="n">
        <f aca="false">(ABS(C35-I35)/C35)*100</f>
        <v>99.905808477237</v>
      </c>
      <c r="J243" s="44" t="n">
        <f aca="false">(ABS(D35-J35)/D35)*100</f>
        <v>11.0428596217248</v>
      </c>
      <c r="K243" s="40"/>
      <c r="L243" s="44" t="n">
        <f aca="false">(ABS(C35-K35)/C35)*100</f>
        <v>0.00627943485086342</v>
      </c>
      <c r="M243" s="44" t="n">
        <f aca="false">(ABS(D35-L35)/D35)*100</f>
        <v>0.000694082942911678</v>
      </c>
      <c r="N243" s="40"/>
    </row>
    <row r="244" customFormat="false" ht="15" hidden="false" customHeight="false" outlineLevel="0" collapsed="false">
      <c r="A244" s="7"/>
      <c r="B244" s="25" t="n">
        <v>32</v>
      </c>
      <c r="C244" s="43" t="n">
        <f aca="false">(ABS(C36-E36)/C36)*100</f>
        <v>100</v>
      </c>
      <c r="D244" s="44" t="n">
        <f aca="false">(ABS(D36-F36)/D36)*100</f>
        <v>11.0532708658685</v>
      </c>
      <c r="E244" s="40"/>
      <c r="F244" s="44" t="n">
        <f aca="false">(ABS(C36-G36)/C36)*100</f>
        <v>0</v>
      </c>
      <c r="G244" s="44" t="n">
        <f aca="false">(ABS(D36-H36)/D36)*100</f>
        <v>0</v>
      </c>
      <c r="H244" s="42"/>
      <c r="I244" s="43" t="n">
        <f aca="false">(ABS(C36-I36)/C36)*100</f>
        <v>99.8744113029827</v>
      </c>
      <c r="J244" s="44" t="n">
        <f aca="false">(ABS(D36-J36)/D36)*100</f>
        <v>11.0393892070102</v>
      </c>
      <c r="K244" s="40"/>
      <c r="L244" s="44" t="n">
        <f aca="false">(ABS(C36-K36)/C36)*100</f>
        <v>0.00627943485086342</v>
      </c>
      <c r="M244" s="44" t="n">
        <f aca="false">(ABS(D36-L36)/D36)*100</f>
        <v>0.000694082942911678</v>
      </c>
      <c r="N244" s="40"/>
    </row>
    <row r="245" customFormat="false" ht="15" hidden="false" customHeight="false" outlineLevel="0" collapsed="false">
      <c r="A245" s="7"/>
      <c r="B245" s="25" t="n">
        <v>33</v>
      </c>
      <c r="C245" s="43" t="n">
        <f aca="false">(ABS(C37-E37)/C37)*100</f>
        <v>100</v>
      </c>
      <c r="D245" s="44" t="n">
        <f aca="false">(ABS(D37-F37)/D37)*100</f>
        <v>11.0532708658685</v>
      </c>
      <c r="E245" s="40"/>
      <c r="F245" s="44" t="n">
        <f aca="false">(ABS(C37-G37)/C37)*100</f>
        <v>0</v>
      </c>
      <c r="G245" s="44" t="n">
        <f aca="false">(ABS(D37-H37)/D37)*100</f>
        <v>0</v>
      </c>
      <c r="H245" s="42"/>
      <c r="I245" s="43" t="n">
        <f aca="false">(ABS(C37-I37)/C37)*100</f>
        <v>93.3626373626374</v>
      </c>
      <c r="J245" s="44" t="n">
        <f aca="false">(ABS(D37-J37)/D37)*100</f>
        <v>10.3196251952108</v>
      </c>
      <c r="K245" s="40"/>
      <c r="L245" s="44" t="n">
        <f aca="false">(ABS(C37-K37)/C37)*100</f>
        <v>0.00627943485086342</v>
      </c>
      <c r="M245" s="44" t="n">
        <f aca="false">(ABS(D37-L37)/D37)*100</f>
        <v>0.000694082942911678</v>
      </c>
      <c r="N245" s="40"/>
    </row>
    <row r="246" customFormat="false" ht="15" hidden="false" customHeight="false" outlineLevel="0" collapsed="false">
      <c r="A246" s="7"/>
      <c r="B246" s="25" t="n">
        <v>34</v>
      </c>
      <c r="C246" s="43" t="n">
        <f aca="false">(ABS(C38-E38)/C38)*100</f>
        <v>100</v>
      </c>
      <c r="D246" s="44" t="n">
        <f aca="false">(ABS(D38-F38)/D38)*100</f>
        <v>11.0532708658685</v>
      </c>
      <c r="E246" s="40"/>
      <c r="F246" s="44" t="n">
        <f aca="false">(ABS(C38-G38)/C38)*100</f>
        <v>0</v>
      </c>
      <c r="G246" s="44" t="n">
        <f aca="false">(ABS(D38-H38)/D38)*100</f>
        <v>0</v>
      </c>
      <c r="H246" s="42"/>
      <c r="I246" s="43" t="n">
        <f aca="false">(ABS(C38-I38)/C38)*100</f>
        <v>98.712715855573</v>
      </c>
      <c r="J246" s="44" t="n">
        <f aca="false">(ABS(D38-J38)/D38)*100</f>
        <v>10.9109838625716</v>
      </c>
      <c r="K246" s="40"/>
      <c r="L246" s="44" t="n">
        <f aca="false">(ABS(C38-K38)/C38)*100</f>
        <v>0.00627943485086342</v>
      </c>
      <c r="M246" s="44" t="n">
        <f aca="false">(ABS(D38-L38)/D38)*100</f>
        <v>0.000694082942911678</v>
      </c>
      <c r="N246" s="40"/>
    </row>
    <row r="247" customFormat="false" ht="15" hidden="false" customHeight="false" outlineLevel="0" collapsed="false">
      <c r="A247" s="7"/>
      <c r="B247" s="25" t="n">
        <v>35</v>
      </c>
      <c r="C247" s="43" t="n">
        <f aca="false">(ABS(C39-E39)/C39)*100</f>
        <v>100</v>
      </c>
      <c r="D247" s="44" t="n">
        <f aca="false">(ABS(D39-F39)/D39)*100</f>
        <v>11.0532708658685</v>
      </c>
      <c r="E247" s="40"/>
      <c r="F247" s="44" t="n">
        <f aca="false">(ABS(C39-G39)/C39)*100</f>
        <v>0</v>
      </c>
      <c r="G247" s="44" t="n">
        <f aca="false">(ABS(D39-H39)/D39)*100</f>
        <v>0</v>
      </c>
      <c r="H247" s="42"/>
      <c r="I247" s="43" t="n">
        <f aca="false">(ABS(C39-I39)/C39)*100</f>
        <v>99.9120879120879</v>
      </c>
      <c r="J247" s="44" t="n">
        <f aca="false">(ABS(D39-J39)/D39)*100</f>
        <v>11.0435537046677</v>
      </c>
      <c r="K247" s="40"/>
      <c r="L247" s="44" t="n">
        <f aca="false">(ABS(C39-K39)/C39)*100</f>
        <v>0.00627943485086342</v>
      </c>
      <c r="M247" s="44" t="n">
        <f aca="false">(ABS(D39-L39)/D39)*100</f>
        <v>0.000694082942911678</v>
      </c>
      <c r="N247" s="40"/>
    </row>
    <row r="248" customFormat="false" ht="15" hidden="false" customHeight="false" outlineLevel="0" collapsed="false">
      <c r="A248" s="7"/>
      <c r="B248" s="25" t="n">
        <v>36</v>
      </c>
      <c r="C248" s="43" t="n">
        <f aca="false">(ABS(C40-E40)/C40)*100</f>
        <v>100</v>
      </c>
      <c r="D248" s="44" t="n">
        <f aca="false">(ABS(D40-F40)/D40)*100</f>
        <v>11.0532708658685</v>
      </c>
      <c r="E248" s="40"/>
      <c r="F248" s="44" t="n">
        <f aca="false">(ABS(C40-G40)/C40)*100</f>
        <v>0</v>
      </c>
      <c r="G248" s="44" t="n">
        <f aca="false">(ABS(D40-H40)/D40)*100</f>
        <v>0</v>
      </c>
      <c r="H248" s="42"/>
      <c r="I248" s="43" t="n">
        <f aca="false">(ABS(C40-I40)/C40)*100</f>
        <v>95.723704866562</v>
      </c>
      <c r="J248" s="44" t="n">
        <f aca="false">(ABS(D40-J40)/D40)*100</f>
        <v>10.5806003817456</v>
      </c>
      <c r="K248" s="40"/>
      <c r="L248" s="44" t="n">
        <f aca="false">(ABS(C40-K40)/C40)*100</f>
        <v>0.00627943485086342</v>
      </c>
      <c r="M248" s="44" t="n">
        <f aca="false">(ABS(D40-L40)/D40)*100</f>
        <v>0.000694082942911678</v>
      </c>
      <c r="N248" s="40"/>
    </row>
    <row r="249" customFormat="false" ht="15" hidden="false" customHeight="false" outlineLevel="0" collapsed="false">
      <c r="A249" s="7"/>
      <c r="B249" s="25" t="n">
        <v>37</v>
      </c>
      <c r="C249" s="43" t="n">
        <f aca="false">(ABS(C41-E41)/C41)*100</f>
        <v>99.9748822605965</v>
      </c>
      <c r="D249" s="44" t="n">
        <f aca="false">(ABS(D41-F41)/D41)*100</f>
        <v>11.0504945340968</v>
      </c>
      <c r="E249" s="40"/>
      <c r="F249" s="44" t="n">
        <f aca="false">(ABS(C41-G41)/C41)*100</f>
        <v>0.0816326530612245</v>
      </c>
      <c r="G249" s="44" t="n">
        <f aca="false">(ABS(D41-H41)/D41)*100</f>
        <v>0.00902307825785181</v>
      </c>
      <c r="H249" s="42"/>
      <c r="I249" s="43" t="n">
        <f aca="false">(ABS(C41-I41)/C41)*100</f>
        <v>93.8587127158556</v>
      </c>
      <c r="J249" s="44" t="n">
        <f aca="false">(ABS(D41-J41)/D41)*100</f>
        <v>10.3744577477009</v>
      </c>
      <c r="K249" s="40"/>
      <c r="L249" s="44" t="n">
        <f aca="false">(ABS(C41-K41)/C41)*100</f>
        <v>0.0376766091051805</v>
      </c>
      <c r="M249" s="44" t="n">
        <f aca="false">(ABS(D41-L41)/D41)*100</f>
        <v>0.00416449765747007</v>
      </c>
      <c r="N249" s="40"/>
    </row>
    <row r="250" customFormat="false" ht="15" hidden="false" customHeight="false" outlineLevel="0" collapsed="false">
      <c r="A250" s="7"/>
      <c r="B250" s="25" t="n">
        <v>38</v>
      </c>
      <c r="C250" s="43" t="n">
        <f aca="false">(ABS(C42-E42)/C42)*100</f>
        <v>100</v>
      </c>
      <c r="D250" s="44" t="n">
        <f aca="false">(ABS(D42-F42)/D42)*100</f>
        <v>11.0532708658685</v>
      </c>
      <c r="E250" s="40"/>
      <c r="F250" s="44" t="n">
        <f aca="false">(ABS(C42-G42)/C42)*100</f>
        <v>0</v>
      </c>
      <c r="G250" s="44" t="n">
        <f aca="false">(ABS(D42-H42)/D42)*100</f>
        <v>0</v>
      </c>
      <c r="H250" s="42"/>
      <c r="I250" s="43" t="n">
        <f aca="false">(ABS(C42-I42)/C42)*100</f>
        <v>99.5604395604396</v>
      </c>
      <c r="J250" s="44" t="n">
        <f aca="false">(ABS(D42-J42)/D42)*100</f>
        <v>11.0046850598647</v>
      </c>
      <c r="K250" s="40"/>
      <c r="L250" s="44" t="n">
        <f aca="false">(ABS(C42-K42)/C42)*100</f>
        <v>0.00627943485086342</v>
      </c>
      <c r="M250" s="44" t="n">
        <f aca="false">(ABS(D42-L42)/D42)*100</f>
        <v>0.000694082942911678</v>
      </c>
      <c r="N250" s="40"/>
    </row>
    <row r="251" customFormat="false" ht="15" hidden="false" customHeight="false" outlineLevel="0" collapsed="false">
      <c r="A251" s="7"/>
      <c r="B251" s="25" t="n">
        <v>39</v>
      </c>
      <c r="C251" s="43" t="n">
        <f aca="false">(ABS(C43-E43)/C43)*100</f>
        <v>99.8869701726845</v>
      </c>
      <c r="D251" s="44" t="n">
        <f aca="false">(ABS(D43-F43)/D43)*100</f>
        <v>11.0407773728961</v>
      </c>
      <c r="E251" s="40"/>
      <c r="F251" s="44" t="n">
        <f aca="false">(ABS(C43-G43)/C43)*100</f>
        <v>0</v>
      </c>
      <c r="G251" s="44" t="n">
        <f aca="false">(ABS(D43-H43)/D43)*100</f>
        <v>0</v>
      </c>
      <c r="H251" s="42"/>
      <c r="I251" s="43" t="n">
        <f aca="false">(ABS(C43-I43)/C43)*100</f>
        <v>99.9183673469388</v>
      </c>
      <c r="J251" s="44" t="n">
        <f aca="false">(ABS(D43-J43)/D43)*100</f>
        <v>11.0442477876106</v>
      </c>
      <c r="K251" s="40"/>
      <c r="L251" s="44" t="n">
        <f aca="false">(ABS(C43-K43)/C43)*100</f>
        <v>0.00627943485086342</v>
      </c>
      <c r="M251" s="44" t="n">
        <f aca="false">(ABS(D43-L43)/D43)*100</f>
        <v>0.000694082942911678</v>
      </c>
      <c r="N251" s="40"/>
    </row>
    <row r="252" customFormat="false" ht="15" hidden="false" customHeight="false" outlineLevel="0" collapsed="false">
      <c r="A252" s="7"/>
      <c r="B252" s="25" t="n">
        <v>40</v>
      </c>
      <c r="C252" s="43" t="n">
        <f aca="false">(ABS(C44-E44)/C44)*100</f>
        <v>99.9372056514914</v>
      </c>
      <c r="D252" s="44" t="n">
        <f aca="false">(ABS(D44-F44)/D44)*100</f>
        <v>11.0463300364394</v>
      </c>
      <c r="E252" s="40"/>
      <c r="F252" s="44" t="n">
        <f aca="false">(ABS(C44-G44)/C44)*100</f>
        <v>0</v>
      </c>
      <c r="G252" s="44" t="n">
        <f aca="false">(ABS(D44-H44)/D44)*100</f>
        <v>0</v>
      </c>
      <c r="H252" s="42"/>
      <c r="I252" s="43" t="n">
        <f aca="false">(ABS(C44-I44)/C44)*100</f>
        <v>99.0266875981162</v>
      </c>
      <c r="J252" s="44" t="n">
        <f aca="false">(ABS(D44-J44)/D44)*100</f>
        <v>10.9456880097172</v>
      </c>
      <c r="K252" s="40"/>
      <c r="L252" s="44" t="n">
        <f aca="false">(ABS(C44-K44)/C44)*100</f>
        <v>0.00627943485086342</v>
      </c>
      <c r="M252" s="44" t="n">
        <f aca="false">(ABS(D44-L44)/D44)*100</f>
        <v>0.000694082942911678</v>
      </c>
      <c r="N252" s="40"/>
    </row>
    <row r="253" customFormat="false" ht="15" hidden="false" customHeight="false" outlineLevel="0" collapsed="false">
      <c r="A253" s="7"/>
      <c r="B253" s="25" t="n">
        <v>41</v>
      </c>
      <c r="C253" s="43" t="n">
        <f aca="false">(ABS(C45-E45)/C45)*100</f>
        <v>99.9120879120879</v>
      </c>
      <c r="D253" s="44" t="n">
        <f aca="false">(ABS(D45-F45)/D45)*100</f>
        <v>11.0435537046677</v>
      </c>
      <c r="E253" s="40"/>
      <c r="F253" s="44" t="n">
        <f aca="false">(ABS(C45-G45)/C45)*100</f>
        <v>0.00627943485086342</v>
      </c>
      <c r="G253" s="44" t="n">
        <f aca="false">(ABS(D45-H45)/D45)*100</f>
        <v>0.000694082942911678</v>
      </c>
      <c r="H253" s="42"/>
      <c r="I253" s="43" t="n">
        <f aca="false">(ABS(C45-I45)/C45)*100</f>
        <v>99.8869701726845</v>
      </c>
      <c r="J253" s="44" t="n">
        <f aca="false">(ABS(D45-J45)/D45)*100</f>
        <v>11.0407773728961</v>
      </c>
      <c r="K253" s="40"/>
      <c r="L253" s="44" t="n">
        <f aca="false">(ABS(C45-K45)/C45)*100</f>
        <v>0.00627943485086342</v>
      </c>
      <c r="M253" s="44" t="n">
        <f aca="false">(ABS(D45-L45)/D45)*100</f>
        <v>0.000694082942911678</v>
      </c>
      <c r="N253" s="40"/>
    </row>
    <row r="254" customFormat="false" ht="15" hidden="false" customHeight="false" outlineLevel="0" collapsed="false">
      <c r="A254" s="7"/>
      <c r="B254" s="25" t="n">
        <v>42</v>
      </c>
      <c r="C254" s="43" t="n">
        <f aca="false">(ABS(C46-E46)/C46)*100</f>
        <v>98.4740973312402</v>
      </c>
      <c r="D254" s="44" t="n">
        <f aca="false">(ABS(D46-F46)/D46)*100</f>
        <v>10.8846087107409</v>
      </c>
      <c r="E254" s="40"/>
      <c r="F254" s="44" t="n">
        <f aca="false">(ABS(C46-G46)/C46)*100</f>
        <v>0</v>
      </c>
      <c r="G254" s="44" t="n">
        <f aca="false">(ABS(D46-H46)/D46)*100</f>
        <v>0</v>
      </c>
      <c r="H254" s="42"/>
      <c r="I254" s="43" t="n">
        <f aca="false">(ABS(C46-I46)/C46)*100</f>
        <v>99.9811616954474</v>
      </c>
      <c r="J254" s="44" t="n">
        <f aca="false">(ABS(D46-J46)/D46)*100</f>
        <v>11.0511886170397</v>
      </c>
      <c r="K254" s="40"/>
      <c r="L254" s="44" t="n">
        <f aca="false">(ABS(C46-K46)/C46)*100</f>
        <v>0.0188383045525903</v>
      </c>
      <c r="M254" s="44" t="n">
        <f aca="false">(ABS(D46-L46)/D46)*100</f>
        <v>0.00208224882873503</v>
      </c>
      <c r="N254" s="40"/>
    </row>
    <row r="255" customFormat="false" ht="15" hidden="false" customHeight="false" outlineLevel="0" collapsed="false">
      <c r="A255" s="7"/>
      <c r="B255" s="25" t="n">
        <v>43</v>
      </c>
      <c r="C255" s="43" t="n">
        <f aca="false">(ABS(C47-E47)/C47)*100</f>
        <v>97.5510204081633</v>
      </c>
      <c r="D255" s="44" t="n">
        <f aca="false">(ABS(D47-F47)/D47)*100</f>
        <v>10.7825785181329</v>
      </c>
      <c r="E255" s="40"/>
      <c r="F255" s="44" t="n">
        <f aca="false">(ABS(C47-G47)/C47)*100</f>
        <v>0</v>
      </c>
      <c r="G255" s="44" t="n">
        <f aca="false">(ABS(D47-H47)/D47)*100</f>
        <v>0</v>
      </c>
      <c r="H255" s="42"/>
      <c r="I255" s="43" t="n">
        <f aca="false">(ABS(C47-I47)/C47)*100</f>
        <v>99.9434850863422</v>
      </c>
      <c r="J255" s="44" t="n">
        <f aca="false">(ABS(D47-J47)/D47)*100</f>
        <v>11.0470241193823</v>
      </c>
      <c r="K255" s="40"/>
      <c r="L255" s="44" t="n">
        <f aca="false">(ABS(C47-K47)/C47)*100</f>
        <v>0.0188383045525903</v>
      </c>
      <c r="M255" s="44" t="n">
        <f aca="false">(ABS(D47-L47)/D47)*100</f>
        <v>0.00208224882873503</v>
      </c>
      <c r="N255" s="40"/>
    </row>
    <row r="256" customFormat="false" ht="15" hidden="false" customHeight="false" outlineLevel="0" collapsed="false">
      <c r="A256" s="7"/>
      <c r="B256" s="25" t="n">
        <v>44</v>
      </c>
      <c r="C256" s="43" t="n">
        <f aca="false">(ABS(C48-E48)/C48)*100</f>
        <v>92.8854003139717</v>
      </c>
      <c r="D256" s="44" t="n">
        <f aca="false">(ABS(D48-F48)/D48)*100</f>
        <v>10.2668748915495</v>
      </c>
      <c r="E256" s="40"/>
      <c r="F256" s="44" t="n">
        <f aca="false">(ABS(C48-G48)/C48)*100</f>
        <v>0</v>
      </c>
      <c r="G256" s="44" t="n">
        <f aca="false">(ABS(D48-H48)/D48)*100</f>
        <v>0</v>
      </c>
      <c r="H256" s="42"/>
      <c r="I256" s="43" t="n">
        <f aca="false">(ABS(C48-I48)/C48)*100</f>
        <v>99.9748822605965</v>
      </c>
      <c r="J256" s="44" t="n">
        <f aca="false">(ABS(D48-J48)/D48)*100</f>
        <v>11.0504945340968</v>
      </c>
      <c r="K256" s="40"/>
      <c r="L256" s="44" t="n">
        <f aca="false">(ABS(C48-K48)/C48)*100</f>
        <v>0.0188383045525903</v>
      </c>
      <c r="M256" s="44" t="n">
        <f aca="false">(ABS(D48-L48)/D48)*100</f>
        <v>0.00208224882873503</v>
      </c>
      <c r="N256" s="40"/>
    </row>
    <row r="257" customFormat="false" ht="15" hidden="false" customHeight="false" outlineLevel="0" collapsed="false">
      <c r="A257" s="7"/>
      <c r="B257" s="25" t="n">
        <v>45</v>
      </c>
      <c r="C257" s="43" t="n">
        <f aca="false">(ABS(C49-E49)/C49)*100</f>
        <v>99.7802197802198</v>
      </c>
      <c r="D257" s="44" t="n">
        <f aca="false">(ABS(D49-F49)/D49)*100</f>
        <v>11.0289779628666</v>
      </c>
      <c r="E257" s="40"/>
      <c r="F257" s="44" t="n">
        <f aca="false">(ABS(C49-G49)/C49)*100</f>
        <v>0</v>
      </c>
      <c r="G257" s="44" t="n">
        <f aca="false">(ABS(D49-H49)/D49)*100</f>
        <v>0</v>
      </c>
      <c r="H257" s="42"/>
      <c r="I257" s="43" t="n">
        <f aca="false">(ABS(C49-I49)/C49)*100</f>
        <v>95.4725274725275</v>
      </c>
      <c r="J257" s="44" t="n">
        <f aca="false">(ABS(D49-J49)/D49)*100</f>
        <v>10.5528370640292</v>
      </c>
      <c r="K257" s="40"/>
      <c r="L257" s="44" t="n">
        <f aca="false">(ABS(C49-K49)/C49)*100</f>
        <v>0.0251177394034537</v>
      </c>
      <c r="M257" s="44" t="n">
        <f aca="false">(ABS(D49-L49)/D49)*100</f>
        <v>0.00277633177164671</v>
      </c>
      <c r="N257" s="40"/>
    </row>
    <row r="258" customFormat="false" ht="15" hidden="false" customHeight="false" outlineLevel="0" collapsed="false">
      <c r="A258" s="7"/>
      <c r="B258" s="25" t="n">
        <v>46</v>
      </c>
      <c r="C258" s="43" t="n">
        <f aca="false">(ABS(C50-E50)/C50)*100</f>
        <v>99.9434850863422</v>
      </c>
      <c r="D258" s="44" t="n">
        <f aca="false">(ABS(D50-F50)/D50)*100</f>
        <v>11.0470241193823</v>
      </c>
      <c r="E258" s="40"/>
      <c r="F258" s="44" t="n">
        <f aca="false">(ABS(C50-G50)/C50)*100</f>
        <v>0</v>
      </c>
      <c r="G258" s="44" t="n">
        <f aca="false">(ABS(D50-H50)/D50)*100</f>
        <v>0</v>
      </c>
      <c r="H258" s="42"/>
      <c r="I258" s="43" t="n">
        <f aca="false">(ABS(C50-I50)/C50)*100</f>
        <v>99.6169544740973</v>
      </c>
      <c r="J258" s="44" t="n">
        <f aca="false">(ABS(D50-J50)/D50)*100</f>
        <v>11.0109318063509</v>
      </c>
      <c r="K258" s="40"/>
      <c r="L258" s="44" t="n">
        <f aca="false">(ABS(C50-K50)/C50)*100</f>
        <v>0.0251177394034537</v>
      </c>
      <c r="M258" s="44" t="n">
        <f aca="false">(ABS(D50-L50)/D50)*100</f>
        <v>0.00277633177164671</v>
      </c>
      <c r="N258" s="40"/>
    </row>
    <row r="259" customFormat="false" ht="15" hidden="false" customHeight="false" outlineLevel="0" collapsed="false">
      <c r="A259" s="7"/>
      <c r="B259" s="25" t="n">
        <v>47</v>
      </c>
      <c r="C259" s="43" t="n">
        <f aca="false">(ABS(C51-E51)/C51)*100</f>
        <v>99.9309262166405</v>
      </c>
      <c r="D259" s="44" t="n">
        <f aca="false">(ABS(D51-F51)/D51)*100</f>
        <v>11.0456359534964</v>
      </c>
      <c r="E259" s="40"/>
      <c r="F259" s="44" t="n">
        <f aca="false">(ABS(C51-G51)/C51)*100</f>
        <v>0</v>
      </c>
      <c r="G259" s="44" t="n">
        <f aca="false">(ABS(D51-H51)/D51)*100</f>
        <v>0</v>
      </c>
      <c r="H259" s="42"/>
      <c r="I259" s="43" t="n">
        <f aca="false">(ABS(C51-I51)/C51)*100</f>
        <v>99.9686028257457</v>
      </c>
      <c r="J259" s="44" t="n">
        <f aca="false">(ABS(D51-J51)/D51)*100</f>
        <v>11.0498004511539</v>
      </c>
      <c r="K259" s="40"/>
      <c r="L259" s="44" t="n">
        <f aca="false">(ABS(C51-K51)/C51)*100</f>
        <v>0.0251177394034537</v>
      </c>
      <c r="M259" s="44" t="n">
        <f aca="false">(ABS(D51-L51)/D51)*100</f>
        <v>0.00277633177164671</v>
      </c>
      <c r="N259" s="40"/>
    </row>
    <row r="260" customFormat="false" ht="15" hidden="false" customHeight="false" outlineLevel="0" collapsed="false">
      <c r="A260" s="7"/>
      <c r="B260" s="25" t="n">
        <v>48</v>
      </c>
      <c r="C260" s="43" t="n">
        <f aca="false">(ABS(C52-E52)/C52)*100</f>
        <v>99.8681318681319</v>
      </c>
      <c r="D260" s="44" t="n">
        <f aca="false">(ABS(D52-F52)/D52)*100</f>
        <v>11.0386951240673</v>
      </c>
      <c r="E260" s="40"/>
      <c r="F260" s="44" t="n">
        <f aca="false">(ABS(C52-G52)/C52)*100</f>
        <v>0</v>
      </c>
      <c r="G260" s="44" t="n">
        <f aca="false">(ABS(D52-H52)/D52)*100</f>
        <v>0</v>
      </c>
      <c r="H260" s="42"/>
      <c r="I260" s="43" t="n">
        <f aca="false">(ABS(C52-I52)/C52)*100</f>
        <v>99.8241758241758</v>
      </c>
      <c r="J260" s="44" t="n">
        <f aca="false">(ABS(D52-J52)/D52)*100</f>
        <v>11.0338365434669</v>
      </c>
      <c r="K260" s="40"/>
      <c r="L260" s="44" t="n">
        <f aca="false">(ABS(C52-K52)/C52)*100</f>
        <v>0.0251177394034537</v>
      </c>
      <c r="M260" s="44" t="n">
        <f aca="false">(ABS(D52-L52)/D52)*100</f>
        <v>0.00277633177164671</v>
      </c>
      <c r="N260" s="40"/>
    </row>
    <row r="261" customFormat="false" ht="15" hidden="false" customHeight="false" outlineLevel="0" collapsed="false">
      <c r="A261" s="7"/>
      <c r="B261" s="25" t="n">
        <v>49</v>
      </c>
      <c r="C261" s="43" t="n">
        <f aca="false">(ABS(C53-E53)/C53)*100</f>
        <v>99.9246467817896</v>
      </c>
      <c r="D261" s="44" t="n">
        <f aca="false">(ABS(D53-F53)/D53)*100</f>
        <v>11.0449418705535</v>
      </c>
      <c r="E261" s="40"/>
      <c r="F261" s="44" t="n">
        <f aca="false">(ABS(C53-G53)/C53)*100</f>
        <v>0</v>
      </c>
      <c r="G261" s="44" t="n">
        <f aca="false">(ABS(D53-H53)/D53)*100</f>
        <v>0</v>
      </c>
      <c r="H261" s="42"/>
      <c r="I261" s="43" t="n">
        <f aca="false">(ABS(C53-I53)/C53)*100</f>
        <v>92.3704866562009</v>
      </c>
      <c r="J261" s="44" t="n">
        <f aca="false">(ABS(D53-J53)/D53)*100</f>
        <v>10.2099600902308</v>
      </c>
      <c r="K261" s="40"/>
      <c r="L261" s="44" t="n">
        <f aca="false">(ABS(C53-K53)/C53)*100</f>
        <v>0.0251177394034537</v>
      </c>
      <c r="M261" s="44" t="n">
        <f aca="false">(ABS(D53-L53)/D53)*100</f>
        <v>0.00277633177164671</v>
      </c>
      <c r="N261" s="40"/>
    </row>
    <row r="262" customFormat="false" ht="15" hidden="false" customHeight="false" outlineLevel="0" collapsed="false">
      <c r="A262" s="7"/>
      <c r="B262" s="25" t="n">
        <v>50</v>
      </c>
      <c r="C262" s="43" t="n">
        <f aca="false">(ABS(C54-E54)/C54)*100</f>
        <v>99.5541601255887</v>
      </c>
      <c r="D262" s="44" t="n">
        <f aca="false">(ABS(D54-F54)/D54)*100</f>
        <v>11.0039909769217</v>
      </c>
      <c r="E262" s="40"/>
      <c r="F262" s="44" t="n">
        <f aca="false">(ABS(C54-G54)/C54)*100</f>
        <v>0</v>
      </c>
      <c r="G262" s="44" t="n">
        <f aca="false">(ABS(D54-H54)/D54)*100</f>
        <v>0</v>
      </c>
      <c r="H262" s="42"/>
      <c r="I262" s="43" t="n">
        <f aca="false">(ABS(C54-I54)/C54)*100</f>
        <v>99.9183673469388</v>
      </c>
      <c r="J262" s="44" t="n">
        <f aca="false">(ABS(D54-J54)/D54)*100</f>
        <v>11.0442477876106</v>
      </c>
      <c r="K262" s="40"/>
      <c r="L262" s="44" t="n">
        <f aca="false">(ABS(C54-K54)/C54)*100</f>
        <v>0.0251177394034537</v>
      </c>
      <c r="M262" s="44" t="n">
        <f aca="false">(ABS(D54-L54)/D54)*100</f>
        <v>0.00277633177164671</v>
      </c>
      <c r="N262" s="40"/>
    </row>
    <row r="263" customFormat="false" ht="15" hidden="false" customHeight="false" outlineLevel="0" collapsed="false">
      <c r="A263" s="7"/>
      <c r="B263" s="25" t="n">
        <v>51</v>
      </c>
      <c r="C263" s="43" t="n">
        <f aca="false">(ABS(C55-E55)/C55)*100</f>
        <v>99.8932496075353</v>
      </c>
      <c r="D263" s="44" t="n">
        <f aca="false">(ABS(D55-F55)/D55)*100</f>
        <v>11.041471455839</v>
      </c>
      <c r="E263" s="40"/>
      <c r="F263" s="44" t="n">
        <f aca="false">(ABS(C55-G55)/C55)*100</f>
        <v>0.00627943485086342</v>
      </c>
      <c r="G263" s="44" t="n">
        <f aca="false">(ABS(D55-H55)/D55)*100</f>
        <v>0.000694082942911678</v>
      </c>
      <c r="H263" s="42"/>
      <c r="I263" s="43" t="n">
        <f aca="false">(ABS(C55-I55)/C55)*100</f>
        <v>99.9623233908948</v>
      </c>
      <c r="J263" s="44" t="n">
        <f aca="false">(ABS(D55-J55)/D55)*100</f>
        <v>11.049106368211</v>
      </c>
      <c r="K263" s="40"/>
      <c r="L263" s="44" t="n">
        <f aca="false">(ABS(C55-K55)/C55)*100</f>
        <v>0.0125588697017268</v>
      </c>
      <c r="M263" s="44" t="n">
        <f aca="false">(ABS(D55-L55)/D55)*100</f>
        <v>0.00138816588582336</v>
      </c>
      <c r="N263" s="40"/>
    </row>
    <row r="264" customFormat="false" ht="15" hidden="false" customHeight="false" outlineLevel="0" collapsed="false">
      <c r="A264" s="7"/>
      <c r="B264" s="25" t="n">
        <v>52</v>
      </c>
      <c r="C264" s="43" t="n">
        <f aca="false">(ABS(C56-E56)/C56)*100</f>
        <v>100</v>
      </c>
      <c r="D264" s="44" t="n">
        <f aca="false">(ABS(D56-F56)/D56)*100</f>
        <v>11.0532708658685</v>
      </c>
      <c r="E264" s="40"/>
      <c r="F264" s="44" t="n">
        <f aca="false">(ABS(C56-G56)/C56)*100</f>
        <v>0.0627943485086342</v>
      </c>
      <c r="G264" s="44" t="n">
        <f aca="false">(ABS(D56-H56)/D56)*100</f>
        <v>0.00694082942911678</v>
      </c>
      <c r="H264" s="42"/>
      <c r="I264" s="43" t="n">
        <f aca="false">(ABS(C56-I56)/C56)*100</f>
        <v>99.9372056514914</v>
      </c>
      <c r="J264" s="44" t="n">
        <f aca="false">(ABS(D56-J56)/D56)*100</f>
        <v>11.0463300364394</v>
      </c>
      <c r="K264" s="40"/>
      <c r="L264" s="44" t="n">
        <f aca="false">(ABS(C56-K56)/C56)*100</f>
        <v>0.0251177394034537</v>
      </c>
      <c r="M264" s="44" t="n">
        <f aca="false">(ABS(D56-L56)/D56)*100</f>
        <v>0.00277633177164671</v>
      </c>
      <c r="N264" s="40"/>
    </row>
    <row r="265" customFormat="false" ht="15" hidden="false" customHeight="false" outlineLevel="0" collapsed="false">
      <c r="A265" s="7"/>
      <c r="B265" s="25" t="n">
        <v>53</v>
      </c>
      <c r="C265" s="43" t="n">
        <f aca="false">(ABS(C57-E57)/C57)*100</f>
        <v>99.8932496075353</v>
      </c>
      <c r="D265" s="44" t="n">
        <f aca="false">(ABS(D57-F57)/D57)*100</f>
        <v>11.041471455839</v>
      </c>
      <c r="E265" s="40"/>
      <c r="F265" s="44" t="n">
        <f aca="false">(ABS(C57-G57)/C57)*100</f>
        <v>0.113029827315542</v>
      </c>
      <c r="G265" s="44" t="n">
        <f aca="false">(ABS(D57-H57)/D57)*100</f>
        <v>0.0124934929724102</v>
      </c>
      <c r="H265" s="42"/>
      <c r="I265" s="43" t="n">
        <f aca="false">(ABS(C57-I57)/C57)*100</f>
        <v>97.978021978022</v>
      </c>
      <c r="J265" s="44" t="n">
        <f aca="false">(ABS(D57-J57)/D57)*100</f>
        <v>10.8297761582509</v>
      </c>
      <c r="K265" s="40"/>
      <c r="L265" s="44" t="n">
        <f aca="false">(ABS(C57-K57)/C57)*100</f>
        <v>0.043956043956044</v>
      </c>
      <c r="M265" s="44" t="n">
        <f aca="false">(ABS(D57-L57)/D57)*100</f>
        <v>0.00485858060038175</v>
      </c>
      <c r="N265" s="40"/>
    </row>
    <row r="266" customFormat="false" ht="15" hidden="false" customHeight="false" outlineLevel="0" collapsed="false">
      <c r="A266" s="7"/>
      <c r="B266" s="25" t="n">
        <v>54</v>
      </c>
      <c r="C266" s="43" t="n">
        <f aca="false">(ABS(C58-E58)/C58)*100</f>
        <v>99.956043956044</v>
      </c>
      <c r="D266" s="44" t="n">
        <f aca="false">(ABS(D58-F58)/D58)*100</f>
        <v>11.0484122852681</v>
      </c>
      <c r="E266" s="40"/>
      <c r="F266" s="44" t="n">
        <f aca="false">(ABS(C58-G58)/C58)*100</f>
        <v>0.0251177394034537</v>
      </c>
      <c r="G266" s="44" t="n">
        <f aca="false">(ABS(D58-H58)/D58)*100</f>
        <v>0.00277633177164671</v>
      </c>
      <c r="H266" s="42"/>
      <c r="I266" s="43" t="n">
        <f aca="false">(ABS(C58-I58)/C58)*100</f>
        <v>99.9120879120879</v>
      </c>
      <c r="J266" s="44" t="n">
        <f aca="false">(ABS(D58-J58)/D58)*100</f>
        <v>11.0435537046677</v>
      </c>
      <c r="K266" s="40"/>
      <c r="L266" s="44" t="n">
        <f aca="false">(ABS(C58-K58)/C58)*100</f>
        <v>0.0376766091051805</v>
      </c>
      <c r="M266" s="44" t="n">
        <f aca="false">(ABS(D58-L58)/D58)*100</f>
        <v>0.00416449765747007</v>
      </c>
      <c r="N266" s="40"/>
    </row>
    <row r="267" customFormat="false" ht="15" hidden="false" customHeight="false" outlineLevel="0" collapsed="false">
      <c r="A267" s="7"/>
      <c r="B267" s="25" t="n">
        <v>55</v>
      </c>
      <c r="C267" s="43" t="n">
        <f aca="false">(ABS(C59-E59)/C59)*100</f>
        <v>98.6248037676609</v>
      </c>
      <c r="D267" s="44" t="n">
        <f aca="false">(ABS(D59-F59)/D59)*100</f>
        <v>10.9012667013708</v>
      </c>
      <c r="E267" s="40"/>
      <c r="F267" s="44" t="n">
        <f aca="false">(ABS(C59-G59)/C59)*100</f>
        <v>0.533751962323391</v>
      </c>
      <c r="G267" s="44" t="n">
        <f aca="false">(ABS(D59-H59)/D59)*100</f>
        <v>0.0589970501474926</v>
      </c>
      <c r="H267" s="42"/>
      <c r="I267" s="43" t="n">
        <f aca="false">(ABS(C59-I59)/C59)*100</f>
        <v>99.1020408163265</v>
      </c>
      <c r="J267" s="44" t="n">
        <f aca="false">(ABS(D59-J59)/D59)*100</f>
        <v>10.9540170050321</v>
      </c>
      <c r="K267" s="40"/>
      <c r="L267" s="44" t="n">
        <f aca="false">(ABS(C59-K59)/C59)*100</f>
        <v>0.0313971742543171</v>
      </c>
      <c r="M267" s="44" t="n">
        <f aca="false">(ABS(D59-L59)/D59)*100</f>
        <v>0.00347041471455839</v>
      </c>
      <c r="N267" s="40"/>
    </row>
    <row r="268" customFormat="false" ht="15" hidden="false" customHeight="false" outlineLevel="0" collapsed="false">
      <c r="A268" s="7"/>
      <c r="B268" s="25" t="n">
        <v>56</v>
      </c>
      <c r="C268" s="43" t="n">
        <f aca="false">(ABS(C60-E60)/C60)*100</f>
        <v>99.541601255887</v>
      </c>
      <c r="D268" s="44" t="n">
        <f aca="false">(ABS(D60-F60)/D60)*100</f>
        <v>11.0026028110359</v>
      </c>
      <c r="E268" s="40"/>
      <c r="F268" s="44" t="n">
        <f aca="false">(ABS(C60-G60)/C60)*100</f>
        <v>0.0376766091051805</v>
      </c>
      <c r="G268" s="44" t="n">
        <f aca="false">(ABS(D60-H60)/D60)*100</f>
        <v>0.00416449765747007</v>
      </c>
      <c r="H268" s="42"/>
      <c r="I268" s="43" t="n">
        <f aca="false">(ABS(C60-I60)/C60)*100</f>
        <v>99.9309262166405</v>
      </c>
      <c r="J268" s="44" t="n">
        <f aca="false">(ABS(D60-J60)/D60)*100</f>
        <v>11.0456359534964</v>
      </c>
      <c r="K268" s="40"/>
      <c r="L268" s="44" t="n">
        <f aca="false">(ABS(C60-K60)/C60)*100</f>
        <v>0.0376766091051805</v>
      </c>
      <c r="M268" s="44" t="n">
        <f aca="false">(ABS(D60-L60)/D60)*100</f>
        <v>0.00416449765747007</v>
      </c>
      <c r="N268" s="40"/>
    </row>
    <row r="269" customFormat="false" ht="15" hidden="false" customHeight="false" outlineLevel="0" collapsed="false">
      <c r="A269" s="7"/>
      <c r="B269" s="25" t="n">
        <v>57</v>
      </c>
      <c r="C269" s="43" t="n">
        <f aca="false">(ABS(C61-E61)/C61)*100</f>
        <v>99.9686028257457</v>
      </c>
      <c r="D269" s="44" t="n">
        <f aca="false">(ABS(D61-F61)/D61)*100</f>
        <v>11.0498004511539</v>
      </c>
      <c r="E269" s="40"/>
      <c r="F269" s="44" t="n">
        <f aca="false">(ABS(C61-G61)/C61)*100</f>
        <v>0.0376766091051805</v>
      </c>
      <c r="G269" s="44" t="n">
        <f aca="false">(ABS(D61-H61)/D61)*100</f>
        <v>0.00416449765747007</v>
      </c>
      <c r="H269" s="42"/>
      <c r="I269" s="43" t="n">
        <f aca="false">(ABS(C61-I61)/C61)*100</f>
        <v>90.6875981161695</v>
      </c>
      <c r="J269" s="44" t="n">
        <f aca="false">(ABS(D61-J61)/D61)*100</f>
        <v>10.0239458615305</v>
      </c>
      <c r="K269" s="40"/>
      <c r="L269" s="44" t="n">
        <f aca="false">(ABS(C61-K61)/C61)*100</f>
        <v>0.0376766091051805</v>
      </c>
      <c r="M269" s="44" t="n">
        <f aca="false">(ABS(D61-L61)/D61)*100</f>
        <v>0.00416449765747007</v>
      </c>
      <c r="N269" s="40"/>
    </row>
    <row r="270" customFormat="false" ht="15" hidden="false" customHeight="false" outlineLevel="0" collapsed="false">
      <c r="A270" s="7"/>
      <c r="B270" s="25" t="n">
        <v>58</v>
      </c>
      <c r="C270" s="43" t="n">
        <f aca="false">(ABS(C62-E62)/C62)*100</f>
        <v>100</v>
      </c>
      <c r="D270" s="44" t="n">
        <f aca="false">(ABS(D62-F62)/D62)*100</f>
        <v>11.0532708658685</v>
      </c>
      <c r="E270" s="40"/>
      <c r="F270" s="44" t="n">
        <f aca="false">(ABS(C62-G62)/C62)*100</f>
        <v>0.100470957613815</v>
      </c>
      <c r="G270" s="44" t="n">
        <f aca="false">(ABS(D62-H62)/D62)*100</f>
        <v>0.0111053270865868</v>
      </c>
      <c r="H270" s="42"/>
      <c r="I270" s="43" t="n">
        <f aca="false">(ABS(C62-I62)/C62)*100</f>
        <v>100</v>
      </c>
      <c r="J270" s="44" t="n">
        <f aca="false">(ABS(D62-J62)/D62)*100</f>
        <v>11.0532708658685</v>
      </c>
      <c r="K270" s="40"/>
      <c r="L270" s="44" t="n">
        <f aca="false">(ABS(C62-K62)/C62)*100</f>
        <v>0.0313971742543171</v>
      </c>
      <c r="M270" s="44" t="n">
        <f aca="false">(ABS(D62-L62)/D62)*100</f>
        <v>0.00347041471455839</v>
      </c>
      <c r="N270" s="40"/>
    </row>
    <row r="271" customFormat="false" ht="15" hidden="false" customHeight="false" outlineLevel="0" collapsed="false">
      <c r="A271" s="7"/>
      <c r="B271" s="25" t="n">
        <v>59</v>
      </c>
      <c r="C271" s="43" t="n">
        <f aca="false">(ABS(C63-E63)/C63)*100</f>
        <v>99.9686028257457</v>
      </c>
      <c r="D271" s="44" t="n">
        <f aca="false">(ABS(D63-F63)/D63)*100</f>
        <v>11.0498004511539</v>
      </c>
      <c r="E271" s="40"/>
      <c r="F271" s="44" t="n">
        <f aca="false">(ABS(C63-G63)/C63)*100</f>
        <v>1.07378335949765</v>
      </c>
      <c r="G271" s="44" t="n">
        <f aca="false">(ABS(D63-H63)/D63)*100</f>
        <v>0.118688183237897</v>
      </c>
      <c r="H271" s="42"/>
      <c r="I271" s="43" t="n">
        <f aca="false">(ABS(C63-I63)/C63)*100</f>
        <v>99.8681318681319</v>
      </c>
      <c r="J271" s="44" t="n">
        <f aca="false">(ABS(D63-J63)/D63)*100</f>
        <v>11.0386951240673</v>
      </c>
      <c r="K271" s="40"/>
      <c r="L271" s="44" t="n">
        <f aca="false">(ABS(C63-K63)/C63)*100</f>
        <v>1.08006279434851</v>
      </c>
      <c r="M271" s="44" t="n">
        <f aca="false">(ABS(D63-L63)/D63)*100</f>
        <v>0.119382266180809</v>
      </c>
      <c r="N271" s="40"/>
    </row>
    <row r="272" customFormat="false" ht="15" hidden="false" customHeight="false" outlineLevel="0" collapsed="false">
      <c r="A272" s="7"/>
      <c r="B272" s="25" t="n">
        <v>60</v>
      </c>
      <c r="C272" s="43" t="n">
        <f aca="false">(ABS(C64-E64)/C64)*100</f>
        <v>99.7362637362637</v>
      </c>
      <c r="D272" s="44" t="n">
        <f aca="false">(ABS(D64-F64)/D64)*100</f>
        <v>11.0241193822662</v>
      </c>
      <c r="E272" s="40"/>
      <c r="F272" s="44" t="n">
        <f aca="false">(ABS(C64-G64)/C64)*100</f>
        <v>0.0251177394034537</v>
      </c>
      <c r="G272" s="44" t="n">
        <f aca="false">(ABS(D64-H64)/D64)*100</f>
        <v>0.00277633177164671</v>
      </c>
      <c r="H272" s="42"/>
      <c r="I272" s="43" t="n">
        <f aca="false">(ABS(C64-I64)/C64)*100</f>
        <v>99.4097331240188</v>
      </c>
      <c r="J272" s="44" t="n">
        <f aca="false">(ABS(D64-J64)/D64)*100</f>
        <v>10.9880270692348</v>
      </c>
      <c r="K272" s="40"/>
      <c r="L272" s="44" t="n">
        <f aca="false">(ABS(C64-K64)/C64)*100</f>
        <v>0.0251177394034537</v>
      </c>
      <c r="M272" s="44" t="n">
        <f aca="false">(ABS(D64-L64)/D64)*100</f>
        <v>0.00277633177164671</v>
      </c>
      <c r="N272" s="40"/>
    </row>
    <row r="273" customFormat="false" ht="15" hidden="false" customHeight="false" outlineLevel="0" collapsed="false">
      <c r="A273" s="7"/>
      <c r="B273" s="25" t="n">
        <v>61</v>
      </c>
      <c r="C273" s="43" t="n">
        <f aca="false">(ABS(C65-E65)/C65)*100</f>
        <v>99.9811616954474</v>
      </c>
      <c r="D273" s="44" t="n">
        <f aca="false">(ABS(D65-F65)/D65)*100</f>
        <v>11.0511886170397</v>
      </c>
      <c r="E273" s="40"/>
      <c r="F273" s="44" t="n">
        <f aca="false">(ABS(C65-G65)/C65)*100</f>
        <v>0.043956043956044</v>
      </c>
      <c r="G273" s="44" t="n">
        <f aca="false">(ABS(D65-H65)/D65)*100</f>
        <v>0.00485858060038175</v>
      </c>
      <c r="H273" s="42"/>
      <c r="I273" s="43" t="n">
        <f aca="false">(ABS(C65-I65)/C65)*100</f>
        <v>99.9372056514914</v>
      </c>
      <c r="J273" s="44" t="n">
        <f aca="false">(ABS(D65-J65)/D65)*100</f>
        <v>11.0463300364394</v>
      </c>
      <c r="K273" s="40"/>
      <c r="L273" s="44" t="n">
        <f aca="false">(ABS(C65-K65)/C65)*100</f>
        <v>0.00627943485086342</v>
      </c>
      <c r="M273" s="44" t="n">
        <f aca="false">(ABS(D65-L65)/D65)*100</f>
        <v>0.000694082942911678</v>
      </c>
      <c r="N273" s="40"/>
    </row>
    <row r="274" customFormat="false" ht="15" hidden="false" customHeight="false" outlineLevel="0" collapsed="false">
      <c r="A274" s="7"/>
      <c r="B274" s="25" t="n">
        <v>62</v>
      </c>
      <c r="C274" s="43" t="n">
        <f aca="false">(ABS(C66-E66)/C66)*100</f>
        <v>99.9246467817896</v>
      </c>
      <c r="D274" s="44" t="n">
        <f aca="false">(ABS(D66-F66)/D66)*100</f>
        <v>11.0449418705535</v>
      </c>
      <c r="E274" s="40"/>
      <c r="F274" s="44" t="n">
        <f aca="false">(ABS(C66-G66)/C66)*100</f>
        <v>0.0188383045525903</v>
      </c>
      <c r="G274" s="44" t="n">
        <f aca="false">(ABS(D66-H66)/D66)*100</f>
        <v>0.00208224882873503</v>
      </c>
      <c r="H274" s="42"/>
      <c r="I274" s="43" t="n">
        <f aca="false">(ABS(C66-I66)/C66)*100</f>
        <v>99.9748822605965</v>
      </c>
      <c r="J274" s="44" t="n">
        <f aca="false">(ABS(D66-J66)/D66)*100</f>
        <v>11.0504945340968</v>
      </c>
      <c r="K274" s="40"/>
      <c r="L274" s="44" t="n">
        <f aca="false">(ABS(C66-K66)/C66)*100</f>
        <v>0.0188383045525903</v>
      </c>
      <c r="M274" s="44" t="n">
        <f aca="false">(ABS(D66-L66)/D66)*100</f>
        <v>0.00208224882873503</v>
      </c>
      <c r="N274" s="40"/>
    </row>
    <row r="275" customFormat="false" ht="15" hidden="false" customHeight="false" outlineLevel="0" collapsed="false">
      <c r="A275" s="7"/>
      <c r="B275" s="25" t="n">
        <v>63</v>
      </c>
      <c r="C275" s="43" t="n">
        <f aca="false">(ABS(C67-E67)/C67)*100</f>
        <v>99.9748822605965</v>
      </c>
      <c r="D275" s="44" t="n">
        <f aca="false">(ABS(D67-F67)/D67)*100</f>
        <v>11.0504945340968</v>
      </c>
      <c r="E275" s="40"/>
      <c r="F275" s="44" t="n">
        <f aca="false">(ABS(C67-G67)/C67)*100</f>
        <v>0.546310832025118</v>
      </c>
      <c r="G275" s="44" t="n">
        <f aca="false">(ABS(D67-H67)/D67)*100</f>
        <v>0.060385216033316</v>
      </c>
      <c r="H275" s="42"/>
      <c r="I275" s="43" t="n">
        <f aca="false">(ABS(C67-I67)/C67)*100</f>
        <v>99.8869701726845</v>
      </c>
      <c r="J275" s="44" t="n">
        <f aca="false">(ABS(D67-J67)/D67)*100</f>
        <v>11.0407773728961</v>
      </c>
      <c r="K275" s="40"/>
      <c r="L275" s="44" t="n">
        <f aca="false">(ABS(C67-K67)/C67)*100</f>
        <v>0.0188383045525903</v>
      </c>
      <c r="M275" s="44" t="n">
        <f aca="false">(ABS(D67-L67)/D67)*100</f>
        <v>0.00208224882873503</v>
      </c>
      <c r="N275" s="40"/>
    </row>
    <row r="276" customFormat="false" ht="15" hidden="false" customHeight="false" outlineLevel="0" collapsed="false">
      <c r="A276" s="7"/>
      <c r="B276" s="25" t="n">
        <v>64</v>
      </c>
      <c r="C276" s="43" t="n">
        <f aca="false">(ABS(C68-E68)/C68)*100</f>
        <v>99.956043956044</v>
      </c>
      <c r="D276" s="44" t="n">
        <f aca="false">(ABS(D68-F68)/D68)*100</f>
        <v>11.0484122852681</v>
      </c>
      <c r="E276" s="40"/>
      <c r="F276" s="44" t="n">
        <f aca="false">(ABS(C68-G68)/C68)*100</f>
        <v>0.0251177394034537</v>
      </c>
      <c r="G276" s="44" t="n">
        <f aca="false">(ABS(D68-H68)/D68)*100</f>
        <v>0.00277633177164671</v>
      </c>
      <c r="H276" s="42"/>
      <c r="I276" s="43" t="n">
        <f aca="false">(ABS(C68-I68)/C68)*100</f>
        <v>99.7739403453689</v>
      </c>
      <c r="J276" s="44" t="n">
        <f aca="false">(ABS(D68-J68)/D68)*100</f>
        <v>11.0282838799237</v>
      </c>
      <c r="K276" s="40"/>
      <c r="L276" s="44" t="n">
        <f aca="false">(ABS(C68-K68)/C68)*100</f>
        <v>0.0251177394034537</v>
      </c>
      <c r="M276" s="44" t="n">
        <f aca="false">(ABS(D68-L68)/D68)*100</f>
        <v>0.00277633177164671</v>
      </c>
      <c r="N276" s="40"/>
    </row>
    <row r="277" customFormat="false" ht="15" hidden="false" customHeight="false" outlineLevel="0" collapsed="false">
      <c r="A277" s="7"/>
      <c r="B277" s="25" t="n">
        <v>65</v>
      </c>
      <c r="C277" s="43" t="n">
        <f aca="false">(ABS(C69-E69)/C69)*100</f>
        <v>94.1664050235479</v>
      </c>
      <c r="D277" s="44" t="n">
        <f aca="false">(ABS(D69-F69)/D69)*100</f>
        <v>10.4084678119035</v>
      </c>
      <c r="E277" s="40"/>
      <c r="F277" s="44" t="n">
        <f aca="false">(ABS(C69-G69)/C69)*100</f>
        <v>0.0251177394034537</v>
      </c>
      <c r="G277" s="44" t="n">
        <f aca="false">(ABS(D69-H69)/D69)*100</f>
        <v>0.00277633177164671</v>
      </c>
      <c r="H277" s="42"/>
      <c r="I277" s="43" t="n">
        <f aca="false">(ABS(C69-I69)/C69)*100</f>
        <v>99.7613814756672</v>
      </c>
      <c r="J277" s="44" t="n">
        <f aca="false">(ABS(D69-J69)/D69)*100</f>
        <v>11.0268957140378</v>
      </c>
      <c r="K277" s="40"/>
      <c r="L277" s="44" t="n">
        <f aca="false">(ABS(C69-K69)/C69)*100</f>
        <v>0.0251177394034537</v>
      </c>
      <c r="M277" s="44" t="n">
        <f aca="false">(ABS(D69-L69)/D69)*100</f>
        <v>0.00277633177164671</v>
      </c>
      <c r="N277" s="40"/>
    </row>
    <row r="278" customFormat="false" ht="15" hidden="false" customHeight="false" outlineLevel="0" collapsed="false">
      <c r="A278" s="7"/>
      <c r="B278" s="25" t="n">
        <v>66</v>
      </c>
      <c r="C278" s="43" t="n">
        <f aca="false">(ABS(C70-E70)/C70)*100</f>
        <v>99.9748822605965</v>
      </c>
      <c r="D278" s="44" t="n">
        <f aca="false">(ABS(D70-F70)/D70)*100</f>
        <v>11.0504945340968</v>
      </c>
      <c r="E278" s="40"/>
      <c r="F278" s="44" t="n">
        <f aca="false">(ABS(C70-G70)/C70)*100</f>
        <v>0.0816326530612245</v>
      </c>
      <c r="G278" s="44" t="n">
        <f aca="false">(ABS(D70-H70)/D70)*100</f>
        <v>0.00902307825785181</v>
      </c>
      <c r="H278" s="42"/>
      <c r="I278" s="43" t="n">
        <f aca="false">(ABS(C70-I70)/C70)*100</f>
        <v>99.9874411302983</v>
      </c>
      <c r="J278" s="44" t="n">
        <f aca="false">(ABS(D70-J70)/D70)*100</f>
        <v>11.0518826999826</v>
      </c>
      <c r="K278" s="40"/>
      <c r="L278" s="44" t="n">
        <f aca="false">(ABS(C70-K70)/C70)*100</f>
        <v>0.0313971742543171</v>
      </c>
      <c r="M278" s="44" t="n">
        <f aca="false">(ABS(D70-L70)/D70)*100</f>
        <v>0.00347041471455839</v>
      </c>
      <c r="N278" s="40"/>
    </row>
    <row r="279" customFormat="false" ht="15" hidden="false" customHeight="false" outlineLevel="0" collapsed="false">
      <c r="A279" s="7"/>
      <c r="B279" s="25" t="n">
        <v>67</v>
      </c>
      <c r="C279" s="43" t="n">
        <f aca="false">(ABS(C71-E71)/C71)*100</f>
        <v>99.956043956044</v>
      </c>
      <c r="D279" s="44" t="n">
        <f aca="false">(ABS(D71-F71)/D71)*100</f>
        <v>11.0484122852681</v>
      </c>
      <c r="E279" s="40"/>
      <c r="F279" s="44" t="n">
        <f aca="false">(ABS(C71-G71)/C71)*100</f>
        <v>0.0251177394034537</v>
      </c>
      <c r="G279" s="44" t="n">
        <f aca="false">(ABS(D71-H71)/D71)*100</f>
        <v>0.00277633177164671</v>
      </c>
      <c r="H279" s="42"/>
      <c r="I279" s="43" t="n">
        <f aca="false">(ABS(C71-I71)/C71)*100</f>
        <v>99.5667189952904</v>
      </c>
      <c r="J279" s="44" t="n">
        <f aca="false">(ABS(D71-J71)/D71)*100</f>
        <v>11.0053791428076</v>
      </c>
      <c r="K279" s="40"/>
      <c r="L279" s="44" t="n">
        <f aca="false">(ABS(C71-K71)/C71)*100</f>
        <v>0.0251177394034537</v>
      </c>
      <c r="M279" s="44" t="n">
        <f aca="false">(ABS(D71-L71)/D71)*100</f>
        <v>0.00277633177164671</v>
      </c>
      <c r="N279" s="40"/>
    </row>
    <row r="280" customFormat="false" ht="15" hidden="false" customHeight="false" outlineLevel="0" collapsed="false">
      <c r="A280" s="7"/>
      <c r="B280" s="25" t="n">
        <v>68</v>
      </c>
      <c r="C280" s="43" t="n">
        <f aca="false">(ABS(C72-E72)/C72)*100</f>
        <v>91.6295133437991</v>
      </c>
      <c r="D280" s="44" t="n">
        <f aca="false">(ABS(D72-F72)/D72)*100</f>
        <v>10.1280583029672</v>
      </c>
      <c r="E280" s="40"/>
      <c r="F280" s="44" t="n">
        <f aca="false">(ABS(C72-G72)/C72)*100</f>
        <v>0.0251177394034537</v>
      </c>
      <c r="G280" s="44" t="n">
        <f aca="false">(ABS(D72-H72)/D72)*100</f>
        <v>0.00277633177164671</v>
      </c>
      <c r="H280" s="42"/>
      <c r="I280" s="43" t="n">
        <f aca="false">(ABS(C72-I72)/C72)*100</f>
        <v>99.7927786499215</v>
      </c>
      <c r="J280" s="44" t="n">
        <f aca="false">(ABS(D72-J72)/D72)*100</f>
        <v>11.0303661287524</v>
      </c>
      <c r="K280" s="40"/>
      <c r="L280" s="44" t="n">
        <f aca="false">(ABS(C72-K72)/C72)*100</f>
        <v>0.0251177394034537</v>
      </c>
      <c r="M280" s="44" t="n">
        <f aca="false">(ABS(D72-L72)/D72)*100</f>
        <v>0.00277633177164671</v>
      </c>
      <c r="N280" s="40"/>
    </row>
    <row r="281" customFormat="false" ht="15" hidden="false" customHeight="false" outlineLevel="0" collapsed="false">
      <c r="A281" s="7"/>
      <c r="B281" s="25" t="n">
        <v>69</v>
      </c>
      <c r="C281" s="43" t="n">
        <f aca="false">(ABS(C73-E73)/C73)*100</f>
        <v>97.4945054945055</v>
      </c>
      <c r="D281" s="44" t="n">
        <f aca="false">(ABS(D73-F73)/D73)*100</f>
        <v>10.7763317716467</v>
      </c>
      <c r="E281" s="40"/>
      <c r="F281" s="44" t="n">
        <f aca="false">(ABS(C73-G73)/C73)*100</f>
        <v>0.0251177394034537</v>
      </c>
      <c r="G281" s="44" t="n">
        <f aca="false">(ABS(D73-H73)/D73)*100</f>
        <v>0.00277633177164671</v>
      </c>
      <c r="H281" s="42"/>
      <c r="I281" s="43" t="n">
        <f aca="false">(ABS(C73-I73)/C73)*100</f>
        <v>99.9686028257457</v>
      </c>
      <c r="J281" s="44" t="n">
        <f aca="false">(ABS(D73-J73)/D73)*100</f>
        <v>11.0498004511539</v>
      </c>
      <c r="K281" s="40"/>
      <c r="L281" s="44" t="n">
        <f aca="false">(ABS(C73-K73)/C73)*100</f>
        <v>0.0251177394034537</v>
      </c>
      <c r="M281" s="44" t="n">
        <f aca="false">(ABS(D73-L73)/D73)*100</f>
        <v>0.00277633177164671</v>
      </c>
      <c r="N281" s="40"/>
    </row>
    <row r="282" customFormat="false" ht="15" hidden="false" customHeight="false" outlineLevel="0" collapsed="false">
      <c r="A282" s="7"/>
      <c r="B282" s="25" t="n">
        <v>70</v>
      </c>
      <c r="C282" s="43" t="n">
        <f aca="false">(ABS(C74-E74)/C74)*100</f>
        <v>98.0094191522763</v>
      </c>
      <c r="D282" s="44" t="n">
        <f aca="false">(ABS(D74-F74)/D74)*100</f>
        <v>10.8332465729655</v>
      </c>
      <c r="E282" s="40"/>
      <c r="F282" s="44" t="n">
        <f aca="false">(ABS(C74-G74)/C74)*100</f>
        <v>0.0251177394034537</v>
      </c>
      <c r="G282" s="44" t="n">
        <f aca="false">(ABS(D74-H74)/D74)*100</f>
        <v>0.00277633177164671</v>
      </c>
      <c r="H282" s="42"/>
      <c r="I282" s="43" t="n">
        <f aca="false">(ABS(C74-I74)/C74)*100</f>
        <v>99.861852433281</v>
      </c>
      <c r="J282" s="44" t="n">
        <f aca="false">(ABS(D74-J74)/D74)*100</f>
        <v>11.0380010411244</v>
      </c>
      <c r="K282" s="40"/>
      <c r="L282" s="44" t="n">
        <f aca="false">(ABS(C74-K74)/C74)*100</f>
        <v>0.0251177394034537</v>
      </c>
      <c r="M282" s="44" t="n">
        <f aca="false">(ABS(D74-L74)/D74)*100</f>
        <v>0.00277633177164671</v>
      </c>
      <c r="N282" s="40"/>
    </row>
    <row r="283" customFormat="false" ht="15" hidden="false" customHeight="false" outlineLevel="0" collapsed="false">
      <c r="A283" s="7"/>
      <c r="B283" s="25" t="n">
        <v>71</v>
      </c>
      <c r="C283" s="43" t="n">
        <f aca="false">(ABS(C75-E75)/C75)*100</f>
        <v>99.171114599686</v>
      </c>
      <c r="D283" s="44" t="n">
        <f aca="false">(ABS(D75-F75)/D75)*100</f>
        <v>10.9616519174041</v>
      </c>
      <c r="E283" s="40"/>
      <c r="F283" s="44" t="n">
        <f aca="false">(ABS(C75-G75)/C75)*100</f>
        <v>0.0251177394034537</v>
      </c>
      <c r="G283" s="44" t="n">
        <f aca="false">(ABS(D75-H75)/D75)*100</f>
        <v>0.00277633177164671</v>
      </c>
      <c r="H283" s="42"/>
      <c r="I283" s="43" t="n">
        <f aca="false">(ABS(C75-I75)/C75)*100</f>
        <v>99.9874411302983</v>
      </c>
      <c r="J283" s="44" t="n">
        <f aca="false">(ABS(D75-J75)/D75)*100</f>
        <v>11.0518826999826</v>
      </c>
      <c r="K283" s="40"/>
      <c r="L283" s="44" t="n">
        <f aca="false">(ABS(C75-K75)/C75)*100</f>
        <v>0.0251177394034537</v>
      </c>
      <c r="M283" s="44" t="n">
        <f aca="false">(ABS(D75-L75)/D75)*100</f>
        <v>0.00277633177164671</v>
      </c>
      <c r="N283" s="40"/>
    </row>
    <row r="284" customFormat="false" ht="15" hidden="false" customHeight="false" outlineLevel="0" collapsed="false">
      <c r="A284" s="7"/>
      <c r="B284" s="25" t="n">
        <v>72</v>
      </c>
      <c r="C284" s="43" t="n">
        <f aca="false">(ABS(C76-E76)/C76)*100</f>
        <v>99.9623233908948</v>
      </c>
      <c r="D284" s="44" t="n">
        <f aca="false">(ABS(D76-F76)/D76)*100</f>
        <v>11.049106368211</v>
      </c>
      <c r="E284" s="40"/>
      <c r="F284" s="44" t="n">
        <f aca="false">(ABS(C76-G76)/C76)*100</f>
        <v>0.0251177394034537</v>
      </c>
      <c r="G284" s="44" t="n">
        <f aca="false">(ABS(D76-H76)/D76)*100</f>
        <v>0.00277633177164671</v>
      </c>
      <c r="H284" s="42"/>
      <c r="I284" s="43" t="n">
        <f aca="false">(ABS(C76-I76)/C76)*100</f>
        <v>99.9874411302983</v>
      </c>
      <c r="J284" s="44" t="n">
        <f aca="false">(ABS(D76-J76)/D76)*100</f>
        <v>11.0518826999826</v>
      </c>
      <c r="K284" s="40"/>
      <c r="L284" s="44" t="n">
        <f aca="false">(ABS(C76-K76)/C76)*100</f>
        <v>0.0251177394034537</v>
      </c>
      <c r="M284" s="44" t="n">
        <f aca="false">(ABS(D76-L76)/D76)*100</f>
        <v>0.00277633177164671</v>
      </c>
      <c r="N284" s="40"/>
    </row>
    <row r="285" customFormat="false" ht="15" hidden="false" customHeight="false" outlineLevel="0" collapsed="false">
      <c r="A285" s="7"/>
      <c r="B285" s="25" t="n">
        <v>73</v>
      </c>
      <c r="C285" s="43" t="n">
        <f aca="false">(ABS(C77-E77)/C77)*100</f>
        <v>99.8430141287284</v>
      </c>
      <c r="D285" s="44" t="n">
        <f aca="false">(ABS(D77-F77)/D77)*100</f>
        <v>11.0359187922957</v>
      </c>
      <c r="E285" s="40"/>
      <c r="F285" s="44" t="n">
        <f aca="false">(ABS(C77-G77)/C77)*100</f>
        <v>0.0251177394034537</v>
      </c>
      <c r="G285" s="44" t="n">
        <f aca="false">(ABS(D77-H77)/D77)*100</f>
        <v>0.00277633177164671</v>
      </c>
      <c r="H285" s="42"/>
      <c r="I285" s="43" t="n">
        <f aca="false">(ABS(C77-I77)/C77)*100</f>
        <v>99.9874411302983</v>
      </c>
      <c r="J285" s="44" t="n">
        <f aca="false">(ABS(D77-J77)/D77)*100</f>
        <v>11.0518826999826</v>
      </c>
      <c r="K285" s="40"/>
      <c r="L285" s="44" t="n">
        <f aca="false">(ABS(C77-K77)/C77)*100</f>
        <v>0.0313971742543171</v>
      </c>
      <c r="M285" s="44" t="n">
        <f aca="false">(ABS(D77-L77)/D77)*100</f>
        <v>0.00347041471455839</v>
      </c>
      <c r="N285" s="40"/>
    </row>
    <row r="286" customFormat="false" ht="15" hidden="false" customHeight="false" outlineLevel="0" collapsed="false">
      <c r="A286" s="7"/>
      <c r="B286" s="25" t="n">
        <v>74</v>
      </c>
      <c r="C286" s="43" t="n">
        <f aca="false">(ABS(C78-E78)/C78)*100</f>
        <v>99.5981161695447</v>
      </c>
      <c r="D286" s="44" t="n">
        <f aca="false">(ABS(D78-F78)/D78)*100</f>
        <v>11.0088495575221</v>
      </c>
      <c r="E286" s="40"/>
      <c r="F286" s="44" t="n">
        <f aca="false">(ABS(C78-G78)/C78)*100</f>
        <v>0.0251177394034537</v>
      </c>
      <c r="G286" s="44" t="n">
        <f aca="false">(ABS(D78-H78)/D78)*100</f>
        <v>0.00277633177164671</v>
      </c>
      <c r="H286" s="42"/>
      <c r="I286" s="43" t="n">
        <f aca="false">(ABS(C78-I78)/C78)*100</f>
        <v>99.9874411302983</v>
      </c>
      <c r="J286" s="44" t="n">
        <f aca="false">(ABS(D78-J78)/D78)*100</f>
        <v>11.0518826999826</v>
      </c>
      <c r="K286" s="40"/>
      <c r="L286" s="44" t="n">
        <f aca="false">(ABS(C78-K78)/C78)*100</f>
        <v>0.0313971742543171</v>
      </c>
      <c r="M286" s="44" t="n">
        <f aca="false">(ABS(D78-L78)/D78)*100</f>
        <v>0.00347041471455839</v>
      </c>
      <c r="N286" s="40"/>
    </row>
    <row r="287" customFormat="false" ht="15" hidden="false" customHeight="false" outlineLevel="0" collapsed="false">
      <c r="A287" s="7"/>
      <c r="B287" s="25" t="n">
        <v>75</v>
      </c>
      <c r="C287" s="43" t="n">
        <f aca="false">(ABS(C79-E79)/C79)*100</f>
        <v>99.8995290423862</v>
      </c>
      <c r="D287" s="44" t="n">
        <f aca="false">(ABS(D79-F79)/D79)*100</f>
        <v>11.0421655387819</v>
      </c>
      <c r="E287" s="40"/>
      <c r="F287" s="44" t="n">
        <f aca="false">(ABS(C79-G79)/C79)*100</f>
        <v>0.0251177394034537</v>
      </c>
      <c r="G287" s="44" t="n">
        <f aca="false">(ABS(D79-H79)/D79)*100</f>
        <v>0.00277633177164671</v>
      </c>
      <c r="H287" s="42"/>
      <c r="I287" s="43" t="n">
        <f aca="false">(ABS(C79-I79)/C79)*100</f>
        <v>99.9874411302983</v>
      </c>
      <c r="J287" s="44" t="n">
        <f aca="false">(ABS(D79-J79)/D79)*100</f>
        <v>11.0518826999826</v>
      </c>
      <c r="K287" s="40"/>
      <c r="L287" s="44" t="n">
        <f aca="false">(ABS(C79-K79)/C79)*100</f>
        <v>0.0313971742543171</v>
      </c>
      <c r="M287" s="44" t="n">
        <f aca="false">(ABS(D79-L79)/D79)*100</f>
        <v>0.00347041471455839</v>
      </c>
      <c r="N287" s="40"/>
    </row>
    <row r="288" customFormat="false" ht="15" hidden="false" customHeight="false" outlineLevel="0" collapsed="false">
      <c r="A288" s="7"/>
      <c r="B288" s="25" t="n">
        <v>76</v>
      </c>
      <c r="C288" s="43" t="n">
        <f aca="false">(ABS(C80-E80)/C80)*100</f>
        <v>99.956043956044</v>
      </c>
      <c r="D288" s="44" t="n">
        <f aca="false">(ABS(D80-F80)/D80)*100</f>
        <v>11.0484122852681</v>
      </c>
      <c r="E288" s="40"/>
      <c r="F288" s="44" t="n">
        <f aca="false">(ABS(C80-G80)/C80)*100</f>
        <v>0.0251177394034537</v>
      </c>
      <c r="G288" s="44" t="n">
        <f aca="false">(ABS(D80-H80)/D80)*100</f>
        <v>0.00277633177164671</v>
      </c>
      <c r="H288" s="42"/>
      <c r="I288" s="43" t="n">
        <f aca="false">(ABS(C80-I80)/C80)*100</f>
        <v>99.9372056514914</v>
      </c>
      <c r="J288" s="44" t="n">
        <f aca="false">(ABS(D80-J80)/D80)*100</f>
        <v>11.0463300364394</v>
      </c>
      <c r="K288" s="40"/>
      <c r="L288" s="44" t="n">
        <f aca="false">(ABS(C80-K80)/C80)*100</f>
        <v>0.0251177394034537</v>
      </c>
      <c r="M288" s="44" t="n">
        <f aca="false">(ABS(D80-L80)/D80)*100</f>
        <v>0.00277633177164671</v>
      </c>
      <c r="N288" s="40"/>
    </row>
    <row r="289" customFormat="false" ht="15" hidden="false" customHeight="false" outlineLevel="0" collapsed="false">
      <c r="A289" s="7"/>
      <c r="B289" s="25" t="n">
        <v>77</v>
      </c>
      <c r="C289" s="43" t="n">
        <f aca="false">(ABS(C81-E81)/C81)*100</f>
        <v>99.8430141287284</v>
      </c>
      <c r="D289" s="44" t="n">
        <f aca="false">(ABS(D81-F81)/D81)*100</f>
        <v>11.0359187922957</v>
      </c>
      <c r="E289" s="40"/>
      <c r="F289" s="44" t="n">
        <f aca="false">(ABS(C81-G81)/C81)*100</f>
        <v>0.0251177394034537</v>
      </c>
      <c r="G289" s="44" t="n">
        <f aca="false">(ABS(D81-H81)/D81)*100</f>
        <v>0.00277633177164671</v>
      </c>
      <c r="H289" s="42"/>
      <c r="I289" s="43" t="n">
        <f aca="false">(ABS(C81-I81)/C81)*100</f>
        <v>99.9434850863422</v>
      </c>
      <c r="J289" s="44" t="n">
        <f aca="false">(ABS(D81-J81)/D81)*100</f>
        <v>11.0470241193823</v>
      </c>
      <c r="K289" s="40"/>
      <c r="L289" s="44" t="n">
        <f aca="false">(ABS(C81-K81)/C81)*100</f>
        <v>0.0188383045525903</v>
      </c>
      <c r="M289" s="44" t="n">
        <f aca="false">(ABS(D81-L81)/D81)*100</f>
        <v>0.00208224882873503</v>
      </c>
      <c r="N289" s="40"/>
    </row>
    <row r="290" customFormat="false" ht="15" hidden="false" customHeight="false" outlineLevel="0" collapsed="false">
      <c r="A290" s="7"/>
      <c r="B290" s="25" t="n">
        <v>78</v>
      </c>
      <c r="C290" s="43" t="n">
        <f aca="false">(ABS(C82-E82)/C82)*100</f>
        <v>99.9309262166405</v>
      </c>
      <c r="D290" s="44" t="n">
        <f aca="false">(ABS(D82-F82)/D82)*100</f>
        <v>11.0456359534964</v>
      </c>
      <c r="E290" s="40"/>
      <c r="F290" s="44" t="n">
        <f aca="false">(ABS(C82-G82)/C82)*100</f>
        <v>0.0251177394034537</v>
      </c>
      <c r="G290" s="44" t="n">
        <f aca="false">(ABS(D82-H82)/D82)*100</f>
        <v>0.00277633177164671</v>
      </c>
      <c r="H290" s="42"/>
      <c r="I290" s="43" t="n">
        <f aca="false">(ABS(C82-I82)/C82)*100</f>
        <v>99.9937205651491</v>
      </c>
      <c r="J290" s="44" t="n">
        <f aca="false">(ABS(D82-J82)/D82)*100</f>
        <v>11.0525767829256</v>
      </c>
      <c r="K290" s="40"/>
      <c r="L290" s="44" t="n">
        <f aca="false">(ABS(C82-K82)/C82)*100</f>
        <v>0.0313971742543171</v>
      </c>
      <c r="M290" s="44" t="n">
        <f aca="false">(ABS(D82-L82)/D82)*100</f>
        <v>0.00347041471455839</v>
      </c>
      <c r="N290" s="40"/>
    </row>
    <row r="291" customFormat="false" ht="15" hidden="false" customHeight="false" outlineLevel="0" collapsed="false">
      <c r="A291" s="7"/>
      <c r="B291" s="25" t="n">
        <v>79</v>
      </c>
      <c r="C291" s="43" t="n">
        <f aca="false">(ABS(C83-E83)/C83)*100</f>
        <v>99.8869701726845</v>
      </c>
      <c r="D291" s="44" t="n">
        <f aca="false">(ABS(D83-F83)/D83)*100</f>
        <v>11.0407773728961</v>
      </c>
      <c r="E291" s="40"/>
      <c r="F291" s="44" t="n">
        <f aca="false">(ABS(C83-G83)/C83)*100</f>
        <v>0.0251177394034537</v>
      </c>
      <c r="G291" s="44" t="n">
        <f aca="false">(ABS(D83-H83)/D83)*100</f>
        <v>0.00277633177164671</v>
      </c>
      <c r="H291" s="42"/>
      <c r="I291" s="43" t="n">
        <f aca="false">(ABS(C83-I83)/C83)*100</f>
        <v>99.9937205651491</v>
      </c>
      <c r="J291" s="44" t="n">
        <f aca="false">(ABS(D83-J83)/D83)*100</f>
        <v>11.0525767829256</v>
      </c>
      <c r="K291" s="40"/>
      <c r="L291" s="44" t="n">
        <f aca="false">(ABS(C83-K83)/C83)*100</f>
        <v>0.0313971742543171</v>
      </c>
      <c r="M291" s="44" t="n">
        <f aca="false">(ABS(D83-L83)/D83)*100</f>
        <v>0.00347041471455839</v>
      </c>
      <c r="N291" s="40"/>
    </row>
    <row r="292" customFormat="false" ht="15" hidden="false" customHeight="false" outlineLevel="0" collapsed="false">
      <c r="A292" s="7"/>
      <c r="B292" s="25" t="n">
        <v>80</v>
      </c>
      <c r="C292" s="43" t="n">
        <f aca="false">(ABS(C84-E84)/C84)*100</f>
        <v>98.6310832025118</v>
      </c>
      <c r="D292" s="44" t="n">
        <f aca="false">(ABS(D84-F84)/D84)*100</f>
        <v>10.9019607843137</v>
      </c>
      <c r="E292" s="40"/>
      <c r="F292" s="44" t="n">
        <f aca="false">(ABS(C84-G84)/C84)*100</f>
        <v>0.0188383045525903</v>
      </c>
      <c r="G292" s="44" t="n">
        <f aca="false">(ABS(D84-H84)/D84)*100</f>
        <v>0.00208224882873503</v>
      </c>
      <c r="H292" s="42"/>
      <c r="I292" s="43" t="n">
        <f aca="false">(ABS(C84-I84)/C84)*100</f>
        <v>99.861852433281</v>
      </c>
      <c r="J292" s="44" t="n">
        <f aca="false">(ABS(D84-J84)/D84)*100</f>
        <v>11.0380010411244</v>
      </c>
      <c r="K292" s="40"/>
      <c r="L292" s="44" t="n">
        <f aca="false">(ABS(C84-K84)/C84)*100</f>
        <v>0.0188383045525903</v>
      </c>
      <c r="M292" s="44" t="n">
        <f aca="false">(ABS(D84-L84)/D84)*100</f>
        <v>0.00208224882873503</v>
      </c>
      <c r="N292" s="40"/>
    </row>
    <row r="293" customFormat="false" ht="15" hidden="false" customHeight="false" outlineLevel="0" collapsed="false">
      <c r="A293" s="7"/>
      <c r="B293" s="25" t="n">
        <v>81</v>
      </c>
      <c r="C293" s="43" t="n">
        <f aca="false">(ABS(C85-E85)/C85)*100</f>
        <v>99.861852433281</v>
      </c>
      <c r="D293" s="44" t="n">
        <f aca="false">(ABS(D85-F85)/D85)*100</f>
        <v>11.0380010411244</v>
      </c>
      <c r="E293" s="40"/>
      <c r="F293" s="44" t="n">
        <f aca="false">(ABS(C85-G85)/C85)*100</f>
        <v>0.0251177394034537</v>
      </c>
      <c r="G293" s="44" t="n">
        <f aca="false">(ABS(D85-H85)/D85)*100</f>
        <v>0.00277633177164671</v>
      </c>
      <c r="H293" s="42"/>
      <c r="I293" s="43" t="n">
        <f aca="false">(ABS(C85-I85)/C85)*100</f>
        <v>99.9874411302983</v>
      </c>
      <c r="J293" s="44" t="n">
        <f aca="false">(ABS(D85-J85)/D85)*100</f>
        <v>11.0518826999826</v>
      </c>
      <c r="K293" s="40"/>
      <c r="L293" s="44" t="n">
        <f aca="false">(ABS(C85-K85)/C85)*100</f>
        <v>0.0251177394034537</v>
      </c>
      <c r="M293" s="44" t="n">
        <f aca="false">(ABS(D85-L85)/D85)*100</f>
        <v>0.00277633177164671</v>
      </c>
      <c r="N293" s="40"/>
    </row>
    <row r="294" customFormat="false" ht="15" hidden="false" customHeight="false" outlineLevel="0" collapsed="false">
      <c r="A294" s="7"/>
      <c r="B294" s="25" t="n">
        <v>82</v>
      </c>
      <c r="C294" s="43" t="n">
        <f aca="false">(ABS(C86-E86)/C86)*100</f>
        <v>99.905808477237</v>
      </c>
      <c r="D294" s="44" t="n">
        <f aca="false">(ABS(D86-F86)/D86)*100</f>
        <v>11.0428596217248</v>
      </c>
      <c r="E294" s="40"/>
      <c r="F294" s="44" t="n">
        <f aca="false">(ABS(C86-G86)/C86)*100</f>
        <v>0.0251177394034537</v>
      </c>
      <c r="G294" s="44" t="n">
        <f aca="false">(ABS(D86-H86)/D86)*100</f>
        <v>0.00277633177164671</v>
      </c>
      <c r="H294" s="42"/>
      <c r="I294" s="43" t="n">
        <f aca="false">(ABS(C86-I86)/C86)*100</f>
        <v>99.9623233908948</v>
      </c>
      <c r="J294" s="44" t="n">
        <f aca="false">(ABS(D86-J86)/D86)*100</f>
        <v>11.049106368211</v>
      </c>
      <c r="K294" s="40"/>
      <c r="L294" s="44" t="n">
        <f aca="false">(ABS(C86-K86)/C86)*100</f>
        <v>0.0251177394034537</v>
      </c>
      <c r="M294" s="44" t="n">
        <f aca="false">(ABS(D86-L86)/D86)*100</f>
        <v>0.00277633177164671</v>
      </c>
      <c r="N294" s="40"/>
    </row>
    <row r="295" customFormat="false" ht="15" hidden="false" customHeight="false" outlineLevel="0" collapsed="false">
      <c r="A295" s="7"/>
      <c r="B295" s="25" t="n">
        <v>83</v>
      </c>
      <c r="C295" s="43" t="n">
        <f aca="false">(ABS(C87-E87)/C87)*100</f>
        <v>99.9748822605965</v>
      </c>
      <c r="D295" s="44" t="n">
        <f aca="false">(ABS(D87-F87)/D87)*100</f>
        <v>11.0504945340968</v>
      </c>
      <c r="E295" s="40"/>
      <c r="F295" s="44" t="n">
        <f aca="false">(ABS(C87-G87)/C87)*100</f>
        <v>0.0188383045525903</v>
      </c>
      <c r="G295" s="44" t="n">
        <f aca="false">(ABS(D87-H87)/D87)*100</f>
        <v>0.00208224882873503</v>
      </c>
      <c r="H295" s="42"/>
      <c r="I295" s="43" t="n">
        <f aca="false">(ABS(C87-I87)/C87)*100</f>
        <v>99.8241758241758</v>
      </c>
      <c r="J295" s="44" t="n">
        <f aca="false">(ABS(D87-J87)/D87)*100</f>
        <v>11.0338365434669</v>
      </c>
      <c r="K295" s="40"/>
      <c r="L295" s="44" t="n">
        <f aca="false">(ABS(C87-K87)/C87)*100</f>
        <v>0.0251177394034537</v>
      </c>
      <c r="M295" s="44" t="n">
        <f aca="false">(ABS(D87-L87)/D87)*100</f>
        <v>0.00277633177164671</v>
      </c>
      <c r="N295" s="40"/>
    </row>
    <row r="296" customFormat="false" ht="15" hidden="false" customHeight="false" outlineLevel="0" collapsed="false">
      <c r="A296" s="7"/>
      <c r="B296" s="25" t="n">
        <v>84</v>
      </c>
      <c r="C296" s="43" t="n">
        <f aca="false">(ABS(C88-E88)/C88)*100</f>
        <v>99.9183673469388</v>
      </c>
      <c r="D296" s="44" t="n">
        <f aca="false">(ABS(D88-F88)/D88)*100</f>
        <v>11.0442477876106</v>
      </c>
      <c r="E296" s="40"/>
      <c r="F296" s="44" t="n">
        <f aca="false">(ABS(C88-G88)/C88)*100</f>
        <v>0.0188383045525903</v>
      </c>
      <c r="G296" s="44" t="n">
        <f aca="false">(ABS(D88-H88)/D88)*100</f>
        <v>0.00208224882873503</v>
      </c>
      <c r="H296" s="42"/>
      <c r="I296" s="43" t="n">
        <f aca="false">(ABS(C88-I88)/C88)*100</f>
        <v>99.9874411302983</v>
      </c>
      <c r="J296" s="44" t="n">
        <f aca="false">(ABS(D88-J88)/D88)*100</f>
        <v>11.0518826999826</v>
      </c>
      <c r="K296" s="40"/>
      <c r="L296" s="44" t="n">
        <f aca="false">(ABS(C88-K88)/C88)*100</f>
        <v>0.0188383045525903</v>
      </c>
      <c r="M296" s="44" t="n">
        <f aca="false">(ABS(D88-L88)/D88)*100</f>
        <v>0.00208224882873503</v>
      </c>
      <c r="N296" s="40"/>
    </row>
    <row r="297" customFormat="false" ht="15" hidden="false" customHeight="false" outlineLevel="0" collapsed="false">
      <c r="A297" s="7"/>
      <c r="B297" s="25" t="n">
        <v>85</v>
      </c>
      <c r="C297" s="43" t="n">
        <f aca="false">(ABS(C89-E89)/C89)*100</f>
        <v>97.7645211930926</v>
      </c>
      <c r="D297" s="44" t="n">
        <f aca="false">(ABS(D89-F89)/D89)*100</f>
        <v>10.8061773381919</v>
      </c>
      <c r="E297" s="40"/>
      <c r="F297" s="44" t="n">
        <f aca="false">(ABS(C89-G89)/C89)*100</f>
        <v>0.0188383045525903</v>
      </c>
      <c r="G297" s="44" t="n">
        <f aca="false">(ABS(D89-H89)/D89)*100</f>
        <v>0.00208224882873503</v>
      </c>
      <c r="H297" s="42"/>
      <c r="I297" s="43" t="n">
        <f aca="false">(ABS(C89-I89)/C89)*100</f>
        <v>99.7676609105181</v>
      </c>
      <c r="J297" s="44" t="n">
        <f aca="false">(ABS(D89-J89)/D89)*100</f>
        <v>11.0275897969807</v>
      </c>
      <c r="K297" s="40"/>
      <c r="L297" s="44" t="n">
        <f aca="false">(ABS(C89-K89)/C89)*100</f>
        <v>0.0188383045525903</v>
      </c>
      <c r="M297" s="44" t="n">
        <f aca="false">(ABS(D89-L89)/D89)*100</f>
        <v>0.00208224882873503</v>
      </c>
      <c r="N297" s="40"/>
    </row>
    <row r="298" customFormat="false" ht="15" hidden="false" customHeight="false" outlineLevel="0" collapsed="false">
      <c r="A298" s="7"/>
      <c r="B298" s="25" t="n">
        <v>86</v>
      </c>
      <c r="C298" s="43" t="n">
        <f aca="false">(ABS(C90-E90)/C90)*100</f>
        <v>99.9497645211931</v>
      </c>
      <c r="D298" s="44" t="n">
        <f aca="false">(ABS(D90-F90)/D90)*100</f>
        <v>11.0477182023252</v>
      </c>
      <c r="E298" s="40"/>
      <c r="F298" s="44" t="n">
        <f aca="false">(ABS(C90-G90)/C90)*100</f>
        <v>0.0313971742543171</v>
      </c>
      <c r="G298" s="44" t="n">
        <f aca="false">(ABS(D90-H90)/D90)*100</f>
        <v>0.00347041471455839</v>
      </c>
      <c r="H298" s="42"/>
      <c r="I298" s="43" t="n">
        <f aca="false">(ABS(C90-I90)/C90)*100</f>
        <v>99.9811616954474</v>
      </c>
      <c r="J298" s="44" t="n">
        <f aca="false">(ABS(D90-J90)/D90)*100</f>
        <v>11.0511886170397</v>
      </c>
      <c r="K298" s="40"/>
      <c r="L298" s="44" t="n">
        <f aca="false">(ABS(C90-K90)/C90)*100</f>
        <v>0.0502354788069074</v>
      </c>
      <c r="M298" s="44" t="n">
        <f aca="false">(ABS(D90-L90)/D90)*100</f>
        <v>0.00555266354329342</v>
      </c>
      <c r="N298" s="40"/>
    </row>
    <row r="299" customFormat="false" ht="15" hidden="false" customHeight="false" outlineLevel="0" collapsed="false">
      <c r="A299" s="7"/>
      <c r="B299" s="25" t="n">
        <v>87</v>
      </c>
      <c r="C299" s="43" t="n">
        <f aca="false">(ABS(C91-E91)/C91)*100</f>
        <v>99.9623233908948</v>
      </c>
      <c r="D299" s="44" t="n">
        <f aca="false">(ABS(D91-F91)/D91)*100</f>
        <v>11.049106368211</v>
      </c>
      <c r="E299" s="40"/>
      <c r="F299" s="44" t="n">
        <f aca="false">(ABS(C91-G91)/C91)*100</f>
        <v>0.0816326530612245</v>
      </c>
      <c r="G299" s="44" t="n">
        <f aca="false">(ABS(D91-H91)/D91)*100</f>
        <v>0.00902307825785181</v>
      </c>
      <c r="H299" s="42"/>
      <c r="I299" s="43" t="n">
        <f aca="false">(ABS(C91-I91)/C91)*100</f>
        <v>99.9434850863422</v>
      </c>
      <c r="J299" s="44" t="n">
        <f aca="false">(ABS(D91-J91)/D91)*100</f>
        <v>11.0470241193823</v>
      </c>
      <c r="K299" s="40"/>
      <c r="L299" s="44" t="n">
        <f aca="false">(ABS(C91-K91)/C91)*100</f>
        <v>0.0125588697017268</v>
      </c>
      <c r="M299" s="44" t="n">
        <f aca="false">(ABS(D91-L91)/D91)*100</f>
        <v>0.00138816588582336</v>
      </c>
      <c r="N299" s="40"/>
    </row>
    <row r="300" customFormat="false" ht="15" hidden="false" customHeight="false" outlineLevel="0" collapsed="false">
      <c r="A300" s="7"/>
      <c r="B300" s="25" t="n">
        <v>88</v>
      </c>
      <c r="C300" s="43" t="n">
        <f aca="false">(ABS(C92-E92)/C92)*100</f>
        <v>99.9434850863422</v>
      </c>
      <c r="D300" s="44" t="n">
        <f aca="false">(ABS(D92-F92)/D92)*100</f>
        <v>11.0470241193823</v>
      </c>
      <c r="E300" s="40"/>
      <c r="F300" s="44" t="n">
        <f aca="false">(ABS(C92-G92)/C92)*100</f>
        <v>0.0313971742543171</v>
      </c>
      <c r="G300" s="44" t="n">
        <f aca="false">(ABS(D92-H92)/D92)*100</f>
        <v>0.00347041471455839</v>
      </c>
      <c r="H300" s="42"/>
      <c r="I300" s="43" t="n">
        <f aca="false">(ABS(C92-I92)/C92)*100</f>
        <v>99.9623233908948</v>
      </c>
      <c r="J300" s="44" t="n">
        <f aca="false">(ABS(D92-J92)/D92)*100</f>
        <v>11.049106368211</v>
      </c>
      <c r="K300" s="40"/>
      <c r="L300" s="44" t="n">
        <f aca="false">(ABS(C92-K92)/C92)*100</f>
        <v>0.0251177394034537</v>
      </c>
      <c r="M300" s="44" t="n">
        <f aca="false">(ABS(D92-L92)/D92)*100</f>
        <v>0.00277633177164671</v>
      </c>
      <c r="N300" s="40"/>
    </row>
    <row r="301" customFormat="false" ht="15" hidden="false" customHeight="false" outlineLevel="0" collapsed="false">
      <c r="A301" s="7"/>
      <c r="B301" s="25" t="n">
        <v>89</v>
      </c>
      <c r="C301" s="43" t="n">
        <f aca="false">(ABS(C93-E93)/C93)*100</f>
        <v>99.9686028257457</v>
      </c>
      <c r="D301" s="44" t="n">
        <f aca="false">(ABS(D93-F93)/D93)*100</f>
        <v>11.0498004511539</v>
      </c>
      <c r="E301" s="40"/>
      <c r="F301" s="44" t="n">
        <f aca="false">(ABS(C93-G93)/C93)*100</f>
        <v>0.0251177394034537</v>
      </c>
      <c r="G301" s="44" t="n">
        <f aca="false">(ABS(D93-H93)/D93)*100</f>
        <v>0.00277633177164671</v>
      </c>
      <c r="H301" s="42"/>
      <c r="I301" s="43" t="n">
        <f aca="false">(ABS(C93-I93)/C93)*100</f>
        <v>99.6985871271586</v>
      </c>
      <c r="J301" s="44" t="n">
        <f aca="false">(ABS(D93-J93)/D93)*100</f>
        <v>11.0199548846087</v>
      </c>
      <c r="K301" s="40"/>
      <c r="L301" s="44" t="n">
        <f aca="false">(ABS(C93-K93)/C93)*100</f>
        <v>0.0251177394034537</v>
      </c>
      <c r="M301" s="44" t="n">
        <f aca="false">(ABS(D93-L93)/D93)*100</f>
        <v>0.00277633177164671</v>
      </c>
      <c r="N301" s="40"/>
    </row>
    <row r="302" customFormat="false" ht="15" hidden="false" customHeight="false" outlineLevel="0" collapsed="false">
      <c r="A302" s="7"/>
      <c r="B302" s="25" t="n">
        <v>90</v>
      </c>
      <c r="C302" s="43" t="n">
        <f aca="false">(ABS(C94-E94)/C94)*100</f>
        <v>99.2213500784929</v>
      </c>
      <c r="D302" s="44" t="n">
        <f aca="false">(ABS(D94-F94)/D94)*100</f>
        <v>10.9672045809474</v>
      </c>
      <c r="E302" s="40"/>
      <c r="F302" s="44" t="n">
        <f aca="false">(ABS(C94-G94)/C94)*100</f>
        <v>0.0251177394034537</v>
      </c>
      <c r="G302" s="44" t="n">
        <f aca="false">(ABS(D94-H94)/D94)*100</f>
        <v>0.00277633177164671</v>
      </c>
      <c r="H302" s="42"/>
      <c r="I302" s="43" t="n">
        <f aca="false">(ABS(C94-I94)/C94)*100</f>
        <v>99.9434850863422</v>
      </c>
      <c r="J302" s="44" t="n">
        <f aca="false">(ABS(D94-J94)/D94)*100</f>
        <v>11.0470241193823</v>
      </c>
      <c r="K302" s="40"/>
      <c r="L302" s="44" t="n">
        <f aca="false">(ABS(C94-K94)/C94)*100</f>
        <v>0.0251177394034537</v>
      </c>
      <c r="M302" s="44" t="n">
        <f aca="false">(ABS(D94-L94)/D94)*100</f>
        <v>0.00277633177164671</v>
      </c>
      <c r="N302" s="40"/>
    </row>
    <row r="303" customFormat="false" ht="15" hidden="false" customHeight="false" outlineLevel="0" collapsed="false">
      <c r="A303" s="7"/>
      <c r="B303" s="25" t="n">
        <v>91</v>
      </c>
      <c r="C303" s="43" t="n">
        <f aca="false">(ABS(C95-E95)/C95)*100</f>
        <v>99.9686028257457</v>
      </c>
      <c r="D303" s="44" t="n">
        <f aca="false">(ABS(D95-F95)/D95)*100</f>
        <v>11.0498004511539</v>
      </c>
      <c r="E303" s="40"/>
      <c r="F303" s="44" t="n">
        <f aca="false">(ABS(C95-G95)/C95)*100</f>
        <v>0.0251177394034537</v>
      </c>
      <c r="G303" s="44" t="n">
        <f aca="false">(ABS(D95-H95)/D95)*100</f>
        <v>0.00277633177164671</v>
      </c>
      <c r="H303" s="42"/>
      <c r="I303" s="43" t="n">
        <f aca="false">(ABS(C95-I95)/C95)*100</f>
        <v>99.8492935635793</v>
      </c>
      <c r="J303" s="44" t="n">
        <f aca="false">(ABS(D95-J95)/D95)*100</f>
        <v>11.0366128752386</v>
      </c>
      <c r="K303" s="40"/>
      <c r="L303" s="44" t="n">
        <f aca="false">(ABS(C95-K95)/C95)*100</f>
        <v>0.0251177394034537</v>
      </c>
      <c r="M303" s="44" t="n">
        <f aca="false">(ABS(D95-L95)/D95)*100</f>
        <v>0.00277633177164671</v>
      </c>
      <c r="N303" s="40"/>
    </row>
    <row r="304" customFormat="false" ht="15" hidden="false" customHeight="false" outlineLevel="0" collapsed="false">
      <c r="A304" s="7"/>
      <c r="B304" s="25" t="n">
        <v>92</v>
      </c>
      <c r="C304" s="43" t="n">
        <f aca="false">(ABS(C96-E96)/C96)*100</f>
        <v>99.7927786499215</v>
      </c>
      <c r="D304" s="44" t="n">
        <f aca="false">(ABS(D96-F96)/D96)*100</f>
        <v>11.0303661287524</v>
      </c>
      <c r="E304" s="40"/>
      <c r="F304" s="44" t="n">
        <f aca="false">(ABS(C96-G96)/C96)*100</f>
        <v>0.0251177394034537</v>
      </c>
      <c r="G304" s="44" t="n">
        <f aca="false">(ABS(D96-H96)/D96)*100</f>
        <v>0.00277633177164671</v>
      </c>
      <c r="H304" s="42"/>
      <c r="I304" s="43" t="n">
        <f aca="false">(ABS(C96-I96)/C96)*100</f>
        <v>87.7299843014129</v>
      </c>
      <c r="J304" s="44" t="n">
        <f aca="false">(ABS(D96-J96)/D96)*100</f>
        <v>9.69703279541905</v>
      </c>
      <c r="K304" s="40"/>
      <c r="L304" s="44" t="n">
        <f aca="false">(ABS(C96-K96)/C96)*100</f>
        <v>0.0251177394034537</v>
      </c>
      <c r="M304" s="44" t="n">
        <f aca="false">(ABS(D96-L96)/D96)*100</f>
        <v>0.00277633177164671</v>
      </c>
      <c r="N304" s="40"/>
    </row>
    <row r="305" customFormat="false" ht="15" hidden="false" customHeight="false" outlineLevel="0" collapsed="false">
      <c r="A305" s="7"/>
      <c r="B305" s="25" t="n">
        <v>93</v>
      </c>
      <c r="C305" s="43" t="n">
        <f aca="false">(ABS(C97-E97)/C97)*100</f>
        <v>99.9309262166405</v>
      </c>
      <c r="D305" s="44" t="n">
        <f aca="false">(ABS(D97-F97)/D97)*100</f>
        <v>11.0456359534964</v>
      </c>
      <c r="E305" s="40"/>
      <c r="F305" s="44" t="n">
        <f aca="false">(ABS(C97-G97)/C97)*100</f>
        <v>0.0251177394034537</v>
      </c>
      <c r="G305" s="44" t="n">
        <f aca="false">(ABS(D97-H97)/D97)*100</f>
        <v>0.00277633177164671</v>
      </c>
      <c r="H305" s="42"/>
      <c r="I305" s="43" t="n">
        <f aca="false">(ABS(C97-I97)/C97)*100</f>
        <v>99.8869701726845</v>
      </c>
      <c r="J305" s="44" t="n">
        <f aca="false">(ABS(D97-J97)/D97)*100</f>
        <v>11.0407773728961</v>
      </c>
      <c r="K305" s="40"/>
      <c r="L305" s="44" t="n">
        <f aca="false">(ABS(C97-K97)/C97)*100</f>
        <v>0.0251177394034537</v>
      </c>
      <c r="M305" s="44" t="n">
        <f aca="false">(ABS(D97-L97)/D97)*100</f>
        <v>0.00277633177164671</v>
      </c>
      <c r="N305" s="40"/>
    </row>
    <row r="306" customFormat="false" ht="15" hidden="false" customHeight="false" outlineLevel="0" collapsed="false">
      <c r="A306" s="7"/>
      <c r="B306" s="25" t="n">
        <v>94</v>
      </c>
      <c r="C306" s="43" t="n">
        <f aca="false">(ABS(C98-E98)/C98)*100</f>
        <v>99.956043956044</v>
      </c>
      <c r="D306" s="44" t="n">
        <f aca="false">(ABS(D98-F98)/D98)*100</f>
        <v>11.0484122852681</v>
      </c>
      <c r="E306" s="40"/>
      <c r="F306" s="44" t="n">
        <f aca="false">(ABS(C98-G98)/C98)*100</f>
        <v>0.0251177394034537</v>
      </c>
      <c r="G306" s="44" t="n">
        <f aca="false">(ABS(D98-H98)/D98)*100</f>
        <v>0.00277633177164671</v>
      </c>
      <c r="H306" s="42"/>
      <c r="I306" s="43" t="n">
        <f aca="false">(ABS(C98-I98)/C98)*100</f>
        <v>99.9434850863422</v>
      </c>
      <c r="J306" s="44" t="n">
        <f aca="false">(ABS(D98-J98)/D98)*100</f>
        <v>11.0470241193823</v>
      </c>
      <c r="K306" s="40"/>
      <c r="L306" s="44" t="n">
        <f aca="false">(ABS(C98-K98)/C98)*100</f>
        <v>0.0251177394034537</v>
      </c>
      <c r="M306" s="44" t="n">
        <f aca="false">(ABS(D98-L98)/D98)*100</f>
        <v>0.00277633177164671</v>
      </c>
      <c r="N306" s="40"/>
    </row>
    <row r="307" customFormat="false" ht="15" hidden="false" customHeight="false" outlineLevel="0" collapsed="false">
      <c r="A307" s="7"/>
      <c r="B307" s="25" t="n">
        <v>95</v>
      </c>
      <c r="C307" s="43" t="n">
        <f aca="false">(ABS(C99-E99)/C99)*100</f>
        <v>99.9811616954474</v>
      </c>
      <c r="D307" s="44" t="n">
        <f aca="false">(ABS(D99-F99)/D99)*100</f>
        <v>11.0511886170397</v>
      </c>
      <c r="E307" s="40"/>
      <c r="F307" s="44" t="n">
        <f aca="false">(ABS(C99-G99)/C99)*100</f>
        <v>0.0251177394034537</v>
      </c>
      <c r="G307" s="44" t="n">
        <f aca="false">(ABS(D99-H99)/D99)*100</f>
        <v>0.00277633177164671</v>
      </c>
      <c r="H307" s="42"/>
      <c r="I307" s="43" t="n">
        <f aca="false">(ABS(C99-I99)/C99)*100</f>
        <v>99.9623233908948</v>
      </c>
      <c r="J307" s="44" t="n">
        <f aca="false">(ABS(D99-J99)/D99)*100</f>
        <v>11.049106368211</v>
      </c>
      <c r="K307" s="40"/>
      <c r="L307" s="44" t="n">
        <f aca="false">(ABS(C99-K99)/C99)*100</f>
        <v>0.0251177394034537</v>
      </c>
      <c r="M307" s="44" t="n">
        <f aca="false">(ABS(D99-L99)/D99)*100</f>
        <v>0.00277633177164671</v>
      </c>
      <c r="N307" s="40"/>
    </row>
    <row r="308" customFormat="false" ht="15" hidden="false" customHeight="false" outlineLevel="0" collapsed="false">
      <c r="A308" s="7"/>
      <c r="B308" s="25" t="n">
        <v>96</v>
      </c>
      <c r="C308" s="43" t="n">
        <f aca="false">(ABS(C100-E100)/C100)*100</f>
        <v>99.9434850863422</v>
      </c>
      <c r="D308" s="44" t="n">
        <f aca="false">(ABS(D100-F100)/D100)*100</f>
        <v>11.0470241193823</v>
      </c>
      <c r="E308" s="40"/>
      <c r="F308" s="44" t="n">
        <f aca="false">(ABS(C100-G100)/C100)*100</f>
        <v>0.0313971742543171</v>
      </c>
      <c r="G308" s="44" t="n">
        <f aca="false">(ABS(D100-H100)/D100)*100</f>
        <v>0.00347041471455839</v>
      </c>
      <c r="H308" s="42"/>
      <c r="I308" s="43" t="n">
        <f aca="false">(ABS(C100-I100)/C100)*100</f>
        <v>99.956043956044</v>
      </c>
      <c r="J308" s="44" t="n">
        <f aca="false">(ABS(D100-J100)/D100)*100</f>
        <v>11.0484122852681</v>
      </c>
      <c r="K308" s="40"/>
      <c r="L308" s="44" t="n">
        <f aca="false">(ABS(C100-K100)/C100)*100</f>
        <v>0.0313971742543171</v>
      </c>
      <c r="M308" s="44" t="n">
        <f aca="false">(ABS(D100-L100)/D100)*100</f>
        <v>0.00347041471455839</v>
      </c>
      <c r="N308" s="40"/>
    </row>
    <row r="309" customFormat="false" ht="15" hidden="false" customHeight="false" outlineLevel="0" collapsed="false">
      <c r="A309" s="7"/>
      <c r="B309" s="25" t="n">
        <v>97</v>
      </c>
      <c r="C309" s="43" t="n">
        <f aca="false">(ABS(C101-E101)/C101)*100</f>
        <v>100</v>
      </c>
      <c r="D309" s="44" t="n">
        <f aca="false">(ABS(D101-F101)/D101)*100</f>
        <v>11.0532708658685</v>
      </c>
      <c r="E309" s="40"/>
      <c r="F309" s="44" t="n">
        <f aca="false">(ABS(C101-G101)/C101)*100</f>
        <v>0.0313971742543171</v>
      </c>
      <c r="G309" s="44" t="n">
        <f aca="false">(ABS(D101-H101)/D101)*100</f>
        <v>0.00347041471455839</v>
      </c>
      <c r="H309" s="42"/>
      <c r="I309" s="43" t="n">
        <f aca="false">(ABS(C101-I101)/C101)*100</f>
        <v>99.8241758241758</v>
      </c>
      <c r="J309" s="44" t="n">
        <f aca="false">(ABS(D101-J101)/D101)*100</f>
        <v>11.0338365434669</v>
      </c>
      <c r="K309" s="40"/>
      <c r="L309" s="44" t="n">
        <f aca="false">(ABS(C101-K101)/C101)*100</f>
        <v>0.0251177394034537</v>
      </c>
      <c r="M309" s="44" t="n">
        <f aca="false">(ABS(D101-L101)/D101)*100</f>
        <v>0.00277633177164671</v>
      </c>
      <c r="N309" s="40"/>
    </row>
    <row r="310" customFormat="false" ht="15" hidden="false" customHeight="false" outlineLevel="0" collapsed="false">
      <c r="A310" s="7"/>
      <c r="B310" s="25" t="n">
        <v>98</v>
      </c>
      <c r="C310" s="43" t="n">
        <f aca="false">(ABS(C102-E102)/C102)*100</f>
        <v>100</v>
      </c>
      <c r="D310" s="44" t="n">
        <f aca="false">(ABS(D102-F102)/D102)*100</f>
        <v>11.0532708658685</v>
      </c>
      <c r="E310" s="40"/>
      <c r="F310" s="44" t="n">
        <f aca="false">(ABS(C102-G102)/C102)*100</f>
        <v>0.0313971742543171</v>
      </c>
      <c r="G310" s="44" t="n">
        <f aca="false">(ABS(D102-H102)/D102)*100</f>
        <v>0.00347041471455839</v>
      </c>
      <c r="H310" s="42"/>
      <c r="I310" s="43" t="n">
        <f aca="false">(ABS(C102-I102)/C102)*100</f>
        <v>99.905808477237</v>
      </c>
      <c r="J310" s="44" t="n">
        <f aca="false">(ABS(D102-J102)/D102)*100</f>
        <v>11.0428596217248</v>
      </c>
      <c r="K310" s="40"/>
      <c r="L310" s="44" t="n">
        <f aca="false">(ABS(C102-K102)/C102)*100</f>
        <v>0.0251177394034537</v>
      </c>
      <c r="M310" s="44" t="n">
        <f aca="false">(ABS(D102-L102)/D102)*100</f>
        <v>0.00277633177164671</v>
      </c>
      <c r="N310" s="40"/>
    </row>
    <row r="311" customFormat="false" ht="15" hidden="false" customHeight="false" outlineLevel="0" collapsed="false">
      <c r="A311" s="7"/>
      <c r="B311" s="25" t="n">
        <v>99</v>
      </c>
      <c r="C311" s="43" t="n">
        <f aca="false">(ABS(C103-E103)/C103)*100</f>
        <v>99.905808477237</v>
      </c>
      <c r="D311" s="44" t="n">
        <f aca="false">(ABS(D103-F103)/D103)*100</f>
        <v>11.0428596217248</v>
      </c>
      <c r="E311" s="40"/>
      <c r="F311" s="44" t="n">
        <f aca="false">(ABS(C103-G103)/C103)*100</f>
        <v>1.08634222919937</v>
      </c>
      <c r="G311" s="44" t="n">
        <f aca="false">(ABS(D103-H103)/D103)*100</f>
        <v>0.12007634912372</v>
      </c>
      <c r="H311" s="42"/>
      <c r="I311" s="43" t="n">
        <f aca="false">(ABS(C103-I103)/C103)*100</f>
        <v>99.9874411302983</v>
      </c>
      <c r="J311" s="44" t="n">
        <f aca="false">(ABS(D103-J103)/D103)*100</f>
        <v>11.0518826999826</v>
      </c>
      <c r="K311" s="40"/>
      <c r="L311" s="44" t="n">
        <f aca="false">(ABS(C103-K103)/C103)*100</f>
        <v>0.0251177394034537</v>
      </c>
      <c r="M311" s="44" t="n">
        <f aca="false">(ABS(D103-L103)/D103)*100</f>
        <v>0.00277633177164671</v>
      </c>
      <c r="N311" s="40"/>
    </row>
    <row r="312" customFormat="false" ht="15" hidden="false" customHeight="false" outlineLevel="0" collapsed="false">
      <c r="A312" s="7"/>
      <c r="B312" s="25" t="n">
        <v>100</v>
      </c>
      <c r="C312" s="43" t="n">
        <f aca="false">(ABS(C104-E104)/C104)*100</f>
        <v>99.9183673469388</v>
      </c>
      <c r="D312" s="44" t="n">
        <f aca="false">(ABS(D104-F104)/D104)*100</f>
        <v>11.0442477876106</v>
      </c>
      <c r="E312" s="40"/>
      <c r="F312" s="44" t="n">
        <f aca="false">(ABS(C104-G104)/C104)*100</f>
        <v>0.0816326530612245</v>
      </c>
      <c r="G312" s="44" t="n">
        <f aca="false">(ABS(D104-H104)/D104)*100</f>
        <v>0.00902307825785181</v>
      </c>
      <c r="H312" s="42"/>
      <c r="I312" s="43" t="n">
        <f aca="false">(ABS(C104-I104)/C104)*100</f>
        <v>97.7959183673469</v>
      </c>
      <c r="J312" s="44" t="n">
        <f aca="false">(ABS(D104-J104)/D104)*100</f>
        <v>10.8096477529065</v>
      </c>
      <c r="K312" s="40"/>
      <c r="L312" s="44" t="n">
        <f aca="false">(ABS(C104-K104)/C104)*100</f>
        <v>0.0251177394034537</v>
      </c>
      <c r="M312" s="44" t="n">
        <f aca="false">(ABS(D104-L104)/D104)*100</f>
        <v>0.00277633177164671</v>
      </c>
      <c r="N312" s="40"/>
    </row>
    <row r="313" customFormat="false" ht="15" hidden="false" customHeight="false" outlineLevel="0" collapsed="false">
      <c r="A313" s="7"/>
      <c r="B313" s="25" t="n">
        <v>101</v>
      </c>
      <c r="C313" s="43" t="n">
        <f aca="false">(ABS(C105-E105)/C105)*100</f>
        <v>99.8995290423862</v>
      </c>
      <c r="D313" s="44" t="n">
        <f aca="false">(ABS(D105-F105)/D105)*100</f>
        <v>11.0421655387819</v>
      </c>
      <c r="E313" s="40"/>
      <c r="F313" s="44" t="n">
        <f aca="false">(ABS(C105-G105)/C105)*100</f>
        <v>0.546310832025118</v>
      </c>
      <c r="G313" s="44" t="n">
        <f aca="false">(ABS(D105-H105)/D105)*100</f>
        <v>0.060385216033316</v>
      </c>
      <c r="H313" s="42"/>
      <c r="I313" s="43" t="n">
        <f aca="false">(ABS(C105-I105)/C105)*100</f>
        <v>99.8744113029827</v>
      </c>
      <c r="J313" s="44" t="n">
        <f aca="false">(ABS(D105-J105)/D105)*100</f>
        <v>11.0393892070102</v>
      </c>
      <c r="K313" s="40"/>
      <c r="L313" s="44" t="n">
        <f aca="false">(ABS(C105-K105)/C105)*100</f>
        <v>0.546310832025118</v>
      </c>
      <c r="M313" s="44" t="n">
        <f aca="false">(ABS(D105-L105)/D105)*100</f>
        <v>0.060385216033316</v>
      </c>
      <c r="N313" s="40"/>
    </row>
    <row r="314" customFormat="false" ht="15" hidden="false" customHeight="false" outlineLevel="0" collapsed="false">
      <c r="A314" s="7"/>
      <c r="B314" s="25" t="n">
        <v>102</v>
      </c>
      <c r="C314" s="43" t="n">
        <f aca="false">(ABS(C106-E106)/C106)*100</f>
        <v>98.8634222919937</v>
      </c>
      <c r="D314" s="44" t="n">
        <f aca="false">(ABS(D106-F106)/D106)*100</f>
        <v>10.9276418532015</v>
      </c>
      <c r="E314" s="40"/>
      <c r="F314" s="44" t="n">
        <f aca="false">(ABS(C106-G106)/C106)*100</f>
        <v>0.0251177394034537</v>
      </c>
      <c r="G314" s="44" t="n">
        <f aca="false">(ABS(D106-H106)/D106)*100</f>
        <v>0.00277633177164671</v>
      </c>
      <c r="H314" s="42"/>
      <c r="I314" s="43" t="n">
        <f aca="false">(ABS(C106-I106)/C106)*100</f>
        <v>99.9434850863422</v>
      </c>
      <c r="J314" s="44" t="n">
        <f aca="false">(ABS(D106-J106)/D106)*100</f>
        <v>11.0470241193823</v>
      </c>
      <c r="K314" s="40"/>
      <c r="L314" s="44" t="n">
        <f aca="false">(ABS(C106-K106)/C106)*100</f>
        <v>0.0251177394034537</v>
      </c>
      <c r="M314" s="44" t="n">
        <f aca="false">(ABS(D106-L106)/D106)*100</f>
        <v>0.00277633177164671</v>
      </c>
      <c r="N314" s="40"/>
    </row>
    <row r="315" customFormat="false" ht="15" hidden="false" customHeight="false" outlineLevel="0" collapsed="false">
      <c r="A315" s="7"/>
      <c r="B315" s="25" t="n">
        <v>103</v>
      </c>
      <c r="C315" s="43" t="n">
        <f aca="false">(ABS(C107-E107)/C107)*100</f>
        <v>93.8335949764521</v>
      </c>
      <c r="D315" s="44" t="n">
        <f aca="false">(ABS(D107-F107)/D107)*100</f>
        <v>10.3716814159292</v>
      </c>
      <c r="E315" s="40"/>
      <c r="F315" s="44" t="n">
        <f aca="false">(ABS(C107-G107)/C107)*100</f>
        <v>0.0251177394034537</v>
      </c>
      <c r="G315" s="44" t="n">
        <f aca="false">(ABS(D107-H107)/D107)*100</f>
        <v>0.00277633177164671</v>
      </c>
      <c r="H315" s="42"/>
      <c r="I315" s="43" t="n">
        <f aca="false">(ABS(C107-I107)/C107)*100</f>
        <v>83.7990580847724</v>
      </c>
      <c r="J315" s="44" t="n">
        <f aca="false">(ABS(D107-J107)/D107)*100</f>
        <v>9.26253687315634</v>
      </c>
      <c r="K315" s="40"/>
      <c r="L315" s="44" t="n">
        <f aca="false">(ABS(C107-K107)/C107)*100</f>
        <v>0.0251177394034537</v>
      </c>
      <c r="M315" s="44" t="n">
        <f aca="false">(ABS(D107-L107)/D107)*100</f>
        <v>0.00277633177164671</v>
      </c>
      <c r="N315" s="40"/>
    </row>
    <row r="316" customFormat="false" ht="15" hidden="false" customHeight="false" outlineLevel="0" collapsed="false">
      <c r="A316" s="7"/>
      <c r="B316" s="25" t="n">
        <v>104</v>
      </c>
      <c r="C316" s="43" t="n">
        <f aca="false">(ABS(C108-E108)/C108)*100</f>
        <v>99.8806907378336</v>
      </c>
      <c r="D316" s="44" t="n">
        <f aca="false">(ABS(D108-F108)/D108)*100</f>
        <v>11.0400832899531</v>
      </c>
      <c r="E316" s="40"/>
      <c r="F316" s="44" t="n">
        <f aca="false">(ABS(C108-G108)/C108)*100</f>
        <v>0.0251177394034537</v>
      </c>
      <c r="G316" s="44" t="n">
        <f aca="false">(ABS(D108-H108)/D108)*100</f>
        <v>0.00277633177164671</v>
      </c>
      <c r="H316" s="42"/>
      <c r="I316" s="43" t="n">
        <f aca="false">(ABS(C108-I108)/C108)*100</f>
        <v>99.7551020408163</v>
      </c>
      <c r="J316" s="44" t="n">
        <f aca="false">(ABS(D108-J108)/D108)*100</f>
        <v>11.0262016310949</v>
      </c>
      <c r="K316" s="40"/>
      <c r="L316" s="44" t="n">
        <f aca="false">(ABS(C108-K108)/C108)*100</f>
        <v>0.0251177394034537</v>
      </c>
      <c r="M316" s="44" t="n">
        <f aca="false">(ABS(D108-L108)/D108)*100</f>
        <v>0.00277633177164671</v>
      </c>
      <c r="N316" s="40"/>
    </row>
    <row r="317" customFormat="false" ht="15" hidden="false" customHeight="false" outlineLevel="0" collapsed="false">
      <c r="A317" s="7"/>
      <c r="B317" s="25" t="n">
        <v>105</v>
      </c>
      <c r="C317" s="43" t="n">
        <f aca="false">(ABS(C109-E109)/C109)*100</f>
        <v>99.9434850863422</v>
      </c>
      <c r="D317" s="44" t="n">
        <f aca="false">(ABS(D109-F109)/D109)*100</f>
        <v>11.0470241193823</v>
      </c>
      <c r="E317" s="40"/>
      <c r="F317" s="44" t="n">
        <f aca="false">(ABS(C109-G109)/C109)*100</f>
        <v>0.0188383045525903</v>
      </c>
      <c r="G317" s="44" t="n">
        <f aca="false">(ABS(D109-H109)/D109)*100</f>
        <v>0.00208224882873503</v>
      </c>
      <c r="H317" s="42"/>
      <c r="I317" s="43" t="n">
        <f aca="false">(ABS(C109-I109)/C109)*100</f>
        <v>92.6342229199372</v>
      </c>
      <c r="J317" s="44" t="n">
        <f aca="false">(ABS(D109-J109)/D109)*100</f>
        <v>10.2391115738331</v>
      </c>
      <c r="K317" s="40"/>
      <c r="L317" s="44" t="n">
        <f aca="false">(ABS(C109-K109)/C109)*100</f>
        <v>0.0188383045525903</v>
      </c>
      <c r="M317" s="44" t="n">
        <f aca="false">(ABS(D109-L109)/D109)*100</f>
        <v>0.00208224882873503</v>
      </c>
      <c r="N317" s="40"/>
    </row>
    <row r="318" customFormat="false" ht="15" hidden="false" customHeight="false" outlineLevel="0" collapsed="false">
      <c r="A318" s="7"/>
      <c r="B318" s="25" t="n">
        <v>106</v>
      </c>
      <c r="C318" s="43" t="n">
        <f aca="false">(ABS(C110-E110)/C110)*100</f>
        <v>95.1208791208791</v>
      </c>
      <c r="D318" s="44" t="n">
        <f aca="false">(ABS(D110-F110)/D110)*100</f>
        <v>10.5139684192261</v>
      </c>
      <c r="E318" s="40"/>
      <c r="F318" s="44" t="n">
        <f aca="false">(ABS(C110-G110)/C110)*100</f>
        <v>0.0251177394034537</v>
      </c>
      <c r="G318" s="44" t="n">
        <f aca="false">(ABS(D110-H110)/D110)*100</f>
        <v>0.00277633177164671</v>
      </c>
      <c r="H318" s="42"/>
      <c r="I318" s="43" t="n">
        <f aca="false">(ABS(C110-I110)/C110)*100</f>
        <v>98.2166405023548</v>
      </c>
      <c r="J318" s="44" t="n">
        <f aca="false">(ABS(D110-J110)/D110)*100</f>
        <v>10.8561513100816</v>
      </c>
      <c r="K318" s="40"/>
      <c r="L318" s="44" t="n">
        <f aca="false">(ABS(C110-K110)/C110)*100</f>
        <v>0.0251177394034537</v>
      </c>
      <c r="M318" s="44" t="n">
        <f aca="false">(ABS(D110-L110)/D110)*100</f>
        <v>0.00277633177164671</v>
      </c>
      <c r="N318" s="40"/>
    </row>
    <row r="319" customFormat="false" ht="15" hidden="false" customHeight="false" outlineLevel="0" collapsed="false">
      <c r="A319" s="7"/>
      <c r="B319" s="25" t="n">
        <v>107</v>
      </c>
      <c r="C319" s="43" t="n">
        <f aca="false">(ABS(C111-E111)/C111)*100</f>
        <v>99.9686028257457</v>
      </c>
      <c r="D319" s="44" t="n">
        <f aca="false">(ABS(D111-F111)/D111)*100</f>
        <v>11.0498004511539</v>
      </c>
      <c r="E319" s="40"/>
      <c r="F319" s="44" t="n">
        <f aca="false">(ABS(C111-G111)/C111)*100</f>
        <v>0.0188383045525903</v>
      </c>
      <c r="G319" s="44" t="n">
        <f aca="false">(ABS(D111-H111)/D111)*100</f>
        <v>0.00208224882873503</v>
      </c>
      <c r="H319" s="42"/>
      <c r="I319" s="43" t="n">
        <f aca="false">(ABS(C111-I111)/C111)*100</f>
        <v>99.9748822605965</v>
      </c>
      <c r="J319" s="44" t="n">
        <f aca="false">(ABS(D111-J111)/D111)*100</f>
        <v>11.0504945340968</v>
      </c>
      <c r="K319" s="40"/>
      <c r="L319" s="44" t="n">
        <f aca="false">(ABS(C111-K111)/C111)*100</f>
        <v>0.0188383045525903</v>
      </c>
      <c r="M319" s="44" t="n">
        <f aca="false">(ABS(D111-L111)/D111)*100</f>
        <v>0.00208224882873503</v>
      </c>
      <c r="N319" s="40"/>
    </row>
    <row r="320" customFormat="false" ht="15" hidden="false" customHeight="false" outlineLevel="0" collapsed="false">
      <c r="A320" s="7"/>
      <c r="B320" s="25" t="n">
        <v>108</v>
      </c>
      <c r="C320" s="43" t="n">
        <f aca="false">(ABS(C112-E112)/C112)*100</f>
        <v>99.9623233908948</v>
      </c>
      <c r="D320" s="44" t="n">
        <f aca="false">(ABS(D112-F112)/D112)*100</f>
        <v>11.049106368211</v>
      </c>
      <c r="E320" s="40"/>
      <c r="F320" s="44" t="n">
        <f aca="false">(ABS(C112-G112)/C112)*100</f>
        <v>0.0188383045525903</v>
      </c>
      <c r="G320" s="44" t="n">
        <f aca="false">(ABS(D112-H112)/D112)*100</f>
        <v>0.00208224882873503</v>
      </c>
      <c r="H320" s="42"/>
      <c r="I320" s="43" t="n">
        <f aca="false">(ABS(C112-I112)/C112)*100</f>
        <v>99.8053375196232</v>
      </c>
      <c r="J320" s="44" t="n">
        <f aca="false">(ABS(D112-J112)/D112)*100</f>
        <v>11.0317542946382</v>
      </c>
      <c r="K320" s="40"/>
      <c r="L320" s="44" t="n">
        <f aca="false">(ABS(C112-K112)/C112)*100</f>
        <v>0.0188383045525903</v>
      </c>
      <c r="M320" s="44" t="n">
        <f aca="false">(ABS(D112-L112)/D112)*100</f>
        <v>0.00208224882873503</v>
      </c>
      <c r="N320" s="40"/>
    </row>
    <row r="321" customFormat="false" ht="15" hidden="false" customHeight="false" outlineLevel="0" collapsed="false">
      <c r="A321" s="7"/>
      <c r="B321" s="25" t="n">
        <v>109</v>
      </c>
      <c r="C321" s="43" t="n">
        <f aca="false">(ABS(C113-E113)/C113)*100</f>
        <v>99.7613814756672</v>
      </c>
      <c r="D321" s="44" t="n">
        <f aca="false">(ABS(D113-F113)/D113)*100</f>
        <v>11.0268957140378</v>
      </c>
      <c r="E321" s="40"/>
      <c r="F321" s="44" t="n">
        <f aca="false">(ABS(C113-G113)/C113)*100</f>
        <v>0.0251177394034537</v>
      </c>
      <c r="G321" s="44" t="n">
        <f aca="false">(ABS(D113-H113)/D113)*100</f>
        <v>0.00277633177164671</v>
      </c>
      <c r="H321" s="42"/>
      <c r="I321" s="43" t="n">
        <f aca="false">(ABS(C113-I113)/C113)*100</f>
        <v>99.4097331240188</v>
      </c>
      <c r="J321" s="44" t="n">
        <f aca="false">(ABS(D113-J113)/D113)*100</f>
        <v>10.9880270692348</v>
      </c>
      <c r="K321" s="40"/>
      <c r="L321" s="44" t="n">
        <f aca="false">(ABS(C113-K113)/C113)*100</f>
        <v>0.0251177394034537</v>
      </c>
      <c r="M321" s="44" t="n">
        <f aca="false">(ABS(D113-L113)/D113)*100</f>
        <v>0.00277633177164671</v>
      </c>
      <c r="N321" s="40"/>
    </row>
    <row r="322" customFormat="false" ht="15" hidden="false" customHeight="false" outlineLevel="0" collapsed="false">
      <c r="A322" s="7"/>
      <c r="B322" s="25" t="n">
        <v>110</v>
      </c>
      <c r="C322" s="43" t="n">
        <f aca="false">(ABS(C114-E114)/C114)*100</f>
        <v>99.6420722135008</v>
      </c>
      <c r="D322" s="44" t="n">
        <f aca="false">(ABS(D114-F114)/D114)*100</f>
        <v>11.0137081381225</v>
      </c>
      <c r="E322" s="40"/>
      <c r="F322" s="44" t="n">
        <f aca="false">(ABS(C114-G114)/C114)*100</f>
        <v>0.0690737833594976</v>
      </c>
      <c r="G322" s="44" t="n">
        <f aca="false">(ABS(D114-H114)/D114)*100</f>
        <v>0.00763491237202846</v>
      </c>
      <c r="H322" s="42"/>
      <c r="I322" s="43" t="n">
        <f aca="false">(ABS(C114-I114)/C114)*100</f>
        <v>99.9623233908948</v>
      </c>
      <c r="J322" s="44" t="n">
        <f aca="false">(ABS(D114-J114)/D114)*100</f>
        <v>11.049106368211</v>
      </c>
      <c r="K322" s="40"/>
      <c r="L322" s="44" t="n">
        <f aca="false">(ABS(C114-K114)/C114)*100</f>
        <v>0.0313971742543171</v>
      </c>
      <c r="M322" s="44" t="n">
        <f aca="false">(ABS(D114-L114)/D114)*100</f>
        <v>0.00347041471455839</v>
      </c>
      <c r="N322" s="40"/>
    </row>
    <row r="323" customFormat="false" ht="15" hidden="false" customHeight="false" outlineLevel="0" collapsed="false">
      <c r="A323" s="7"/>
      <c r="B323" s="25" t="n">
        <v>111</v>
      </c>
      <c r="C323" s="43" t="n">
        <f aca="false">(ABS(C115-E115)/C115)*100</f>
        <v>99.9309262166405</v>
      </c>
      <c r="D323" s="44" t="n">
        <f aca="false">(ABS(D115-F115)/D115)*100</f>
        <v>11.0456359534964</v>
      </c>
      <c r="E323" s="40"/>
      <c r="F323" s="44" t="n">
        <f aca="false">(ABS(C115-G115)/C115)*100</f>
        <v>0.0188383045525903</v>
      </c>
      <c r="G323" s="44" t="n">
        <f aca="false">(ABS(D115-H115)/D115)*100</f>
        <v>0.00208224882873503</v>
      </c>
      <c r="H323" s="42"/>
      <c r="I323" s="43" t="n">
        <f aca="false">(ABS(C115-I115)/C115)*100</f>
        <v>99.9811616954474</v>
      </c>
      <c r="J323" s="44" t="n">
        <f aca="false">(ABS(D115-J115)/D115)*100</f>
        <v>11.0511886170397</v>
      </c>
      <c r="K323" s="40"/>
      <c r="L323" s="44" t="n">
        <f aca="false">(ABS(C115-K115)/C115)*100</f>
        <v>0.0188383045525903</v>
      </c>
      <c r="M323" s="44" t="n">
        <f aca="false">(ABS(D115-L115)/D115)*100</f>
        <v>0.00208224882873503</v>
      </c>
      <c r="N323" s="40"/>
    </row>
    <row r="324" customFormat="false" ht="15" hidden="false" customHeight="false" outlineLevel="0" collapsed="false">
      <c r="A324" s="7"/>
      <c r="B324" s="25" t="n">
        <v>112</v>
      </c>
      <c r="C324" s="43" t="n">
        <f aca="false">(ABS(C116-E116)/C116)*100</f>
        <v>99.7488226059655</v>
      </c>
      <c r="D324" s="44" t="n">
        <f aca="false">(ABS(D116-F116)/D116)*100</f>
        <v>11.025507548152</v>
      </c>
      <c r="E324" s="40"/>
      <c r="F324" s="44" t="n">
        <f aca="false">(ABS(C116-G116)/C116)*100</f>
        <v>0.0376766091051805</v>
      </c>
      <c r="G324" s="44" t="n">
        <f aca="false">(ABS(D116-H116)/D116)*100</f>
        <v>0.00416449765747007</v>
      </c>
      <c r="H324" s="42"/>
      <c r="I324" s="43" t="n">
        <f aca="false">(ABS(C116-I116)/C116)*100</f>
        <v>99.9748822605965</v>
      </c>
      <c r="J324" s="44" t="n">
        <f aca="false">(ABS(D116-J116)/D116)*100</f>
        <v>11.0504945340968</v>
      </c>
      <c r="K324" s="40"/>
      <c r="L324" s="44" t="n">
        <f aca="false">(ABS(C116-K116)/C116)*100</f>
        <v>0.0313971742543171</v>
      </c>
      <c r="M324" s="44" t="n">
        <f aca="false">(ABS(D116-L116)/D116)*100</f>
        <v>0.00347041471455839</v>
      </c>
      <c r="N324" s="40"/>
    </row>
    <row r="325" customFormat="false" ht="15" hidden="false" customHeight="false" outlineLevel="0" collapsed="false">
      <c r="A325" s="7"/>
      <c r="B325" s="25" t="n">
        <v>113</v>
      </c>
      <c r="C325" s="43" t="n">
        <f aca="false">(ABS(C117-E117)/C117)*100</f>
        <v>92.7660910518053</v>
      </c>
      <c r="D325" s="44" t="n">
        <f aca="false">(ABS(D117-F117)/D117)*100</f>
        <v>10.2536873156342</v>
      </c>
      <c r="E325" s="40"/>
      <c r="F325" s="44" t="n">
        <f aca="false">(ABS(C117-G117)/C117)*100</f>
        <v>0.0251177394034537</v>
      </c>
      <c r="G325" s="44" t="n">
        <f aca="false">(ABS(D117-H117)/D117)*100</f>
        <v>0.00277633177164671</v>
      </c>
      <c r="H325" s="42"/>
      <c r="I325" s="43" t="n">
        <f aca="false">(ABS(C117-I117)/C117)*100</f>
        <v>99.5102040816327</v>
      </c>
      <c r="J325" s="44" t="n">
        <f aca="false">(ABS(D117-J117)/D117)*100</f>
        <v>10.9991323963214</v>
      </c>
      <c r="K325" s="40"/>
      <c r="L325" s="44" t="n">
        <f aca="false">(ABS(C117-K117)/C117)*100</f>
        <v>0.0251177394034537</v>
      </c>
      <c r="M325" s="44" t="n">
        <f aca="false">(ABS(D117-L117)/D117)*100</f>
        <v>0.00277633177164671</v>
      </c>
      <c r="N325" s="40"/>
    </row>
    <row r="326" customFormat="false" ht="15" hidden="false" customHeight="false" outlineLevel="0" collapsed="false">
      <c r="A326" s="7"/>
      <c r="B326" s="25" t="n">
        <v>114</v>
      </c>
      <c r="C326" s="43" t="n">
        <f aca="false">(ABS(C118-E118)/C118)*100</f>
        <v>99.6106750392465</v>
      </c>
      <c r="D326" s="44" t="n">
        <f aca="false">(ABS(D118-F118)/D118)*100</f>
        <v>11.0102377234079</v>
      </c>
      <c r="E326" s="40"/>
      <c r="F326" s="44" t="n">
        <f aca="false">(ABS(C118-G118)/C118)*100</f>
        <v>0.0313971742543171</v>
      </c>
      <c r="G326" s="44" t="n">
        <f aca="false">(ABS(D118-H118)/D118)*100</f>
        <v>0.00347041471455839</v>
      </c>
      <c r="H326" s="42"/>
      <c r="I326" s="43" t="n">
        <f aca="false">(ABS(C118-I118)/C118)*100</f>
        <v>99.9748822605965</v>
      </c>
      <c r="J326" s="44" t="n">
        <f aca="false">(ABS(D118-J118)/D118)*100</f>
        <v>11.0504945340968</v>
      </c>
      <c r="K326" s="40"/>
      <c r="L326" s="44" t="n">
        <f aca="false">(ABS(C118-K118)/C118)*100</f>
        <v>0.0313971742543171</v>
      </c>
      <c r="M326" s="44" t="n">
        <f aca="false">(ABS(D118-L118)/D118)*100</f>
        <v>0.00347041471455839</v>
      </c>
      <c r="N326" s="40"/>
    </row>
    <row r="327" customFormat="false" ht="15" hidden="false" customHeight="false" outlineLevel="0" collapsed="false">
      <c r="A327" s="7"/>
      <c r="B327" s="25" t="n">
        <v>115</v>
      </c>
      <c r="C327" s="43" t="n">
        <f aca="false">(ABS(C119-E119)/C119)*100</f>
        <v>99.9811616954474</v>
      </c>
      <c r="D327" s="44" t="n">
        <f aca="false">(ABS(D119-F119)/D119)*100</f>
        <v>11.0511886170397</v>
      </c>
      <c r="E327" s="40"/>
      <c r="F327" s="44" t="n">
        <f aca="false">(ABS(C119-G119)/C119)*100</f>
        <v>0.0376766091051805</v>
      </c>
      <c r="G327" s="44" t="n">
        <f aca="false">(ABS(D119-H119)/D119)*100</f>
        <v>0.00416449765747007</v>
      </c>
      <c r="H327" s="42"/>
      <c r="I327" s="43" t="n">
        <f aca="false">(ABS(C119-I119)/C119)*100</f>
        <v>99.8053375196232</v>
      </c>
      <c r="J327" s="44" t="n">
        <f aca="false">(ABS(D119-J119)/D119)*100</f>
        <v>11.0317542946382</v>
      </c>
      <c r="K327" s="40"/>
      <c r="L327" s="44" t="n">
        <f aca="false">(ABS(C119-K119)/C119)*100</f>
        <v>0.0313971742543171</v>
      </c>
      <c r="M327" s="44" t="n">
        <f aca="false">(ABS(D119-L119)/D119)*100</f>
        <v>0.00347041471455839</v>
      </c>
      <c r="N327" s="40"/>
    </row>
    <row r="328" customFormat="false" ht="15" hidden="false" customHeight="false" outlineLevel="0" collapsed="false">
      <c r="A328" s="7"/>
      <c r="B328" s="25" t="n">
        <v>116</v>
      </c>
      <c r="C328" s="43" t="n">
        <f aca="false">(ABS(C120-E120)/C120)*100</f>
        <v>99.5541601255887</v>
      </c>
      <c r="D328" s="44" t="n">
        <f aca="false">(ABS(D120-F120)/D120)*100</f>
        <v>11.0039909769217</v>
      </c>
      <c r="E328" s="40"/>
      <c r="F328" s="44" t="n">
        <f aca="false">(ABS(C120-G120)/C120)*100</f>
        <v>0.0879120879120879</v>
      </c>
      <c r="G328" s="44" t="n">
        <f aca="false">(ABS(D120-H120)/D120)*100</f>
        <v>0.00971716120076349</v>
      </c>
      <c r="H328" s="42"/>
      <c r="I328" s="43" t="n">
        <f aca="false">(ABS(C120-I120)/C120)*100</f>
        <v>97.8963893249608</v>
      </c>
      <c r="J328" s="44" t="n">
        <f aca="false">(ABS(D120-J120)/D120)*100</f>
        <v>10.8207530799931</v>
      </c>
      <c r="K328" s="40"/>
      <c r="L328" s="44" t="n">
        <f aca="false">(ABS(C120-K120)/C120)*100</f>
        <v>0.0188383045525903</v>
      </c>
      <c r="M328" s="44" t="n">
        <f aca="false">(ABS(D120-L120)/D120)*100</f>
        <v>0.00208224882873503</v>
      </c>
      <c r="N328" s="40"/>
    </row>
    <row r="329" customFormat="false" ht="15" hidden="false" customHeight="false" outlineLevel="0" collapsed="false">
      <c r="A329" s="7"/>
      <c r="B329" s="25" t="n">
        <v>117</v>
      </c>
      <c r="C329" s="43" t="n">
        <f aca="false">(ABS(C121-E121)/C121)*100</f>
        <v>99.8869701726845</v>
      </c>
      <c r="D329" s="44" t="n">
        <f aca="false">(ABS(D121-F121)/D121)*100</f>
        <v>11.0407773728961</v>
      </c>
      <c r="E329" s="40"/>
      <c r="F329" s="44" t="n">
        <f aca="false">(ABS(C121-G121)/C121)*100</f>
        <v>0.0188383045525903</v>
      </c>
      <c r="G329" s="44" t="n">
        <f aca="false">(ABS(D121-H121)/D121)*100</f>
        <v>0.00208224882873503</v>
      </c>
      <c r="H329" s="42"/>
      <c r="I329" s="43" t="n">
        <f aca="false">(ABS(C121-I121)/C121)*100</f>
        <v>99.8744113029827</v>
      </c>
      <c r="J329" s="44" t="n">
        <f aca="false">(ABS(D121-J121)/D121)*100</f>
        <v>11.0393892070102</v>
      </c>
      <c r="K329" s="40"/>
      <c r="L329" s="44" t="n">
        <f aca="false">(ABS(C121-K121)/C121)*100</f>
        <v>0.0188383045525903</v>
      </c>
      <c r="M329" s="44" t="n">
        <f aca="false">(ABS(D121-L121)/D121)*100</f>
        <v>0.00208224882873503</v>
      </c>
      <c r="N329" s="40"/>
    </row>
    <row r="330" customFormat="false" ht="15" hidden="false" customHeight="false" outlineLevel="0" collapsed="false">
      <c r="A330" s="7"/>
      <c r="B330" s="25" t="n">
        <v>118</v>
      </c>
      <c r="C330" s="43" t="n">
        <f aca="false">(ABS(C122-E122)/C122)*100</f>
        <v>99.0204081632653</v>
      </c>
      <c r="D330" s="44" t="n">
        <f aca="false">(ABS(D122-F122)/D122)*100</f>
        <v>10.9449939267742</v>
      </c>
      <c r="E330" s="40"/>
      <c r="F330" s="44" t="n">
        <f aca="false">(ABS(C122-G122)/C122)*100</f>
        <v>0.0188383045525903</v>
      </c>
      <c r="G330" s="44" t="n">
        <f aca="false">(ABS(D122-H122)/D122)*100</f>
        <v>0.00208224882873503</v>
      </c>
      <c r="H330" s="42"/>
      <c r="I330" s="43" t="n">
        <f aca="false">(ABS(C122-I122)/C122)*100</f>
        <v>99.9874411302983</v>
      </c>
      <c r="J330" s="44" t="n">
        <f aca="false">(ABS(D122-J122)/D122)*100</f>
        <v>11.0518826999826</v>
      </c>
      <c r="K330" s="40"/>
      <c r="L330" s="44" t="n">
        <f aca="false">(ABS(C122-K122)/C122)*100</f>
        <v>0.0188383045525903</v>
      </c>
      <c r="M330" s="44" t="n">
        <f aca="false">(ABS(D122-L122)/D122)*100</f>
        <v>0.00208224882873503</v>
      </c>
      <c r="N330" s="40"/>
    </row>
    <row r="331" customFormat="false" ht="15" hidden="false" customHeight="false" outlineLevel="0" collapsed="false">
      <c r="A331" s="7"/>
      <c r="B331" s="25" t="n">
        <v>119</v>
      </c>
      <c r="C331" s="43" t="n">
        <f aca="false">(ABS(C123-E123)/C123)*100</f>
        <v>99.9309262166405</v>
      </c>
      <c r="D331" s="44" t="n">
        <f aca="false">(ABS(D123-F123)/D123)*100</f>
        <v>11.0456359534964</v>
      </c>
      <c r="E331" s="40"/>
      <c r="F331" s="44" t="n">
        <f aca="false">(ABS(C123-G123)/C123)*100</f>
        <v>0.0188383045525903</v>
      </c>
      <c r="G331" s="44" t="n">
        <f aca="false">(ABS(D123-H123)/D123)*100</f>
        <v>0.00208224882873503</v>
      </c>
      <c r="H331" s="42"/>
      <c r="I331" s="43" t="n">
        <f aca="false">(ABS(C123-I123)/C123)*100</f>
        <v>99.7990580847724</v>
      </c>
      <c r="J331" s="44" t="n">
        <f aca="false">(ABS(D123-J123)/D123)*100</f>
        <v>11.0310602116953</v>
      </c>
      <c r="K331" s="40"/>
      <c r="L331" s="44" t="n">
        <f aca="false">(ABS(C123-K123)/C123)*100</f>
        <v>0.0188383045525903</v>
      </c>
      <c r="M331" s="44" t="n">
        <f aca="false">(ABS(D123-L123)/D123)*100</f>
        <v>0.00208224882873503</v>
      </c>
      <c r="N331" s="40"/>
    </row>
    <row r="332" customFormat="false" ht="15" hidden="false" customHeight="false" outlineLevel="0" collapsed="false">
      <c r="A332" s="7"/>
      <c r="B332" s="25" t="n">
        <v>120</v>
      </c>
      <c r="C332" s="43" t="n">
        <f aca="false">(ABS(C124-E124)/C124)*100</f>
        <v>99.8053375196232</v>
      </c>
      <c r="D332" s="44" t="n">
        <f aca="false">(ABS(D124-F124)/D124)*100</f>
        <v>11.0317542946382</v>
      </c>
      <c r="E332" s="40"/>
      <c r="F332" s="44" t="n">
        <f aca="false">(ABS(C124-G124)/C124)*100</f>
        <v>0.0188383045525903</v>
      </c>
      <c r="G332" s="44" t="n">
        <f aca="false">(ABS(D124-H124)/D124)*100</f>
        <v>0.00208224882873503</v>
      </c>
      <c r="H332" s="42"/>
      <c r="I332" s="43" t="n">
        <f aca="false">(ABS(C124-I124)/C124)*100</f>
        <v>99.9372056514914</v>
      </c>
      <c r="J332" s="44" t="n">
        <f aca="false">(ABS(D124-J124)/D124)*100</f>
        <v>11.0463300364394</v>
      </c>
      <c r="K332" s="40"/>
      <c r="L332" s="44" t="n">
        <f aca="false">(ABS(C124-K124)/C124)*100</f>
        <v>0.0188383045525903</v>
      </c>
      <c r="M332" s="44" t="n">
        <f aca="false">(ABS(D124-L124)/D124)*100</f>
        <v>0.00208224882873503</v>
      </c>
      <c r="N332" s="40"/>
    </row>
    <row r="333" customFormat="false" ht="15" hidden="false" customHeight="false" outlineLevel="0" collapsed="false">
      <c r="A333" s="7"/>
      <c r="B333" s="25" t="n">
        <v>121</v>
      </c>
      <c r="C333" s="43" t="n">
        <f aca="false">(ABS(C125-E125)/C125)*100</f>
        <v>99.9372056514914</v>
      </c>
      <c r="D333" s="44" t="n">
        <f aca="false">(ABS(D125-F125)/D125)*100</f>
        <v>11.0463300364394</v>
      </c>
      <c r="E333" s="40"/>
      <c r="F333" s="44" t="n">
        <f aca="false">(ABS(C125-G125)/C125)*100</f>
        <v>0.0188383045525903</v>
      </c>
      <c r="G333" s="44" t="n">
        <f aca="false">(ABS(D125-H125)/D125)*100</f>
        <v>0.00208224882873503</v>
      </c>
      <c r="H333" s="42"/>
      <c r="I333" s="43" t="n">
        <f aca="false">(ABS(C125-I125)/C125)*100</f>
        <v>92.1507064364207</v>
      </c>
      <c r="J333" s="44" t="n">
        <f aca="false">(ABS(D125-J125)/D125)*100</f>
        <v>10.1856671872289</v>
      </c>
      <c r="K333" s="40"/>
      <c r="L333" s="44" t="n">
        <f aca="false">(ABS(C125-K125)/C125)*100</f>
        <v>0.0188383045525903</v>
      </c>
      <c r="M333" s="44" t="n">
        <f aca="false">(ABS(D125-L125)/D125)*100</f>
        <v>0.00208224882873503</v>
      </c>
      <c r="N333" s="40"/>
    </row>
    <row r="334" customFormat="false" ht="15" hidden="false" customHeight="false" outlineLevel="0" collapsed="false">
      <c r="A334" s="7"/>
      <c r="B334" s="25" t="n">
        <v>122</v>
      </c>
      <c r="C334" s="43" t="n">
        <f aca="false">(ABS(C126-E126)/C126)*100</f>
        <v>99.8430141287284</v>
      </c>
      <c r="D334" s="44" t="n">
        <f aca="false">(ABS(D126-F126)/D126)*100</f>
        <v>11.0359187922957</v>
      </c>
      <c r="E334" s="40"/>
      <c r="F334" s="44" t="n">
        <f aca="false">(ABS(C126-G126)/C126)*100</f>
        <v>0.00627943485086342</v>
      </c>
      <c r="G334" s="44" t="n">
        <f aca="false">(ABS(D126-H126)/D126)*100</f>
        <v>0.000694082942911678</v>
      </c>
      <c r="H334" s="42"/>
      <c r="I334" s="43" t="n">
        <f aca="false">(ABS(C126-I126)/C126)*100</f>
        <v>99.2276295133438</v>
      </c>
      <c r="J334" s="44" t="n">
        <f aca="false">(ABS(D126-J126)/D126)*100</f>
        <v>10.9678986638903</v>
      </c>
      <c r="K334" s="40"/>
      <c r="L334" s="44" t="n">
        <f aca="false">(ABS(C126-K126)/C126)*100</f>
        <v>0.0125588697017268</v>
      </c>
      <c r="M334" s="44" t="n">
        <f aca="false">(ABS(D126-L126)/D126)*100</f>
        <v>0.00138816588582336</v>
      </c>
      <c r="N334" s="40"/>
    </row>
    <row r="335" customFormat="false" ht="15" hidden="false" customHeight="false" outlineLevel="0" collapsed="false">
      <c r="A335" s="7"/>
      <c r="B335" s="25" t="n">
        <v>123</v>
      </c>
      <c r="C335" s="43" t="n">
        <f aca="false">(ABS(C127-E127)/C127)*100</f>
        <v>99.5541601255887</v>
      </c>
      <c r="D335" s="44" t="n">
        <f aca="false">(ABS(D127-F127)/D127)*100</f>
        <v>11.0039909769217</v>
      </c>
      <c r="E335" s="40"/>
      <c r="F335" s="44" t="n">
        <f aca="false">(ABS(C127-G127)/C127)*100</f>
        <v>0.0125588697017268</v>
      </c>
      <c r="G335" s="44" t="n">
        <f aca="false">(ABS(D127-H127)/D127)*100</f>
        <v>0.00138816588582336</v>
      </c>
      <c r="H335" s="42"/>
      <c r="I335" s="43" t="n">
        <f aca="false">(ABS(C127-I127)/C127)*100</f>
        <v>96.2888540031397</v>
      </c>
      <c r="J335" s="44" t="n">
        <f aca="false">(ABS(D127-J127)/D127)*100</f>
        <v>10.6430678466077</v>
      </c>
      <c r="K335" s="40"/>
      <c r="L335" s="44" t="n">
        <f aca="false">(ABS(C127-K127)/C127)*100</f>
        <v>0.0188383045525903</v>
      </c>
      <c r="M335" s="44" t="n">
        <f aca="false">(ABS(D127-L127)/D127)*100</f>
        <v>0.00208224882873503</v>
      </c>
      <c r="N335" s="40"/>
    </row>
    <row r="336" customFormat="false" ht="15" hidden="false" customHeight="false" outlineLevel="0" collapsed="false">
      <c r="A336" s="7"/>
      <c r="B336" s="25" t="n">
        <v>124</v>
      </c>
      <c r="C336" s="43" t="n">
        <f aca="false">(ABS(C128-E128)/C128)*100</f>
        <v>99.8869701726845</v>
      </c>
      <c r="D336" s="44" t="n">
        <f aca="false">(ABS(D128-F128)/D128)*100</f>
        <v>11.0407773728961</v>
      </c>
      <c r="E336" s="40"/>
      <c r="F336" s="44" t="n">
        <f aca="false">(ABS(C128-G128)/C128)*100</f>
        <v>0.0816326530612245</v>
      </c>
      <c r="G336" s="44" t="n">
        <f aca="false">(ABS(D128-H128)/D128)*100</f>
        <v>0.00902307825785181</v>
      </c>
      <c r="H336" s="42"/>
      <c r="I336" s="43" t="n">
        <f aca="false">(ABS(C128-I128)/C128)*100</f>
        <v>99.8995290423862</v>
      </c>
      <c r="J336" s="44" t="n">
        <f aca="false">(ABS(D128-J128)/D128)*100</f>
        <v>11.0421655387819</v>
      </c>
      <c r="K336" s="40"/>
      <c r="L336" s="44" t="n">
        <f aca="false">(ABS(C128-K128)/C128)*100</f>
        <v>0.0313971742543171</v>
      </c>
      <c r="M336" s="44" t="n">
        <f aca="false">(ABS(D128-L128)/D128)*100</f>
        <v>0.00347041471455839</v>
      </c>
      <c r="N336" s="40"/>
    </row>
    <row r="337" customFormat="false" ht="15" hidden="false" customHeight="false" outlineLevel="0" collapsed="false">
      <c r="A337" s="7"/>
      <c r="B337" s="25" t="n">
        <v>125</v>
      </c>
      <c r="C337" s="43" t="n">
        <f aca="false">(ABS(C129-E129)/C129)*100</f>
        <v>99.9246467817896</v>
      </c>
      <c r="D337" s="44" t="n">
        <f aca="false">(ABS(D129-F129)/D129)*100</f>
        <v>11.0449418705535</v>
      </c>
      <c r="E337" s="40"/>
      <c r="F337" s="44" t="n">
        <f aca="false">(ABS(C129-G129)/C129)*100</f>
        <v>0.0251177394034537</v>
      </c>
      <c r="G337" s="44" t="n">
        <f aca="false">(ABS(D129-H129)/D129)*100</f>
        <v>0.00277633177164671</v>
      </c>
      <c r="H337" s="42"/>
      <c r="I337" s="43" t="n">
        <f aca="false">(ABS(C129-I129)/C129)*100</f>
        <v>99.9246467817896</v>
      </c>
      <c r="J337" s="44" t="n">
        <f aca="false">(ABS(D129-J129)/D129)*100</f>
        <v>11.0449418705535</v>
      </c>
      <c r="K337" s="40"/>
      <c r="L337" s="44" t="n">
        <f aca="false">(ABS(C129-K129)/C129)*100</f>
        <v>0.0188383045525903</v>
      </c>
      <c r="M337" s="44" t="n">
        <f aca="false">(ABS(D129-L129)/D129)*100</f>
        <v>0.00208224882873503</v>
      </c>
      <c r="N337" s="40"/>
    </row>
    <row r="338" customFormat="false" ht="15" hidden="false" customHeight="false" outlineLevel="0" collapsed="false">
      <c r="A338" s="7"/>
      <c r="B338" s="25" t="n">
        <v>126</v>
      </c>
      <c r="C338" s="43" t="n">
        <f aca="false">(ABS(C130-E130)/C130)*100</f>
        <v>99.447409733124</v>
      </c>
      <c r="D338" s="44" t="n">
        <f aca="false">(ABS(D130-F130)/D130)*100</f>
        <v>10.9921915668922</v>
      </c>
      <c r="E338" s="40"/>
      <c r="F338" s="44" t="n">
        <f aca="false">(ABS(C130-G130)/C130)*100</f>
        <v>0.0251177394034537</v>
      </c>
      <c r="G338" s="44" t="n">
        <f aca="false">(ABS(D130-H130)/D130)*100</f>
        <v>0.00277633177164671</v>
      </c>
      <c r="H338" s="42"/>
      <c r="I338" s="43" t="n">
        <f aca="false">(ABS(C130-I130)/C130)*100</f>
        <v>99.8806907378336</v>
      </c>
      <c r="J338" s="44" t="n">
        <f aca="false">(ABS(D130-J130)/D130)*100</f>
        <v>11.0400832899531</v>
      </c>
      <c r="K338" s="40"/>
      <c r="L338" s="44" t="n">
        <f aca="false">(ABS(C130-K130)/C130)*100</f>
        <v>0.0125588697017268</v>
      </c>
      <c r="M338" s="44" t="n">
        <f aca="false">(ABS(D130-L130)/D130)*100</f>
        <v>0.00138816588582336</v>
      </c>
      <c r="N338" s="40"/>
    </row>
    <row r="339" customFormat="false" ht="15" hidden="false" customHeight="false" outlineLevel="0" collapsed="false">
      <c r="A339" s="7"/>
      <c r="B339" s="25" t="n">
        <v>127</v>
      </c>
      <c r="C339" s="43" t="n">
        <f aca="false">(ABS(C131-E131)/C131)*100</f>
        <v>98.4050235478807</v>
      </c>
      <c r="D339" s="44" t="n">
        <f aca="false">(ABS(D131-F131)/D131)*100</f>
        <v>10.8769737983689</v>
      </c>
      <c r="E339" s="40"/>
      <c r="F339" s="44" t="n">
        <f aca="false">(ABS(C131-G131)/C131)*100</f>
        <v>0.0251177394034537</v>
      </c>
      <c r="G339" s="44" t="n">
        <f aca="false">(ABS(D131-H131)/D131)*100</f>
        <v>0.00277633177164671</v>
      </c>
      <c r="H339" s="42"/>
      <c r="I339" s="43" t="n">
        <f aca="false">(ABS(C131-I131)/C131)*100</f>
        <v>96.094191522763</v>
      </c>
      <c r="J339" s="44" t="n">
        <f aca="false">(ABS(D131-J131)/D131)*100</f>
        <v>10.6215512753774</v>
      </c>
      <c r="K339" s="40"/>
      <c r="L339" s="44" t="n">
        <f aca="false">(ABS(C131-K131)/C131)*100</f>
        <v>0.0125588697017268</v>
      </c>
      <c r="M339" s="44" t="n">
        <f aca="false">(ABS(D131-L131)/D131)*100</f>
        <v>0.00138816588582336</v>
      </c>
      <c r="N339" s="40"/>
    </row>
    <row r="340" customFormat="false" ht="15" hidden="false" customHeight="false" outlineLevel="0" collapsed="false">
      <c r="A340" s="7"/>
      <c r="B340" s="25" t="n">
        <v>128</v>
      </c>
      <c r="C340" s="43" t="n">
        <f aca="false">(ABS(C132-E132)/C132)*100</f>
        <v>99.8555729984302</v>
      </c>
      <c r="D340" s="44" t="n">
        <f aca="false">(ABS(D132-F132)/D132)*100</f>
        <v>11.0373069581815</v>
      </c>
      <c r="E340" s="40"/>
      <c r="F340" s="44" t="n">
        <f aca="false">(ABS(C132-G132)/C132)*100</f>
        <v>0.0125588697017268</v>
      </c>
      <c r="G340" s="44" t="n">
        <f aca="false">(ABS(D132-H132)/D132)*100</f>
        <v>0.00138816588582336</v>
      </c>
      <c r="H340" s="42"/>
      <c r="I340" s="43" t="n">
        <f aca="false">(ABS(C132-I132)/C132)*100</f>
        <v>97.4693877551021</v>
      </c>
      <c r="J340" s="44" t="n">
        <f aca="false">(ABS(D132-J132)/D132)*100</f>
        <v>10.7735554398751</v>
      </c>
      <c r="K340" s="40"/>
      <c r="L340" s="44" t="n">
        <f aca="false">(ABS(C132-K132)/C132)*100</f>
        <v>0.0125588697017268</v>
      </c>
      <c r="M340" s="44" t="n">
        <f aca="false">(ABS(D132-L132)/D132)*100</f>
        <v>0.00138816588582336</v>
      </c>
      <c r="N340" s="40"/>
    </row>
    <row r="341" customFormat="false" ht="15" hidden="false" customHeight="false" outlineLevel="0" collapsed="false">
      <c r="A341" s="7"/>
      <c r="B341" s="25" t="n">
        <v>129</v>
      </c>
      <c r="C341" s="43" t="n">
        <f aca="false">(ABS(C133-E133)/C133)*100</f>
        <v>99.9497645211931</v>
      </c>
      <c r="D341" s="44" t="n">
        <f aca="false">(ABS(D133-F133)/D133)*100</f>
        <v>11.0477182023252</v>
      </c>
      <c r="E341" s="40"/>
      <c r="F341" s="44" t="n">
        <f aca="false">(ABS(C133-G133)/C133)*100</f>
        <v>0.100470957613815</v>
      </c>
      <c r="G341" s="44" t="n">
        <f aca="false">(ABS(D133-H133)/D133)*100</f>
        <v>0.0111053270865868</v>
      </c>
      <c r="H341" s="42"/>
      <c r="I341" s="43" t="n">
        <f aca="false">(ABS(C133-I133)/C133)*100</f>
        <v>99.8932496075353</v>
      </c>
      <c r="J341" s="44" t="n">
        <f aca="false">(ABS(D133-J133)/D133)*100</f>
        <v>11.041471455839</v>
      </c>
      <c r="K341" s="40"/>
      <c r="L341" s="44" t="n">
        <f aca="false">(ABS(C133-K133)/C133)*100</f>
        <v>0.0251177394034537</v>
      </c>
      <c r="M341" s="44" t="n">
        <f aca="false">(ABS(D133-L133)/D133)*100</f>
        <v>0.00277633177164671</v>
      </c>
      <c r="N341" s="40"/>
    </row>
    <row r="342" customFormat="false" ht="15" hidden="false" customHeight="false" outlineLevel="0" collapsed="false">
      <c r="A342" s="7"/>
      <c r="B342" s="25" t="n">
        <v>130</v>
      </c>
      <c r="C342" s="43" t="n">
        <f aca="false">(ABS(C134-E134)/C134)*100</f>
        <v>98.9701726844584</v>
      </c>
      <c r="D342" s="44" t="n">
        <f aca="false">(ABS(D134-F134)/D134)*100</f>
        <v>10.939441263231</v>
      </c>
      <c r="E342" s="40"/>
      <c r="F342" s="44" t="n">
        <f aca="false">(ABS(C134-G134)/C134)*100</f>
        <v>0.0251177394034537</v>
      </c>
      <c r="G342" s="44" t="n">
        <f aca="false">(ABS(D134-H134)/D134)*100</f>
        <v>0.00277633177164671</v>
      </c>
      <c r="H342" s="42"/>
      <c r="I342" s="43" t="n">
        <f aca="false">(ABS(C134-I134)/C134)*100</f>
        <v>99.9120879120879</v>
      </c>
      <c r="J342" s="44" t="n">
        <f aca="false">(ABS(D134-J134)/D134)*100</f>
        <v>11.0435537046677</v>
      </c>
      <c r="K342" s="40"/>
      <c r="L342" s="44" t="n">
        <f aca="false">(ABS(C134-K134)/C134)*100</f>
        <v>0.0188383045525903</v>
      </c>
      <c r="M342" s="44" t="n">
        <f aca="false">(ABS(D134-L134)/D134)*100</f>
        <v>0.00208224882873503</v>
      </c>
      <c r="N342" s="40"/>
    </row>
    <row r="343" customFormat="false" ht="15" hidden="false" customHeight="false" outlineLevel="0" collapsed="false">
      <c r="A343" s="7"/>
      <c r="B343" s="25" t="n">
        <v>131</v>
      </c>
      <c r="C343" s="43" t="n">
        <f aca="false">(ABS(C135-E135)/C135)*100</f>
        <v>99.8681318681319</v>
      </c>
      <c r="D343" s="44" t="n">
        <f aca="false">(ABS(D135-F135)/D135)*100</f>
        <v>11.0386951240673</v>
      </c>
      <c r="E343" s="40"/>
      <c r="F343" s="44" t="n">
        <f aca="false">(ABS(C135-G135)/C135)*100</f>
        <v>0.0251177394034537</v>
      </c>
      <c r="G343" s="44" t="n">
        <f aca="false">(ABS(D135-H135)/D135)*100</f>
        <v>0.00277633177164671</v>
      </c>
      <c r="H343" s="42"/>
      <c r="I343" s="43" t="n">
        <f aca="false">(ABS(C135-I135)/C135)*100</f>
        <v>94.2229199372057</v>
      </c>
      <c r="J343" s="44" t="n">
        <f aca="false">(ABS(D135-J135)/D135)*100</f>
        <v>10.4147145583897</v>
      </c>
      <c r="K343" s="40"/>
      <c r="L343" s="44" t="n">
        <f aca="false">(ABS(C135-K135)/C135)*100</f>
        <v>0.0251177394034537</v>
      </c>
      <c r="M343" s="44" t="n">
        <f aca="false">(ABS(D135-L135)/D135)*100</f>
        <v>0.00277633177164671</v>
      </c>
      <c r="N343" s="40"/>
    </row>
    <row r="344" customFormat="false" ht="15" hidden="false" customHeight="false" outlineLevel="0" collapsed="false">
      <c r="A344" s="7"/>
      <c r="B344" s="25" t="n">
        <v>132</v>
      </c>
      <c r="C344" s="43" t="n">
        <f aca="false">(ABS(C136-E136)/C136)*100</f>
        <v>99.9623233908948</v>
      </c>
      <c r="D344" s="44" t="n">
        <f aca="false">(ABS(D136-F136)/D136)*100</f>
        <v>11.049106368211</v>
      </c>
      <c r="E344" s="40"/>
      <c r="F344" s="44" t="n">
        <f aca="false">(ABS(C136-G136)/C136)*100</f>
        <v>0.0251177394034537</v>
      </c>
      <c r="G344" s="44" t="n">
        <f aca="false">(ABS(D136-H136)/D136)*100</f>
        <v>0.00277633177164671</v>
      </c>
      <c r="H344" s="42"/>
      <c r="I344" s="43" t="n">
        <f aca="false">(ABS(C136-I136)/C136)*100</f>
        <v>99.032967032967</v>
      </c>
      <c r="J344" s="44" t="n">
        <f aca="false">(ABS(D136-J136)/D136)*100</f>
        <v>10.9463820926601</v>
      </c>
      <c r="K344" s="40"/>
      <c r="L344" s="44" t="n">
        <f aca="false">(ABS(C136-K136)/C136)*100</f>
        <v>0.0313971742543171</v>
      </c>
      <c r="M344" s="44" t="n">
        <f aca="false">(ABS(D136-L136)/D136)*100</f>
        <v>0.00347041471455839</v>
      </c>
      <c r="N344" s="40"/>
    </row>
    <row r="345" customFormat="false" ht="15" hidden="false" customHeight="false" outlineLevel="0" collapsed="false">
      <c r="A345" s="7"/>
      <c r="B345" s="25" t="n">
        <v>133</v>
      </c>
      <c r="C345" s="43" t="n">
        <f aca="false">(ABS(C137-E137)/C137)*100</f>
        <v>99.8995290423862</v>
      </c>
      <c r="D345" s="44" t="n">
        <f aca="false">(ABS(D137-F137)/D137)*100</f>
        <v>11.0421655387819</v>
      </c>
      <c r="E345" s="40"/>
      <c r="F345" s="44" t="n">
        <f aca="false">(ABS(C137-G137)/C137)*100</f>
        <v>0.0251177394034537</v>
      </c>
      <c r="G345" s="44" t="n">
        <f aca="false">(ABS(D137-H137)/D137)*100</f>
        <v>0.00277633177164671</v>
      </c>
      <c r="H345" s="42"/>
      <c r="I345" s="43" t="n">
        <f aca="false">(ABS(C137-I137)/C137)*100</f>
        <v>99.7613814756672</v>
      </c>
      <c r="J345" s="44" t="n">
        <f aca="false">(ABS(D137-J137)/D137)*100</f>
        <v>11.0268957140378</v>
      </c>
      <c r="K345" s="40"/>
      <c r="L345" s="44" t="n">
        <f aca="false">(ABS(C137-K137)/C137)*100</f>
        <v>0.0188383045525903</v>
      </c>
      <c r="M345" s="44" t="n">
        <f aca="false">(ABS(D137-L137)/D137)*100</f>
        <v>0.00208224882873503</v>
      </c>
      <c r="N345" s="40"/>
    </row>
    <row r="346" customFormat="false" ht="15" hidden="false" customHeight="false" outlineLevel="0" collapsed="false">
      <c r="A346" s="7"/>
      <c r="B346" s="25" t="n">
        <v>134</v>
      </c>
      <c r="C346" s="43" t="n">
        <f aca="false">(ABS(C138-E138)/C138)*100</f>
        <v>99.9623233908948</v>
      </c>
      <c r="D346" s="44" t="n">
        <f aca="false">(ABS(D138-F138)/D138)*100</f>
        <v>11.049106368211</v>
      </c>
      <c r="E346" s="40"/>
      <c r="F346" s="44" t="n">
        <f aca="false">(ABS(C138-G138)/C138)*100</f>
        <v>0.0313971742543171</v>
      </c>
      <c r="G346" s="44" t="n">
        <f aca="false">(ABS(D138-H138)/D138)*100</f>
        <v>0.00347041471455839</v>
      </c>
      <c r="H346" s="42"/>
      <c r="I346" s="43" t="n">
        <f aca="false">(ABS(C138-I138)/C138)*100</f>
        <v>100</v>
      </c>
      <c r="J346" s="44" t="n">
        <f aca="false">(ABS(D138-J138)/D138)*100</f>
        <v>11.0532708658685</v>
      </c>
      <c r="K346" s="40"/>
      <c r="L346" s="44" t="n">
        <f aca="false">(ABS(C138-K138)/C138)*100</f>
        <v>0.0376766091051805</v>
      </c>
      <c r="M346" s="44" t="n">
        <f aca="false">(ABS(D138-L138)/D138)*100</f>
        <v>0.00416449765747007</v>
      </c>
      <c r="N346" s="40"/>
    </row>
    <row r="347" customFormat="false" ht="15" hidden="false" customHeight="false" outlineLevel="0" collapsed="false">
      <c r="A347" s="7"/>
      <c r="B347" s="25" t="n">
        <v>135</v>
      </c>
      <c r="C347" s="43" t="n">
        <f aca="false">(ABS(C139-E139)/C139)*100</f>
        <v>99.9434850863422</v>
      </c>
      <c r="D347" s="44" t="n">
        <f aca="false">(ABS(D139-F139)/D139)*100</f>
        <v>11.0470241193823</v>
      </c>
      <c r="E347" s="40"/>
      <c r="F347" s="44" t="n">
        <f aca="false">(ABS(C139-G139)/C139)*100</f>
        <v>0.0125588697017268</v>
      </c>
      <c r="G347" s="44" t="n">
        <f aca="false">(ABS(D139-H139)/D139)*100</f>
        <v>0.00138816588582336</v>
      </c>
      <c r="H347" s="42"/>
      <c r="I347" s="43" t="n">
        <f aca="false">(ABS(C139-I139)/C139)*100</f>
        <v>99.9497645211931</v>
      </c>
      <c r="J347" s="44" t="n">
        <f aca="false">(ABS(D139-J139)/D139)*100</f>
        <v>11.0477182023252</v>
      </c>
      <c r="K347" s="40"/>
      <c r="L347" s="44" t="n">
        <f aca="false">(ABS(C139-K139)/C139)*100</f>
        <v>0.0188383045525903</v>
      </c>
      <c r="M347" s="44" t="n">
        <f aca="false">(ABS(D139-L139)/D139)*100</f>
        <v>0.00208224882873503</v>
      </c>
      <c r="N347" s="40"/>
    </row>
    <row r="348" customFormat="false" ht="15" hidden="false" customHeight="false" outlineLevel="0" collapsed="false">
      <c r="A348" s="7"/>
      <c r="B348" s="25" t="n">
        <v>136</v>
      </c>
      <c r="C348" s="43" t="n">
        <f aca="false">(ABS(C140-E140)/C140)*100</f>
        <v>99.8367346938776</v>
      </c>
      <c r="D348" s="44" t="n">
        <f aca="false">(ABS(D140-F140)/D140)*100</f>
        <v>11.0352247093528</v>
      </c>
      <c r="E348" s="40"/>
      <c r="F348" s="44" t="n">
        <f aca="false">(ABS(C140-G140)/C140)*100</f>
        <v>0.0753532182103611</v>
      </c>
      <c r="G348" s="44" t="n">
        <f aca="false">(ABS(D140-H140)/D140)*100</f>
        <v>0.00832899531494014</v>
      </c>
      <c r="H348" s="42"/>
      <c r="I348" s="43" t="n">
        <f aca="false">(ABS(C140-I140)/C140)*100</f>
        <v>99.5290423861852</v>
      </c>
      <c r="J348" s="44" t="n">
        <f aca="false">(ABS(D140-J140)/D140)*100</f>
        <v>11.0012146451501</v>
      </c>
      <c r="K348" s="40"/>
      <c r="L348" s="44" t="n">
        <f aca="false">(ABS(C140-K140)/C140)*100</f>
        <v>0.0188383045525903</v>
      </c>
      <c r="M348" s="44" t="n">
        <f aca="false">(ABS(D140-L140)/D140)*100</f>
        <v>0.00208224882873503</v>
      </c>
      <c r="N348" s="40"/>
    </row>
    <row r="349" customFormat="false" ht="15" hidden="false" customHeight="false" outlineLevel="0" collapsed="false">
      <c r="A349" s="7"/>
      <c r="B349" s="25" t="n">
        <v>137</v>
      </c>
      <c r="C349" s="43" t="n">
        <f aca="false">(ABS(C141-E141)/C141)*100</f>
        <v>99.9686028257457</v>
      </c>
      <c r="D349" s="44" t="n">
        <f aca="false">(ABS(D141-F141)/D141)*100</f>
        <v>11.0498004511539</v>
      </c>
      <c r="E349" s="40"/>
      <c r="F349" s="44" t="n">
        <f aca="false">(ABS(C141-G141)/C141)*100</f>
        <v>0.540031397174254</v>
      </c>
      <c r="G349" s="44" t="n">
        <f aca="false">(ABS(D141-H141)/D141)*100</f>
        <v>0.0596911330904043</v>
      </c>
      <c r="H349" s="42"/>
      <c r="I349" s="43" t="n">
        <f aca="false">(ABS(C141-I141)/C141)*100</f>
        <v>99.905808477237</v>
      </c>
      <c r="J349" s="44" t="n">
        <f aca="false">(ABS(D141-J141)/D141)*100</f>
        <v>11.0428596217248</v>
      </c>
      <c r="K349" s="40"/>
      <c r="L349" s="44" t="n">
        <f aca="false">(ABS(C141-K141)/C141)*100</f>
        <v>0.0188383045525903</v>
      </c>
      <c r="M349" s="44" t="n">
        <f aca="false">(ABS(D141-L141)/D141)*100</f>
        <v>0.00208224882873503</v>
      </c>
      <c r="N349" s="40"/>
    </row>
    <row r="350" customFormat="false" ht="15" hidden="false" customHeight="false" outlineLevel="0" collapsed="false">
      <c r="A350" s="7"/>
      <c r="B350" s="25" t="n">
        <v>138</v>
      </c>
      <c r="C350" s="43" t="n">
        <f aca="false">(ABS(C142-E142)/C142)*100</f>
        <v>99.9874411302983</v>
      </c>
      <c r="D350" s="44" t="n">
        <f aca="false">(ABS(D142-F142)/D142)*100</f>
        <v>11.0518826999826</v>
      </c>
      <c r="E350" s="40"/>
      <c r="F350" s="44" t="n">
        <f aca="false">(ABS(C142-G142)/C142)*100</f>
        <v>0.0251177394034537</v>
      </c>
      <c r="G350" s="44" t="n">
        <f aca="false">(ABS(D142-H142)/D142)*100</f>
        <v>0.00277633177164671</v>
      </c>
      <c r="H350" s="42"/>
      <c r="I350" s="43" t="n">
        <f aca="false">(ABS(C142-I142)/C142)*100</f>
        <v>100</v>
      </c>
      <c r="J350" s="44" t="n">
        <f aca="false">(ABS(D142-J142)/D142)*100</f>
        <v>11.0532708658685</v>
      </c>
      <c r="K350" s="40"/>
      <c r="L350" s="44" t="n">
        <f aca="false">(ABS(C142-K142)/C142)*100</f>
        <v>0.0251177394034537</v>
      </c>
      <c r="M350" s="44" t="n">
        <f aca="false">(ABS(D142-L142)/D142)*100</f>
        <v>0.00277633177164671</v>
      </c>
      <c r="N350" s="40"/>
    </row>
    <row r="351" customFormat="false" ht="15" hidden="false" customHeight="false" outlineLevel="0" collapsed="false">
      <c r="A351" s="7"/>
      <c r="B351" s="25" t="n">
        <v>139</v>
      </c>
      <c r="C351" s="43" t="n">
        <f aca="false">(ABS(C143-E143)/C143)*100</f>
        <v>99.9623233908948</v>
      </c>
      <c r="D351" s="44" t="n">
        <f aca="false">(ABS(D143-F143)/D143)*100</f>
        <v>11.049106368211</v>
      </c>
      <c r="E351" s="40"/>
      <c r="F351" s="44" t="n">
        <f aca="false">(ABS(C143-G143)/C143)*100</f>
        <v>0.0251177394034537</v>
      </c>
      <c r="G351" s="44" t="n">
        <f aca="false">(ABS(D143-H143)/D143)*100</f>
        <v>0.00277633177164671</v>
      </c>
      <c r="H351" s="42"/>
      <c r="I351" s="43" t="n">
        <f aca="false">(ABS(C143-I143)/C143)*100</f>
        <v>99.6671899529042</v>
      </c>
      <c r="J351" s="44" t="n">
        <f aca="false">(ABS(D143-J143)/D143)*100</f>
        <v>11.0164844698942</v>
      </c>
      <c r="K351" s="40"/>
      <c r="L351" s="44" t="n">
        <f aca="false">(ABS(C143-K143)/C143)*100</f>
        <v>0.0251177394034537</v>
      </c>
      <c r="M351" s="44" t="n">
        <f aca="false">(ABS(D143-L143)/D143)*100</f>
        <v>0.00277633177164671</v>
      </c>
      <c r="N351" s="40"/>
    </row>
    <row r="352" customFormat="false" ht="15" hidden="false" customHeight="false" outlineLevel="0" collapsed="false">
      <c r="A352" s="7"/>
      <c r="B352" s="25" t="n">
        <v>140</v>
      </c>
      <c r="C352" s="43" t="n">
        <f aca="false">(ABS(C144-E144)/C144)*100</f>
        <v>99.8367346938776</v>
      </c>
      <c r="D352" s="44" t="n">
        <f aca="false">(ABS(D144-F144)/D144)*100</f>
        <v>11.0352247093528</v>
      </c>
      <c r="E352" s="40"/>
      <c r="F352" s="44" t="n">
        <f aca="false">(ABS(C144-G144)/C144)*100</f>
        <v>0.131868131868132</v>
      </c>
      <c r="G352" s="44" t="n">
        <f aca="false">(ABS(D144-H144)/D144)*100</f>
        <v>0.0145757418011452</v>
      </c>
      <c r="H352" s="42"/>
      <c r="I352" s="43" t="n">
        <f aca="false">(ABS(C144-I144)/C144)*100</f>
        <v>97.2747252747253</v>
      </c>
      <c r="J352" s="44" t="n">
        <f aca="false">(ABS(D144-J144)/D144)*100</f>
        <v>10.7520388686448</v>
      </c>
      <c r="K352" s="40"/>
      <c r="L352" s="44" t="n">
        <f aca="false">(ABS(C144-K144)/C144)*100</f>
        <v>0.0627943485086342</v>
      </c>
      <c r="M352" s="44" t="n">
        <f aca="false">(ABS(D144-L144)/D144)*100</f>
        <v>0.00694082942911678</v>
      </c>
      <c r="N352" s="40"/>
    </row>
    <row r="353" customFormat="false" ht="15" hidden="false" customHeight="false" outlineLevel="0" collapsed="false">
      <c r="A353" s="7"/>
      <c r="B353" s="25" t="n">
        <v>141</v>
      </c>
      <c r="C353" s="43" t="n">
        <f aca="false">(ABS(C145-E145)/C145)*100</f>
        <v>93.0486656200942</v>
      </c>
      <c r="D353" s="44" t="n">
        <f aca="false">(ABS(D145-F145)/D145)*100</f>
        <v>10.2849210480652</v>
      </c>
      <c r="E353" s="40"/>
      <c r="F353" s="44" t="n">
        <f aca="false">(ABS(C145-G145)/C145)*100</f>
        <v>0.0188383045525903</v>
      </c>
      <c r="G353" s="44" t="n">
        <f aca="false">(ABS(D145-H145)/D145)*100</f>
        <v>0.00208224882873503</v>
      </c>
      <c r="H353" s="42"/>
      <c r="I353" s="43" t="n">
        <f aca="false">(ABS(C145-I145)/C145)*100</f>
        <v>99.8367346938776</v>
      </c>
      <c r="J353" s="44" t="n">
        <f aca="false">(ABS(D145-J145)/D145)*100</f>
        <v>11.0352247093528</v>
      </c>
      <c r="K353" s="40"/>
      <c r="L353" s="44" t="n">
        <f aca="false">(ABS(C145-K145)/C145)*100</f>
        <v>0.0251177394034537</v>
      </c>
      <c r="M353" s="44" t="n">
        <f aca="false">(ABS(D145-L145)/D145)*100</f>
        <v>0.00277633177164671</v>
      </c>
      <c r="N353" s="40"/>
    </row>
    <row r="354" customFormat="false" ht="15" hidden="false" customHeight="false" outlineLevel="0" collapsed="false">
      <c r="A354" s="7"/>
      <c r="B354" s="25" t="n">
        <v>142</v>
      </c>
      <c r="C354" s="43" t="n">
        <f aca="false">(ABS(C146-E146)/C146)*100</f>
        <v>99.9874411302983</v>
      </c>
      <c r="D354" s="44" t="n">
        <f aca="false">(ABS(D146-F146)/D146)*100</f>
        <v>11.0518826999826</v>
      </c>
      <c r="E354" s="40"/>
      <c r="F354" s="44" t="n">
        <f aca="false">(ABS(C146-G146)/C146)*100</f>
        <v>0.0125588697017268</v>
      </c>
      <c r="G354" s="44" t="n">
        <f aca="false">(ABS(D146-H146)/D146)*100</f>
        <v>0.00138816588582336</v>
      </c>
      <c r="H354" s="42"/>
      <c r="I354" s="43" t="n">
        <f aca="false">(ABS(C146-I146)/C146)*100</f>
        <v>99.9874411302983</v>
      </c>
      <c r="J354" s="44" t="n">
        <f aca="false">(ABS(D146-J146)/D146)*100</f>
        <v>11.0518826999826</v>
      </c>
      <c r="K354" s="40"/>
      <c r="L354" s="44" t="n">
        <f aca="false">(ABS(C146-K146)/C146)*100</f>
        <v>0.0251177394034537</v>
      </c>
      <c r="M354" s="44" t="n">
        <f aca="false">(ABS(D146-L146)/D146)*100</f>
        <v>0.00277633177164671</v>
      </c>
      <c r="N354" s="40"/>
    </row>
    <row r="355" customFormat="false" ht="15" hidden="false" customHeight="false" outlineLevel="0" collapsed="false">
      <c r="A355" s="7"/>
      <c r="B355" s="25" t="n">
        <v>143</v>
      </c>
      <c r="C355" s="43" t="n">
        <f aca="false">(ABS(C147-E147)/C147)*100</f>
        <v>99.956043956044</v>
      </c>
      <c r="D355" s="44" t="n">
        <f aca="false">(ABS(D147-F147)/D147)*100</f>
        <v>11.0484122852681</v>
      </c>
      <c r="E355" s="40"/>
      <c r="F355" s="44" t="n">
        <f aca="false">(ABS(C147-G147)/C147)*100</f>
        <v>0.0125588697017268</v>
      </c>
      <c r="G355" s="44" t="n">
        <f aca="false">(ABS(D147-H147)/D147)*100</f>
        <v>0.00138816588582336</v>
      </c>
      <c r="H355" s="42"/>
      <c r="I355" s="43" t="n">
        <f aca="false">(ABS(C147-I147)/C147)*100</f>
        <v>99.9874411302983</v>
      </c>
      <c r="J355" s="44" t="n">
        <f aca="false">(ABS(D147-J147)/D147)*100</f>
        <v>11.0518826999826</v>
      </c>
      <c r="K355" s="40"/>
      <c r="L355" s="44" t="n">
        <f aca="false">(ABS(C147-K147)/C147)*100</f>
        <v>0.0251177394034537</v>
      </c>
      <c r="M355" s="44" t="n">
        <f aca="false">(ABS(D147-L147)/D147)*100</f>
        <v>0.00277633177164671</v>
      </c>
      <c r="N355" s="40"/>
    </row>
    <row r="356" customFormat="false" ht="15" hidden="false" customHeight="false" outlineLevel="0" collapsed="false">
      <c r="A356" s="7"/>
      <c r="B356" s="25" t="n">
        <v>144</v>
      </c>
      <c r="C356" s="43" t="n">
        <f aca="false">(ABS(C148-E148)/C148)*100</f>
        <v>99.956043956044</v>
      </c>
      <c r="D356" s="44" t="n">
        <f aca="false">(ABS(D148-F148)/D148)*100</f>
        <v>11.0484122852681</v>
      </c>
      <c r="E356" s="40"/>
      <c r="F356" s="44" t="n">
        <f aca="false">(ABS(C148-G148)/C148)*100</f>
        <v>0.0125588697017268</v>
      </c>
      <c r="G356" s="44" t="n">
        <f aca="false">(ABS(D148-H148)/D148)*100</f>
        <v>0.00138816588582336</v>
      </c>
      <c r="H356" s="42"/>
      <c r="I356" s="43" t="n">
        <f aca="false">(ABS(C148-I148)/C148)*100</f>
        <v>100</v>
      </c>
      <c r="J356" s="44" t="n">
        <f aca="false">(ABS(D148-J148)/D148)*100</f>
        <v>11.0532708658685</v>
      </c>
      <c r="K356" s="40"/>
      <c r="L356" s="44" t="n">
        <f aca="false">(ABS(C148-K148)/C148)*100</f>
        <v>0.0188383045525903</v>
      </c>
      <c r="M356" s="44" t="n">
        <f aca="false">(ABS(D148-L148)/D148)*100</f>
        <v>0.00208224882873503</v>
      </c>
      <c r="N356" s="40"/>
    </row>
    <row r="357" customFormat="false" ht="15" hidden="false" customHeight="false" outlineLevel="0" collapsed="false">
      <c r="A357" s="7"/>
      <c r="B357" s="25" t="n">
        <v>145</v>
      </c>
      <c r="C357" s="43" t="n">
        <f aca="false">(ABS(C149-E149)/C149)*100</f>
        <v>99.4160125588697</v>
      </c>
      <c r="D357" s="44" t="n">
        <f aca="false">(ABS(D149-F149)/D149)*100</f>
        <v>10.9887211521777</v>
      </c>
      <c r="E357" s="40"/>
      <c r="F357" s="44" t="n">
        <f aca="false">(ABS(C149-G149)/C149)*100</f>
        <v>0.00627943485086342</v>
      </c>
      <c r="G357" s="44" t="n">
        <f aca="false">(ABS(D149-H149)/D149)*100</f>
        <v>0.000694082942911678</v>
      </c>
      <c r="H357" s="42"/>
      <c r="I357" s="43" t="n">
        <f aca="false">(ABS(C149-I149)/C149)*100</f>
        <v>99.9183673469388</v>
      </c>
      <c r="J357" s="44" t="n">
        <f aca="false">(ABS(D149-J149)/D149)*100</f>
        <v>11.0442477876106</v>
      </c>
      <c r="K357" s="40"/>
      <c r="L357" s="44" t="n">
        <f aca="false">(ABS(C149-K149)/C149)*100</f>
        <v>0.0188383045525903</v>
      </c>
      <c r="M357" s="44" t="n">
        <f aca="false">(ABS(D149-L149)/D149)*100</f>
        <v>0.00208224882873503</v>
      </c>
      <c r="N357" s="40"/>
    </row>
    <row r="358" customFormat="false" ht="15" hidden="false" customHeight="false" outlineLevel="0" collapsed="false">
      <c r="A358" s="7"/>
      <c r="B358" s="25" t="n">
        <v>146</v>
      </c>
      <c r="C358" s="43" t="n">
        <f aca="false">(ABS(C150-E150)/C150)*100</f>
        <v>99.9811616954474</v>
      </c>
      <c r="D358" s="44" t="n">
        <f aca="false">(ABS(D150-F150)/D150)*100</f>
        <v>11.0511886170397</v>
      </c>
      <c r="E358" s="40"/>
      <c r="F358" s="44" t="n">
        <f aca="false">(ABS(C150-G150)/C150)*100</f>
        <v>0.0188383045525903</v>
      </c>
      <c r="G358" s="44" t="n">
        <f aca="false">(ABS(D150-H150)/D150)*100</f>
        <v>0.00208224882873503</v>
      </c>
      <c r="H358" s="42"/>
      <c r="I358" s="43" t="n">
        <f aca="false">(ABS(C150-I150)/C150)*100</f>
        <v>98.0973312401884</v>
      </c>
      <c r="J358" s="44" t="n">
        <f aca="false">(ABS(D150-J150)/D150)*100</f>
        <v>10.8429637341662</v>
      </c>
      <c r="K358" s="40"/>
      <c r="L358" s="44" t="n">
        <f aca="false">(ABS(C150-K150)/C150)*100</f>
        <v>0.0251177394034537</v>
      </c>
      <c r="M358" s="44" t="n">
        <f aca="false">(ABS(D150-L150)/D150)*100</f>
        <v>0.00277633177164671</v>
      </c>
      <c r="N358" s="40"/>
    </row>
    <row r="359" customFormat="false" ht="15" hidden="false" customHeight="false" outlineLevel="0" collapsed="false">
      <c r="A359" s="7"/>
      <c r="B359" s="25" t="n">
        <v>147</v>
      </c>
      <c r="C359" s="43" t="n">
        <f aca="false">(ABS(C151-E151)/C151)*100</f>
        <v>99.9623233908948</v>
      </c>
      <c r="D359" s="44" t="n">
        <f aca="false">(ABS(D151-F151)/D151)*100</f>
        <v>11.049106368211</v>
      </c>
      <c r="E359" s="40"/>
      <c r="F359" s="44" t="n">
        <f aca="false">(ABS(C151-G151)/C151)*100</f>
        <v>0.0188383045525903</v>
      </c>
      <c r="G359" s="44" t="n">
        <f aca="false">(ABS(D151-H151)/D151)*100</f>
        <v>0.00208224882873503</v>
      </c>
      <c r="H359" s="42"/>
      <c r="I359" s="43" t="n">
        <f aca="false">(ABS(C151-I151)/C151)*100</f>
        <v>99.5102040816327</v>
      </c>
      <c r="J359" s="44" t="n">
        <f aca="false">(ABS(D151-J151)/D151)*100</f>
        <v>10.9991323963214</v>
      </c>
      <c r="K359" s="40"/>
      <c r="L359" s="44" t="n">
        <f aca="false">(ABS(C151-K151)/C151)*100</f>
        <v>0.0251177394034537</v>
      </c>
      <c r="M359" s="44" t="n">
        <f aca="false">(ABS(D151-L151)/D151)*100</f>
        <v>0.00277633177164671</v>
      </c>
      <c r="N359" s="40"/>
    </row>
    <row r="360" customFormat="false" ht="15" hidden="false" customHeight="false" outlineLevel="0" collapsed="false">
      <c r="A360" s="7"/>
      <c r="B360" s="25" t="n">
        <v>148</v>
      </c>
      <c r="C360" s="43" t="n">
        <f aca="false">(ABS(C152-E152)/C152)*100</f>
        <v>99.9748822605965</v>
      </c>
      <c r="D360" s="44" t="n">
        <f aca="false">(ABS(D152-F152)/D152)*100</f>
        <v>11.0504945340968</v>
      </c>
      <c r="E360" s="40"/>
      <c r="F360" s="44" t="n">
        <f aca="false">(ABS(C152-G152)/C152)*100</f>
        <v>0.0188383045525903</v>
      </c>
      <c r="G360" s="44" t="n">
        <f aca="false">(ABS(D152-H152)/D152)*100</f>
        <v>0.00208224882873503</v>
      </c>
      <c r="H360" s="42"/>
      <c r="I360" s="43" t="n">
        <f aca="false">(ABS(C152-I152)/C152)*100</f>
        <v>99.6483516483517</v>
      </c>
      <c r="J360" s="44" t="n">
        <f aca="false">(ABS(D152-J152)/D152)*100</f>
        <v>11.0144022210654</v>
      </c>
      <c r="K360" s="40"/>
      <c r="L360" s="44" t="n">
        <f aca="false">(ABS(C152-K152)/C152)*100</f>
        <v>0.0251177394034537</v>
      </c>
      <c r="M360" s="44" t="n">
        <f aca="false">(ABS(D152-L152)/D152)*100</f>
        <v>0.00277633177164671</v>
      </c>
      <c r="N360" s="40"/>
    </row>
    <row r="361" customFormat="false" ht="15" hidden="false" customHeight="false" outlineLevel="0" collapsed="false">
      <c r="A361" s="7"/>
      <c r="B361" s="25" t="n">
        <v>149</v>
      </c>
      <c r="C361" s="43" t="n">
        <f aca="false">(ABS(C153-E153)/C153)*100</f>
        <v>99.9497645211931</v>
      </c>
      <c r="D361" s="44" t="n">
        <f aca="false">(ABS(D153-F153)/D153)*100</f>
        <v>11.0477182023252</v>
      </c>
      <c r="E361" s="40"/>
      <c r="F361" s="44" t="n">
        <f aca="false">(ABS(C153-G153)/C153)*100</f>
        <v>0.0251177394034537</v>
      </c>
      <c r="G361" s="44" t="n">
        <f aca="false">(ABS(D153-H153)/D153)*100</f>
        <v>0.00277633177164671</v>
      </c>
      <c r="H361" s="42"/>
      <c r="I361" s="43" t="n">
        <f aca="false">(ABS(C153-I153)/C153)*100</f>
        <v>96.5149136577708</v>
      </c>
      <c r="J361" s="44" t="n">
        <f aca="false">(ABS(D153-J153)/D153)*100</f>
        <v>10.6680548325525</v>
      </c>
      <c r="K361" s="40"/>
      <c r="L361" s="44" t="n">
        <f aca="false">(ABS(C153-K153)/C153)*100</f>
        <v>0.0313971742543171</v>
      </c>
      <c r="M361" s="44" t="n">
        <f aca="false">(ABS(D153-L153)/D153)*100</f>
        <v>0.00347041471455839</v>
      </c>
      <c r="N361" s="40"/>
    </row>
    <row r="362" customFormat="false" ht="15" hidden="false" customHeight="false" outlineLevel="0" collapsed="false">
      <c r="A362" s="7"/>
      <c r="B362" s="25" t="n">
        <v>150</v>
      </c>
      <c r="C362" s="43" t="n">
        <f aca="false">(ABS(C154-E154)/C154)*100</f>
        <v>99.9686028257457</v>
      </c>
      <c r="D362" s="44" t="n">
        <f aca="false">(ABS(D154-F154)/D154)*100</f>
        <v>11.0498004511539</v>
      </c>
      <c r="E362" s="40"/>
      <c r="F362" s="44" t="n">
        <f aca="false">(ABS(C154-G154)/C154)*100</f>
        <v>0.0188383045525903</v>
      </c>
      <c r="G362" s="44" t="n">
        <f aca="false">(ABS(D154-H154)/D154)*100</f>
        <v>0.00208224882873503</v>
      </c>
      <c r="H362" s="42"/>
      <c r="I362" s="43" t="n">
        <f aca="false">(ABS(C154-I154)/C154)*100</f>
        <v>99.9183673469388</v>
      </c>
      <c r="J362" s="44" t="n">
        <f aca="false">(ABS(D154-J154)/D154)*100</f>
        <v>11.0442477876106</v>
      </c>
      <c r="K362" s="40"/>
      <c r="L362" s="44" t="n">
        <f aca="false">(ABS(C154-K154)/C154)*100</f>
        <v>0.0313971742543171</v>
      </c>
      <c r="M362" s="44" t="n">
        <f aca="false">(ABS(D154-L154)/D154)*100</f>
        <v>0.00347041471455839</v>
      </c>
      <c r="N362" s="40"/>
    </row>
    <row r="363" customFormat="false" ht="15" hidden="false" customHeight="false" outlineLevel="0" collapsed="false">
      <c r="A363" s="7"/>
      <c r="B363" s="25" t="n">
        <v>151</v>
      </c>
      <c r="C363" s="43" t="n">
        <f aca="false">(ABS(C155-E155)/C155)*100</f>
        <v>99.956043956044</v>
      </c>
      <c r="D363" s="44" t="n">
        <f aca="false">(ABS(D155-F155)/D155)*100</f>
        <v>11.0484122852681</v>
      </c>
      <c r="E363" s="40"/>
      <c r="F363" s="44" t="n">
        <f aca="false">(ABS(C155-G155)/C155)*100</f>
        <v>0.0941915227629513</v>
      </c>
      <c r="G363" s="44" t="n">
        <f aca="false">(ABS(D155-H155)/D155)*100</f>
        <v>0.0104112441436752</v>
      </c>
      <c r="H363" s="42"/>
      <c r="I363" s="43" t="n">
        <f aca="false">(ABS(C155-I155)/C155)*100</f>
        <v>99.6923076923077</v>
      </c>
      <c r="J363" s="44" t="n">
        <f aca="false">(ABS(D155-J155)/D155)*100</f>
        <v>11.0192608016658</v>
      </c>
      <c r="K363" s="40"/>
      <c r="L363" s="44" t="n">
        <f aca="false">(ABS(C155-K155)/C155)*100</f>
        <v>0.0376766091051805</v>
      </c>
      <c r="M363" s="44" t="n">
        <f aca="false">(ABS(D155-L155)/D155)*100</f>
        <v>0.00416449765747007</v>
      </c>
      <c r="N363" s="40"/>
    </row>
    <row r="364" customFormat="false" ht="15" hidden="false" customHeight="false" outlineLevel="0" collapsed="false">
      <c r="A364" s="7"/>
      <c r="B364" s="25" t="n">
        <v>152</v>
      </c>
      <c r="C364" s="43" t="n">
        <f aca="false">(ABS(C156-E156)/C156)*100</f>
        <v>90.8006279434851</v>
      </c>
      <c r="D364" s="44" t="n">
        <f aca="false">(ABS(D156-F156)/D156)*100</f>
        <v>10.0364393545029</v>
      </c>
      <c r="E364" s="40"/>
      <c r="F364" s="44" t="n">
        <f aca="false">(ABS(C156-G156)/C156)*100</f>
        <v>0.0251177394034537</v>
      </c>
      <c r="G364" s="44" t="n">
        <f aca="false">(ABS(D156-H156)/D156)*100</f>
        <v>0.00277633177164671</v>
      </c>
      <c r="H364" s="42"/>
      <c r="I364" s="43" t="n">
        <f aca="false">(ABS(C156-I156)/C156)*100</f>
        <v>99.6169544740973</v>
      </c>
      <c r="J364" s="44" t="n">
        <f aca="false">(ABS(D156-J156)/D156)*100</f>
        <v>11.0109318063509</v>
      </c>
      <c r="K364" s="40"/>
      <c r="L364" s="44" t="n">
        <f aca="false">(ABS(C156-K156)/C156)*100</f>
        <v>0.0188383045525903</v>
      </c>
      <c r="M364" s="44" t="n">
        <f aca="false">(ABS(D156-L156)/D156)*100</f>
        <v>0.00208224882873503</v>
      </c>
      <c r="N364" s="40"/>
    </row>
    <row r="365" customFormat="false" ht="15" hidden="false" customHeight="false" outlineLevel="0" collapsed="false">
      <c r="A365" s="7"/>
      <c r="B365" s="25" t="n">
        <v>153</v>
      </c>
      <c r="C365" s="43" t="n">
        <f aca="false">(ABS(C157-E157)/C157)*100</f>
        <v>99.7990580847724</v>
      </c>
      <c r="D365" s="44" t="n">
        <f aca="false">(ABS(D157-F157)/D157)*100</f>
        <v>11.0310602116953</v>
      </c>
      <c r="E365" s="40"/>
      <c r="F365" s="44" t="n">
        <f aca="false">(ABS(C157-G157)/C157)*100</f>
        <v>0.0251177394034537</v>
      </c>
      <c r="G365" s="44" t="n">
        <f aca="false">(ABS(D157-H157)/D157)*100</f>
        <v>0.00277633177164671</v>
      </c>
      <c r="H365" s="42"/>
      <c r="I365" s="43" t="n">
        <f aca="false">(ABS(C157-I157)/C157)*100</f>
        <v>99.9309262166405</v>
      </c>
      <c r="J365" s="44" t="n">
        <f aca="false">(ABS(D157-J157)/D157)*100</f>
        <v>11.0456359534964</v>
      </c>
      <c r="K365" s="40"/>
      <c r="L365" s="44" t="n">
        <f aca="false">(ABS(C157-K157)/C157)*100</f>
        <v>0.0125588697017268</v>
      </c>
      <c r="M365" s="44" t="n">
        <f aca="false">(ABS(D157-L157)/D157)*100</f>
        <v>0.00138816588582336</v>
      </c>
      <c r="N365" s="40"/>
    </row>
    <row r="366" customFormat="false" ht="15" hidden="false" customHeight="false" outlineLevel="0" collapsed="false">
      <c r="A366" s="7"/>
      <c r="B366" s="25" t="n">
        <v>154</v>
      </c>
      <c r="C366" s="43" t="n">
        <f aca="false">(ABS(C158-E158)/C158)*100</f>
        <v>99.5981161695447</v>
      </c>
      <c r="D366" s="44" t="n">
        <f aca="false">(ABS(D158-F158)/D158)*100</f>
        <v>11.0088495575221</v>
      </c>
      <c r="E366" s="40"/>
      <c r="F366" s="44" t="n">
        <f aca="false">(ABS(C158-G158)/C158)*100</f>
        <v>0.0251177394034537</v>
      </c>
      <c r="G366" s="44" t="n">
        <f aca="false">(ABS(D158-H158)/D158)*100</f>
        <v>0.00277633177164671</v>
      </c>
      <c r="H366" s="42"/>
      <c r="I366" s="43" t="n">
        <f aca="false">(ABS(C158-I158)/C158)*100</f>
        <v>99.9686028257457</v>
      </c>
      <c r="J366" s="44" t="n">
        <f aca="false">(ABS(D158-J158)/D158)*100</f>
        <v>11.0498004511539</v>
      </c>
      <c r="K366" s="40"/>
      <c r="L366" s="44" t="n">
        <f aca="false">(ABS(C158-K158)/C158)*100</f>
        <v>0.0125588697017268</v>
      </c>
      <c r="M366" s="44" t="n">
        <f aca="false">(ABS(D158-L158)/D158)*100</f>
        <v>0.00138816588582336</v>
      </c>
      <c r="N366" s="40"/>
    </row>
    <row r="367" customFormat="false" ht="15" hidden="false" customHeight="false" outlineLevel="0" collapsed="false">
      <c r="A367" s="7"/>
      <c r="B367" s="25" t="n">
        <v>155</v>
      </c>
      <c r="C367" s="43" t="n">
        <f aca="false">(ABS(C159-E159)/C159)*100</f>
        <v>97.7080062794349</v>
      </c>
      <c r="D367" s="44" t="n">
        <f aca="false">(ABS(D159-F159)/D159)*100</f>
        <v>10.7999305917057</v>
      </c>
      <c r="E367" s="40"/>
      <c r="F367" s="44" t="n">
        <f aca="false">(ABS(C159-G159)/C159)*100</f>
        <v>0.0188383045525903</v>
      </c>
      <c r="G367" s="44" t="n">
        <f aca="false">(ABS(D159-H159)/D159)*100</f>
        <v>0.00208224882873503</v>
      </c>
      <c r="H367" s="42"/>
      <c r="I367" s="43" t="n">
        <f aca="false">(ABS(C159-I159)/C159)*100</f>
        <v>99.9183673469388</v>
      </c>
      <c r="J367" s="44" t="n">
        <f aca="false">(ABS(D159-J159)/D159)*100</f>
        <v>11.0442477876106</v>
      </c>
      <c r="K367" s="40"/>
      <c r="L367" s="44" t="n">
        <f aca="false">(ABS(C159-K159)/C159)*100</f>
        <v>0.0125588697017268</v>
      </c>
      <c r="M367" s="44" t="n">
        <f aca="false">(ABS(D159-L159)/D159)*100</f>
        <v>0.00138816588582336</v>
      </c>
      <c r="N367" s="40"/>
    </row>
    <row r="368" customFormat="false" ht="15" hidden="false" customHeight="false" outlineLevel="0" collapsed="false">
      <c r="A368" s="7"/>
      <c r="B368" s="25" t="n">
        <v>156</v>
      </c>
      <c r="C368" s="43" t="n">
        <f aca="false">(ABS(C160-E160)/C160)*100</f>
        <v>99.9686028257457</v>
      </c>
      <c r="D368" s="44" t="n">
        <f aca="false">(ABS(D160-F160)/D160)*100</f>
        <v>11.0498004511539</v>
      </c>
      <c r="E368" s="40"/>
      <c r="F368" s="44" t="n">
        <f aca="false">(ABS(C160-G160)/C160)*100</f>
        <v>0.0188383045525903</v>
      </c>
      <c r="G368" s="44" t="n">
        <f aca="false">(ABS(D160-H160)/D160)*100</f>
        <v>0.00208224882873503</v>
      </c>
      <c r="H368" s="42"/>
      <c r="I368" s="43" t="n">
        <f aca="false">(ABS(C160-I160)/C160)*100</f>
        <v>99.9372056514914</v>
      </c>
      <c r="J368" s="44" t="n">
        <f aca="false">(ABS(D160-J160)/D160)*100</f>
        <v>11.0463300364394</v>
      </c>
      <c r="K368" s="40"/>
      <c r="L368" s="44" t="n">
        <f aca="false">(ABS(C160-K160)/C160)*100</f>
        <v>0.0188383045525903</v>
      </c>
      <c r="M368" s="44" t="n">
        <f aca="false">(ABS(D160-L160)/D160)*100</f>
        <v>0.00208224882873503</v>
      </c>
      <c r="N368" s="40"/>
    </row>
    <row r="369" customFormat="false" ht="15" hidden="false" customHeight="false" outlineLevel="0" collapsed="false">
      <c r="A369" s="7"/>
      <c r="B369" s="25" t="n">
        <v>157</v>
      </c>
      <c r="C369" s="43" t="n">
        <f aca="false">(ABS(C161-E161)/C161)*100</f>
        <v>94.9827315541601</v>
      </c>
      <c r="D369" s="44" t="n">
        <f aca="false">(ABS(D161-F161)/D161)*100</f>
        <v>10.498698594482</v>
      </c>
      <c r="E369" s="40"/>
      <c r="F369" s="44" t="n">
        <f aca="false">(ABS(C161-G161)/C161)*100</f>
        <v>0.0188383045525903</v>
      </c>
      <c r="G369" s="44" t="n">
        <f aca="false">(ABS(D161-H161)/D161)*100</f>
        <v>0.00208224882873503</v>
      </c>
      <c r="H369" s="42"/>
      <c r="I369" s="43" t="n">
        <f aca="false">(ABS(C161-I161)/C161)*100</f>
        <v>99.956043956044</v>
      </c>
      <c r="J369" s="44" t="n">
        <f aca="false">(ABS(D161-J161)/D161)*100</f>
        <v>11.0484122852681</v>
      </c>
      <c r="K369" s="40"/>
      <c r="L369" s="44" t="n">
        <f aca="false">(ABS(C161-K161)/C161)*100</f>
        <v>0.0125588697017268</v>
      </c>
      <c r="M369" s="44" t="n">
        <f aca="false">(ABS(D161-L161)/D161)*100</f>
        <v>0.00138816588582336</v>
      </c>
      <c r="N369" s="40"/>
    </row>
    <row r="370" customFormat="false" ht="15" hidden="false" customHeight="false" outlineLevel="0" collapsed="false">
      <c r="A370" s="7"/>
      <c r="B370" s="25" t="n">
        <v>158</v>
      </c>
      <c r="C370" s="43" t="n">
        <f aca="false">(ABS(C162-E162)/C162)*100</f>
        <v>99.9246467817896</v>
      </c>
      <c r="D370" s="44" t="n">
        <f aca="false">(ABS(D162-F162)/D162)*100</f>
        <v>11.0449418705535</v>
      </c>
      <c r="E370" s="40"/>
      <c r="F370" s="44" t="n">
        <f aca="false">(ABS(C162-G162)/C162)*100</f>
        <v>0.0188383045525903</v>
      </c>
      <c r="G370" s="44" t="n">
        <f aca="false">(ABS(D162-H162)/D162)*100</f>
        <v>0.00208224882873503</v>
      </c>
      <c r="H370" s="42"/>
      <c r="I370" s="43" t="n">
        <f aca="false">(ABS(C162-I162)/C162)*100</f>
        <v>95.5667189952904</v>
      </c>
      <c r="J370" s="44" t="n">
        <f aca="false">(ABS(D162-J162)/D162)*100</f>
        <v>10.5632483081728</v>
      </c>
      <c r="K370" s="40"/>
      <c r="L370" s="44" t="n">
        <f aca="false">(ABS(C162-K162)/C162)*100</f>
        <v>0.00627943485086342</v>
      </c>
      <c r="M370" s="44" t="n">
        <f aca="false">(ABS(D162-L162)/D162)*100</f>
        <v>0.000694082942911678</v>
      </c>
      <c r="N370" s="40"/>
    </row>
    <row r="371" customFormat="false" ht="15" hidden="false" customHeight="false" outlineLevel="0" collapsed="false">
      <c r="A371" s="7"/>
      <c r="B371" s="25" t="n">
        <v>159</v>
      </c>
      <c r="C371" s="43" t="n">
        <f aca="false">(ABS(C163-E163)/C163)*100</f>
        <v>99.4536891679749</v>
      </c>
      <c r="D371" s="44" t="n">
        <f aca="false">(ABS(D163-F163)/D163)*100</f>
        <v>10.9928856498352</v>
      </c>
      <c r="E371" s="40"/>
      <c r="F371" s="44" t="n">
        <f aca="false">(ABS(C163-G163)/C163)*100</f>
        <v>0.0125588697017268</v>
      </c>
      <c r="G371" s="44" t="n">
        <f aca="false">(ABS(D163-H163)/D163)*100</f>
        <v>0.00138816588582336</v>
      </c>
      <c r="H371" s="42"/>
      <c r="I371" s="43" t="n">
        <f aca="false">(ABS(C163-I163)/C163)*100</f>
        <v>99.861852433281</v>
      </c>
      <c r="J371" s="44" t="n">
        <f aca="false">(ABS(D163-J163)/D163)*100</f>
        <v>11.0380010411244</v>
      </c>
      <c r="K371" s="40"/>
      <c r="L371" s="44" t="n">
        <f aca="false">(ABS(C163-K163)/C163)*100</f>
        <v>0.00627943485086342</v>
      </c>
      <c r="M371" s="44" t="n">
        <f aca="false">(ABS(D163-L163)/D163)*100</f>
        <v>0.000694082942911678</v>
      </c>
      <c r="N371" s="40"/>
    </row>
    <row r="372" customFormat="false" ht="15" hidden="false" customHeight="false" outlineLevel="0" collapsed="false">
      <c r="A372" s="7"/>
      <c r="B372" s="25" t="n">
        <v>160</v>
      </c>
      <c r="C372" s="43" t="n">
        <f aca="false">(ABS(C164-E164)/C164)*100</f>
        <v>99.8367346938776</v>
      </c>
      <c r="D372" s="44" t="n">
        <f aca="false">(ABS(D164-F164)/D164)*100</f>
        <v>11.0352247093528</v>
      </c>
      <c r="E372" s="40"/>
      <c r="F372" s="44" t="n">
        <f aca="false">(ABS(C164-G164)/C164)*100</f>
        <v>0.0251177394034537</v>
      </c>
      <c r="G372" s="44" t="n">
        <f aca="false">(ABS(D164-H164)/D164)*100</f>
        <v>0.00277633177164671</v>
      </c>
      <c r="H372" s="42"/>
      <c r="I372" s="43" t="n">
        <f aca="false">(ABS(C164-I164)/C164)*100</f>
        <v>99.9497645211931</v>
      </c>
      <c r="J372" s="44" t="n">
        <f aca="false">(ABS(D164-J164)/D164)*100</f>
        <v>11.0477182023252</v>
      </c>
      <c r="K372" s="40"/>
      <c r="L372" s="44" t="n">
        <f aca="false">(ABS(C164-K164)/C164)*100</f>
        <v>0.0188383045525903</v>
      </c>
      <c r="M372" s="44" t="n">
        <f aca="false">(ABS(D164-L164)/D164)*100</f>
        <v>0.00208224882873503</v>
      </c>
      <c r="N372" s="40"/>
    </row>
    <row r="373" customFormat="false" ht="15" hidden="false" customHeight="false" outlineLevel="0" collapsed="false">
      <c r="A373" s="7"/>
      <c r="B373" s="25" t="n">
        <v>161</v>
      </c>
      <c r="C373" s="43" t="n">
        <f aca="false">(ABS(C165-E165)/C165)*100</f>
        <v>97.3186813186813</v>
      </c>
      <c r="D373" s="44" t="n">
        <f aca="false">(ABS(D165-F165)/D165)*100</f>
        <v>10.7568974492452</v>
      </c>
      <c r="E373" s="40"/>
      <c r="F373" s="44" t="n">
        <f aca="false">(ABS(C165-G165)/C165)*100</f>
        <v>0.0188383045525903</v>
      </c>
      <c r="G373" s="44" t="n">
        <f aca="false">(ABS(D165-H165)/D165)*100</f>
        <v>0.00208224882873503</v>
      </c>
      <c r="H373" s="42"/>
      <c r="I373" s="43" t="n">
        <f aca="false">(ABS(C165-I165)/C165)*100</f>
        <v>99.9623233908948</v>
      </c>
      <c r="J373" s="44" t="n">
        <f aca="false">(ABS(D165-J165)/D165)*100</f>
        <v>11.049106368211</v>
      </c>
      <c r="K373" s="40"/>
      <c r="L373" s="44" t="n">
        <f aca="false">(ABS(C165-K165)/C165)*100</f>
        <v>0.0188383045525903</v>
      </c>
      <c r="M373" s="44" t="n">
        <f aca="false">(ABS(D165-L165)/D165)*100</f>
        <v>0.00208224882873503</v>
      </c>
      <c r="N373" s="40"/>
    </row>
    <row r="374" customFormat="false" ht="15" hidden="false" customHeight="false" outlineLevel="0" collapsed="false">
      <c r="A374" s="7"/>
      <c r="B374" s="25" t="n">
        <v>162</v>
      </c>
      <c r="C374" s="43" t="n">
        <f aca="false">(ABS(C166-E166)/C166)*100</f>
        <v>98.2166405023548</v>
      </c>
      <c r="D374" s="44" t="n">
        <f aca="false">(ABS(D166-F166)/D166)*100</f>
        <v>10.8561513100816</v>
      </c>
      <c r="E374" s="40"/>
      <c r="F374" s="44" t="n">
        <f aca="false">(ABS(C166-G166)/C166)*100</f>
        <v>0.0125588697017268</v>
      </c>
      <c r="G374" s="44" t="n">
        <f aca="false">(ABS(D166-H166)/D166)*100</f>
        <v>0.00138816588582336</v>
      </c>
      <c r="H374" s="42"/>
      <c r="I374" s="43" t="n">
        <f aca="false">(ABS(C166-I166)/C166)*100</f>
        <v>99.585557299843</v>
      </c>
      <c r="J374" s="44" t="n">
        <f aca="false">(ABS(D166-J166)/D166)*100</f>
        <v>11.0074613916363</v>
      </c>
      <c r="K374" s="40"/>
      <c r="L374" s="44" t="n">
        <f aca="false">(ABS(C166-K166)/C166)*100</f>
        <v>0.0188383045525903</v>
      </c>
      <c r="M374" s="44" t="n">
        <f aca="false">(ABS(D166-L166)/D166)*100</f>
        <v>0.00208224882873503</v>
      </c>
      <c r="N374" s="40"/>
    </row>
    <row r="375" customFormat="false" ht="15" hidden="false" customHeight="false" outlineLevel="0" collapsed="false">
      <c r="A375" s="7"/>
      <c r="B375" s="25" t="n">
        <v>163</v>
      </c>
      <c r="C375" s="43" t="n">
        <f aca="false">(ABS(C167-E167)/C167)*100</f>
        <v>99.9874411302983</v>
      </c>
      <c r="D375" s="44" t="n">
        <f aca="false">(ABS(D167-F167)/D167)*100</f>
        <v>11.0518826999826</v>
      </c>
      <c r="E375" s="40"/>
      <c r="F375" s="44" t="n">
        <f aca="false">(ABS(C167-G167)/C167)*100</f>
        <v>0.0188383045525903</v>
      </c>
      <c r="G375" s="44" t="n">
        <f aca="false">(ABS(D167-H167)/D167)*100</f>
        <v>0.00208224882873503</v>
      </c>
      <c r="H375" s="42"/>
      <c r="I375" s="43" t="n">
        <f aca="false">(ABS(C167-I167)/C167)*100</f>
        <v>99.9497645211931</v>
      </c>
      <c r="J375" s="44" t="n">
        <f aca="false">(ABS(D167-J167)/D167)*100</f>
        <v>11.0477182023252</v>
      </c>
      <c r="K375" s="40"/>
      <c r="L375" s="44" t="n">
        <f aca="false">(ABS(C167-K167)/C167)*100</f>
        <v>0.0251177394034537</v>
      </c>
      <c r="M375" s="44" t="n">
        <f aca="false">(ABS(D167-L167)/D167)*100</f>
        <v>0.00277633177164671</v>
      </c>
      <c r="N375" s="40"/>
    </row>
    <row r="376" customFormat="false" ht="15" hidden="false" customHeight="false" outlineLevel="0" collapsed="false">
      <c r="A376" s="7"/>
      <c r="B376" s="25" t="n">
        <v>164</v>
      </c>
      <c r="C376" s="43" t="n">
        <f aca="false">(ABS(C168-E168)/C168)*100</f>
        <v>99.8744113029827</v>
      </c>
      <c r="D376" s="44" t="n">
        <f aca="false">(ABS(D168-F168)/D168)*100</f>
        <v>11.0393892070102</v>
      </c>
      <c r="E376" s="40"/>
      <c r="F376" s="44" t="n">
        <f aca="false">(ABS(C168-G168)/C168)*100</f>
        <v>0.0188383045525903</v>
      </c>
      <c r="G376" s="44" t="n">
        <f aca="false">(ABS(D168-H168)/D168)*100</f>
        <v>0.00208224882873503</v>
      </c>
      <c r="H376" s="42"/>
      <c r="I376" s="43" t="n">
        <f aca="false">(ABS(C168-I168)/C168)*100</f>
        <v>99.9748822605965</v>
      </c>
      <c r="J376" s="44" t="n">
        <f aca="false">(ABS(D168-J168)/D168)*100</f>
        <v>11.0504945340968</v>
      </c>
      <c r="K376" s="40"/>
      <c r="L376" s="44" t="n">
        <f aca="false">(ABS(C168-K168)/C168)*100</f>
        <v>0.0313971742543171</v>
      </c>
      <c r="M376" s="44" t="n">
        <f aca="false">(ABS(D168-L168)/D168)*100</f>
        <v>0.00347041471455839</v>
      </c>
      <c r="N376" s="40"/>
    </row>
    <row r="377" customFormat="false" ht="15" hidden="false" customHeight="false" outlineLevel="0" collapsed="false">
      <c r="A377" s="7"/>
      <c r="B377" s="25" t="n">
        <v>165</v>
      </c>
      <c r="C377" s="43" t="n">
        <f aca="false">(ABS(C169-E169)/C169)*100</f>
        <v>99.9372056514914</v>
      </c>
      <c r="D377" s="44" t="n">
        <f aca="false">(ABS(D169-F169)/D169)*100</f>
        <v>11.0463300364394</v>
      </c>
      <c r="E377" s="40"/>
      <c r="F377" s="44" t="n">
        <f aca="false">(ABS(C169-G169)/C169)*100</f>
        <v>0.0188383045525903</v>
      </c>
      <c r="G377" s="44" t="n">
        <f aca="false">(ABS(D169-H169)/D169)*100</f>
        <v>0.00208224882873503</v>
      </c>
      <c r="H377" s="42"/>
      <c r="I377" s="43" t="n">
        <f aca="false">(ABS(C169-I169)/C169)*100</f>
        <v>99.9497645211931</v>
      </c>
      <c r="J377" s="44" t="n">
        <f aca="false">(ABS(D169-J169)/D169)*100</f>
        <v>11.0477182023252</v>
      </c>
      <c r="K377" s="40"/>
      <c r="L377" s="44" t="n">
        <f aca="false">(ABS(C169-K169)/C169)*100</f>
        <v>0.0313971742543171</v>
      </c>
      <c r="M377" s="44" t="n">
        <f aca="false">(ABS(D169-L169)/D169)*100</f>
        <v>0.00347041471455839</v>
      </c>
      <c r="N377" s="40"/>
    </row>
    <row r="378" customFormat="false" ht="15" hidden="false" customHeight="false" outlineLevel="0" collapsed="false">
      <c r="A378" s="7"/>
      <c r="B378" s="25" t="n">
        <v>166</v>
      </c>
      <c r="C378" s="43" t="n">
        <f aca="false">(ABS(C170-E170)/C170)*100</f>
        <v>99.9748822605965</v>
      </c>
      <c r="D378" s="44" t="n">
        <f aca="false">(ABS(D170-F170)/D170)*100</f>
        <v>11.0504945340968</v>
      </c>
      <c r="E378" s="40"/>
      <c r="F378" s="44" t="n">
        <f aca="false">(ABS(C170-G170)/C170)*100</f>
        <v>0.0188383045525903</v>
      </c>
      <c r="G378" s="44" t="n">
        <f aca="false">(ABS(D170-H170)/D170)*100</f>
        <v>0.00208224882873503</v>
      </c>
      <c r="H378" s="42"/>
      <c r="I378" s="43" t="n">
        <f aca="false">(ABS(C170-I170)/C170)*100</f>
        <v>99.9623233908948</v>
      </c>
      <c r="J378" s="44" t="n">
        <f aca="false">(ABS(D170-J170)/D170)*100</f>
        <v>11.049106368211</v>
      </c>
      <c r="K378" s="40"/>
      <c r="L378" s="44" t="n">
        <f aca="false">(ABS(C170-K170)/C170)*100</f>
        <v>0.0313971742543171</v>
      </c>
      <c r="M378" s="44" t="n">
        <f aca="false">(ABS(D170-L170)/D170)*100</f>
        <v>0.00347041471455839</v>
      </c>
      <c r="N378" s="40"/>
    </row>
    <row r="379" customFormat="false" ht="15" hidden="false" customHeight="false" outlineLevel="0" collapsed="false">
      <c r="A379" s="7"/>
      <c r="B379" s="25" t="n">
        <v>167</v>
      </c>
      <c r="C379" s="43" t="n">
        <f aca="false">(ABS(C171-E171)/C171)*100</f>
        <v>99.9686028257457</v>
      </c>
      <c r="D379" s="44" t="n">
        <f aca="false">(ABS(D171-F171)/D171)*100</f>
        <v>11.0498004511539</v>
      </c>
      <c r="E379" s="40"/>
      <c r="F379" s="44" t="n">
        <f aca="false">(ABS(C171-G171)/C171)*100</f>
        <v>0.0816326530612245</v>
      </c>
      <c r="G379" s="44" t="n">
        <f aca="false">(ABS(D171-H171)/D171)*100</f>
        <v>0.00902307825785181</v>
      </c>
      <c r="H379" s="42"/>
      <c r="I379" s="43" t="n">
        <f aca="false">(ABS(C171-I171)/C171)*100</f>
        <v>99.1522762951334</v>
      </c>
      <c r="J379" s="44" t="n">
        <f aca="false">(ABS(D171-J171)/D171)*100</f>
        <v>10.9595696685754</v>
      </c>
      <c r="K379" s="40"/>
      <c r="L379" s="44" t="n">
        <f aca="false">(ABS(C171-K171)/C171)*100</f>
        <v>0.00627943485086342</v>
      </c>
      <c r="M379" s="44" t="n">
        <f aca="false">(ABS(D171-L171)/D171)*100</f>
        <v>0.000694082942911678</v>
      </c>
      <c r="N379" s="40"/>
    </row>
    <row r="380" customFormat="false" ht="15" hidden="false" customHeight="false" outlineLevel="0" collapsed="false">
      <c r="A380" s="7"/>
      <c r="B380" s="25" t="n">
        <v>168</v>
      </c>
      <c r="C380" s="43" t="n">
        <f aca="false">(ABS(C172-E172)/C172)*100</f>
        <v>99.956043956044</v>
      </c>
      <c r="D380" s="44" t="n">
        <f aca="false">(ABS(D172-F172)/D172)*100</f>
        <v>11.0484122852681</v>
      </c>
      <c r="E380" s="40"/>
      <c r="F380" s="44" t="n">
        <f aca="false">(ABS(C172-G172)/C172)*100</f>
        <v>0.0251177394034537</v>
      </c>
      <c r="G380" s="44" t="n">
        <f aca="false">(ABS(D172-H172)/D172)*100</f>
        <v>0.00277633177164671</v>
      </c>
      <c r="H380" s="42"/>
      <c r="I380" s="43" t="n">
        <f aca="false">(ABS(C172-I172)/C172)*100</f>
        <v>99.9686028257457</v>
      </c>
      <c r="J380" s="44" t="n">
        <f aca="false">(ABS(D172-J172)/D172)*100</f>
        <v>11.0498004511539</v>
      </c>
      <c r="K380" s="40"/>
      <c r="L380" s="44" t="n">
        <f aca="false">(ABS(C172-K172)/C172)*100</f>
        <v>0.0251177394034537</v>
      </c>
      <c r="M380" s="44" t="n">
        <f aca="false">(ABS(D172-L172)/D172)*100</f>
        <v>0.00277633177164671</v>
      </c>
      <c r="N380" s="40"/>
    </row>
    <row r="381" customFormat="false" ht="15" hidden="false" customHeight="false" outlineLevel="0" collapsed="false">
      <c r="A381" s="7"/>
      <c r="B381" s="25" t="n">
        <v>169</v>
      </c>
      <c r="C381" s="43" t="n">
        <f aca="false">(ABS(C173-E173)/C173)*100</f>
        <v>99.6232339089482</v>
      </c>
      <c r="D381" s="44" t="n">
        <f aca="false">(ABS(D173-F173)/D173)*100</f>
        <v>11.0116258892938</v>
      </c>
      <c r="E381" s="40"/>
      <c r="F381" s="44" t="n">
        <f aca="false">(ABS(C173-G173)/C173)*100</f>
        <v>0.106750392464678</v>
      </c>
      <c r="G381" s="44" t="n">
        <f aca="false">(ABS(D173-H173)/D173)*100</f>
        <v>0.0117994100294985</v>
      </c>
      <c r="H381" s="42"/>
      <c r="I381" s="43" t="n">
        <f aca="false">(ABS(C173-I173)/C173)*100</f>
        <v>99.8744113029827</v>
      </c>
      <c r="J381" s="44" t="n">
        <f aca="false">(ABS(D173-J173)/D173)*100</f>
        <v>11.0393892070102</v>
      </c>
      <c r="K381" s="40"/>
      <c r="L381" s="44" t="n">
        <f aca="false">(ABS(C173-K173)/C173)*100</f>
        <v>0.0502354788069074</v>
      </c>
      <c r="M381" s="44" t="n">
        <f aca="false">(ABS(D173-L173)/D173)*100</f>
        <v>0.00555266354329342</v>
      </c>
      <c r="N381" s="40"/>
    </row>
    <row r="382" customFormat="false" ht="15" hidden="false" customHeight="false" outlineLevel="0" collapsed="false">
      <c r="A382" s="7"/>
      <c r="B382" s="25" t="n">
        <v>170</v>
      </c>
      <c r="C382" s="43" t="n">
        <f aca="false">(ABS(C174-E174)/C174)*100</f>
        <v>99.9497645211931</v>
      </c>
      <c r="D382" s="44" t="n">
        <f aca="false">(ABS(D174-F174)/D174)*100</f>
        <v>11.0477182023252</v>
      </c>
      <c r="E382" s="40"/>
      <c r="F382" s="44" t="n">
        <f aca="false">(ABS(C174-G174)/C174)*100</f>
        <v>0.0188383045525903</v>
      </c>
      <c r="G382" s="44" t="n">
        <f aca="false">(ABS(D174-H174)/D174)*100</f>
        <v>0.00208224882873503</v>
      </c>
      <c r="H382" s="42"/>
      <c r="I382" s="43" t="n">
        <f aca="false">(ABS(C174-I174)/C174)*100</f>
        <v>99.8681318681319</v>
      </c>
      <c r="J382" s="44" t="n">
        <f aca="false">(ABS(D174-J174)/D174)*100</f>
        <v>11.0386951240673</v>
      </c>
      <c r="K382" s="40"/>
      <c r="L382" s="44" t="n">
        <f aca="false">(ABS(C174-K174)/C174)*100</f>
        <v>0.0251177394034537</v>
      </c>
      <c r="M382" s="44" t="n">
        <f aca="false">(ABS(D174-L174)/D174)*100</f>
        <v>0.00277633177164671</v>
      </c>
      <c r="N382" s="40"/>
    </row>
    <row r="383" customFormat="false" ht="15" hidden="false" customHeight="false" outlineLevel="0" collapsed="false">
      <c r="A383" s="7"/>
      <c r="B383" s="25" t="n">
        <v>171</v>
      </c>
      <c r="C383" s="43" t="n">
        <f aca="false">(ABS(C175-E175)/C175)*100</f>
        <v>99.9497645211931</v>
      </c>
      <c r="D383" s="44" t="n">
        <f aca="false">(ABS(D175-F175)/D175)*100</f>
        <v>11.0477182023252</v>
      </c>
      <c r="E383" s="40"/>
      <c r="F383" s="44" t="n">
        <f aca="false">(ABS(C175-G175)/C175)*100</f>
        <v>0.0188383045525903</v>
      </c>
      <c r="G383" s="44" t="n">
        <f aca="false">(ABS(D175-H175)/D175)*100</f>
        <v>0.00208224882873503</v>
      </c>
      <c r="H383" s="42"/>
      <c r="I383" s="43" t="n">
        <f aca="false">(ABS(C175-I175)/C175)*100</f>
        <v>99.956043956044</v>
      </c>
      <c r="J383" s="44" t="n">
        <f aca="false">(ABS(D175-J175)/D175)*100</f>
        <v>11.0484122852681</v>
      </c>
      <c r="K383" s="40"/>
      <c r="L383" s="44" t="n">
        <f aca="false">(ABS(C175-K175)/C175)*100</f>
        <v>0.0251177394034537</v>
      </c>
      <c r="M383" s="44" t="n">
        <f aca="false">(ABS(D175-L175)/D175)*100</f>
        <v>0.00277633177164671</v>
      </c>
      <c r="N383" s="40"/>
    </row>
    <row r="384" customFormat="false" ht="15" hidden="false" customHeight="false" outlineLevel="0" collapsed="false">
      <c r="A384" s="7"/>
      <c r="B384" s="25" t="n">
        <v>172</v>
      </c>
      <c r="C384" s="43" t="n">
        <f aca="false">(ABS(C176-E176)/C176)*100</f>
        <v>99.817896389325</v>
      </c>
      <c r="D384" s="44" t="n">
        <f aca="false">(ABS(D176-F176)/D176)*100</f>
        <v>11.033142460524</v>
      </c>
      <c r="E384" s="40"/>
      <c r="F384" s="44" t="n">
        <f aca="false">(ABS(C176-G176)/C176)*100</f>
        <v>0</v>
      </c>
      <c r="G384" s="44" t="n">
        <f aca="false">(ABS(D176-H176)/D176)*100</f>
        <v>0</v>
      </c>
      <c r="H384" s="42"/>
      <c r="I384" s="43" t="n">
        <f aca="false">(ABS(C176-I176)/C176)*100</f>
        <v>99.8995290423862</v>
      </c>
      <c r="J384" s="44" t="n">
        <f aca="false">(ABS(D176-J176)/D176)*100</f>
        <v>11.0421655387819</v>
      </c>
      <c r="K384" s="40"/>
      <c r="L384" s="44" t="n">
        <f aca="false">(ABS(C176-K176)/C176)*100</f>
        <v>0.0125588697017268</v>
      </c>
      <c r="M384" s="44" t="n">
        <f aca="false">(ABS(D176-L176)/D176)*100</f>
        <v>0.00138816588582336</v>
      </c>
      <c r="N384" s="40"/>
    </row>
    <row r="385" customFormat="false" ht="15" hidden="false" customHeight="false" outlineLevel="0" collapsed="false">
      <c r="A385" s="7"/>
      <c r="B385" s="25" t="n">
        <v>173</v>
      </c>
      <c r="C385" s="43" t="n">
        <f aca="false">(ABS(C177-E177)/C177)*100</f>
        <v>99.9623233908948</v>
      </c>
      <c r="D385" s="44" t="n">
        <f aca="false">(ABS(D177-F177)/D177)*100</f>
        <v>11.049106368211</v>
      </c>
      <c r="E385" s="40"/>
      <c r="F385" s="44" t="n">
        <f aca="false">(ABS(C177-G177)/C177)*100</f>
        <v>0.0188383045525903</v>
      </c>
      <c r="G385" s="44" t="n">
        <f aca="false">(ABS(D177-H177)/D177)*100</f>
        <v>0.00208224882873503</v>
      </c>
      <c r="H385" s="42"/>
      <c r="I385" s="43" t="n">
        <f aca="false">(ABS(C177-I177)/C177)*100</f>
        <v>99.956043956044</v>
      </c>
      <c r="J385" s="44" t="n">
        <f aca="false">(ABS(D177-J177)/D177)*100</f>
        <v>11.0484122852681</v>
      </c>
      <c r="K385" s="40"/>
      <c r="L385" s="44" t="n">
        <f aca="false">(ABS(C177-K177)/C177)*100</f>
        <v>0.0188383045525903</v>
      </c>
      <c r="M385" s="44" t="n">
        <f aca="false">(ABS(D177-L177)/D177)*100</f>
        <v>0.00208224882873503</v>
      </c>
      <c r="N385" s="40"/>
    </row>
    <row r="386" customFormat="false" ht="15" hidden="false" customHeight="false" outlineLevel="0" collapsed="false">
      <c r="A386" s="7"/>
      <c r="B386" s="25" t="n">
        <v>174</v>
      </c>
      <c r="C386" s="43" t="n">
        <f aca="false">(ABS(C178-E178)/C178)*100</f>
        <v>99.9748822605965</v>
      </c>
      <c r="D386" s="44" t="n">
        <f aca="false">(ABS(D178-F178)/D178)*100</f>
        <v>11.0504945340968</v>
      </c>
      <c r="E386" s="40"/>
      <c r="F386" s="44" t="n">
        <f aca="false">(ABS(C178-G178)/C178)*100</f>
        <v>0.0188383045525903</v>
      </c>
      <c r="G386" s="44" t="n">
        <f aca="false">(ABS(D178-H178)/D178)*100</f>
        <v>0.00208224882873503</v>
      </c>
      <c r="H386" s="42"/>
      <c r="I386" s="43" t="n">
        <f aca="false">(ABS(C178-I178)/C178)*100</f>
        <v>99.9686028257457</v>
      </c>
      <c r="J386" s="44" t="n">
        <f aca="false">(ABS(D178-J178)/D178)*100</f>
        <v>11.0498004511539</v>
      </c>
      <c r="K386" s="40"/>
      <c r="L386" s="44" t="n">
        <f aca="false">(ABS(C178-K178)/C178)*100</f>
        <v>0.0188383045525903</v>
      </c>
      <c r="M386" s="44" t="n">
        <f aca="false">(ABS(D178-L178)/D178)*100</f>
        <v>0.00208224882873503</v>
      </c>
      <c r="N386" s="40"/>
    </row>
    <row r="387" customFormat="false" ht="15" hidden="false" customHeight="false" outlineLevel="0" collapsed="false">
      <c r="A387" s="7"/>
      <c r="B387" s="25" t="n">
        <v>175</v>
      </c>
      <c r="C387" s="43" t="n">
        <f aca="false">(ABS(C179-E179)/C179)*100</f>
        <v>99.956043956044</v>
      </c>
      <c r="D387" s="44" t="n">
        <f aca="false">(ABS(D179-F179)/D179)*100</f>
        <v>11.0484122852681</v>
      </c>
      <c r="E387" s="40"/>
      <c r="F387" s="44" t="n">
        <f aca="false">(ABS(C179-G179)/C179)*100</f>
        <v>0.0188383045525903</v>
      </c>
      <c r="G387" s="44" t="n">
        <f aca="false">(ABS(D179-H179)/D179)*100</f>
        <v>0.00208224882873503</v>
      </c>
      <c r="H387" s="42"/>
      <c r="I387" s="43" t="n">
        <f aca="false">(ABS(C179-I179)/C179)*100</f>
        <v>99.9874411302983</v>
      </c>
      <c r="J387" s="44" t="n">
        <f aca="false">(ABS(D179-J179)/D179)*100</f>
        <v>11.0518826999826</v>
      </c>
      <c r="K387" s="40"/>
      <c r="L387" s="44" t="n">
        <f aca="false">(ABS(C179-K179)/C179)*100</f>
        <v>0.0188383045525903</v>
      </c>
      <c r="M387" s="44" t="n">
        <f aca="false">(ABS(D179-L179)/D179)*100</f>
        <v>0.00208224882873503</v>
      </c>
      <c r="N387" s="40"/>
    </row>
    <row r="388" customFormat="false" ht="15" hidden="false" customHeight="false" outlineLevel="0" collapsed="false">
      <c r="A388" s="7"/>
      <c r="B388" s="25" t="n">
        <v>176</v>
      </c>
      <c r="C388" s="43" t="n">
        <f aca="false">(ABS(C180-E180)/C180)*100</f>
        <v>99.9686028257457</v>
      </c>
      <c r="D388" s="44" t="n">
        <f aca="false">(ABS(D180-F180)/D180)*100</f>
        <v>11.0498004511539</v>
      </c>
      <c r="E388" s="40"/>
      <c r="F388" s="44" t="n">
        <f aca="false">(ABS(C180-G180)/C180)*100</f>
        <v>0.0251177394034537</v>
      </c>
      <c r="G388" s="44" t="n">
        <f aca="false">(ABS(D180-H180)/D180)*100</f>
        <v>0.00277633177164671</v>
      </c>
      <c r="H388" s="42"/>
      <c r="I388" s="43" t="n">
        <f aca="false">(ABS(C180-I180)/C180)*100</f>
        <v>99.9811616954474</v>
      </c>
      <c r="J388" s="44" t="n">
        <f aca="false">(ABS(D180-J180)/D180)*100</f>
        <v>11.0511886170397</v>
      </c>
      <c r="K388" s="40"/>
      <c r="L388" s="44" t="n">
        <f aca="false">(ABS(C180-K180)/C180)*100</f>
        <v>0.0188383045525903</v>
      </c>
      <c r="M388" s="44" t="n">
        <f aca="false">(ABS(D180-L180)/D180)*100</f>
        <v>0.00208224882873503</v>
      </c>
      <c r="N388" s="40"/>
    </row>
    <row r="389" customFormat="false" ht="15" hidden="false" customHeight="false" outlineLevel="0" collapsed="false">
      <c r="A389" s="7"/>
      <c r="B389" s="25" t="n">
        <v>177</v>
      </c>
      <c r="C389" s="43" t="n">
        <f aca="false">(ABS(C181-E181)/C181)*100</f>
        <v>99.9434850863422</v>
      </c>
      <c r="D389" s="44" t="n">
        <f aca="false">(ABS(D181-F181)/D181)*100</f>
        <v>11.0470241193823</v>
      </c>
      <c r="E389" s="40"/>
      <c r="F389" s="44" t="n">
        <f aca="false">(ABS(C181-G181)/C181)*100</f>
        <v>0.0251177394034537</v>
      </c>
      <c r="G389" s="44" t="n">
        <f aca="false">(ABS(D181-H181)/D181)*100</f>
        <v>0.00277633177164671</v>
      </c>
      <c r="H389" s="42"/>
      <c r="I389" s="43" t="n">
        <f aca="false">(ABS(C181-I181)/C181)*100</f>
        <v>99.9497645211931</v>
      </c>
      <c r="J389" s="44" t="n">
        <f aca="false">(ABS(D181-J181)/D181)*100</f>
        <v>11.0477182023252</v>
      </c>
      <c r="K389" s="40"/>
      <c r="L389" s="44" t="n">
        <f aca="false">(ABS(C181-K181)/C181)*100</f>
        <v>0.0251177394034537</v>
      </c>
      <c r="M389" s="44" t="n">
        <f aca="false">(ABS(D181-L181)/D181)*100</f>
        <v>0.00277633177164671</v>
      </c>
      <c r="N389" s="40"/>
    </row>
    <row r="390" customFormat="false" ht="15" hidden="false" customHeight="false" outlineLevel="0" collapsed="false">
      <c r="A390" s="7"/>
      <c r="B390" s="25" t="n">
        <v>178</v>
      </c>
      <c r="C390" s="43" t="n">
        <f aca="false">(ABS(C182-E182)/C182)*100</f>
        <v>99.9246467817896</v>
      </c>
      <c r="D390" s="44" t="n">
        <f aca="false">(ABS(D182-F182)/D182)*100</f>
        <v>11.0449418705535</v>
      </c>
      <c r="E390" s="40"/>
      <c r="F390" s="44" t="n">
        <f aca="false">(ABS(C182-G182)/C182)*100</f>
        <v>0.0251177394034537</v>
      </c>
      <c r="G390" s="44" t="n">
        <f aca="false">(ABS(D182-H182)/D182)*100</f>
        <v>0.00277633177164671</v>
      </c>
      <c r="H390" s="42"/>
      <c r="I390" s="43" t="n">
        <f aca="false">(ABS(C182-I182)/C182)*100</f>
        <v>99.9623233908948</v>
      </c>
      <c r="J390" s="44" t="n">
        <f aca="false">(ABS(D182-J182)/D182)*100</f>
        <v>11.049106368211</v>
      </c>
      <c r="K390" s="40"/>
      <c r="L390" s="44" t="n">
        <f aca="false">(ABS(C182-K182)/C182)*100</f>
        <v>0.0251177394034537</v>
      </c>
      <c r="M390" s="44" t="n">
        <f aca="false">(ABS(D182-L182)/D182)*100</f>
        <v>0.00277633177164671</v>
      </c>
      <c r="N390" s="40"/>
    </row>
    <row r="391" customFormat="false" ht="15" hidden="false" customHeight="false" outlineLevel="0" collapsed="false">
      <c r="A391" s="7"/>
      <c r="B391" s="25" t="n">
        <v>179</v>
      </c>
      <c r="C391" s="43" t="n">
        <f aca="false">(ABS(C183-E183)/C183)*100</f>
        <v>99.723704866562</v>
      </c>
      <c r="D391" s="44" t="n">
        <f aca="false">(ABS(D183-F183)/D183)*100</f>
        <v>11.0227312163804</v>
      </c>
      <c r="E391" s="40"/>
      <c r="F391" s="44" t="n">
        <f aca="false">(ABS(C183-G183)/C183)*100</f>
        <v>0.546310832025118</v>
      </c>
      <c r="G391" s="44" t="n">
        <f aca="false">(ABS(D183-H183)/D183)*100</f>
        <v>0.060385216033316</v>
      </c>
      <c r="H391" s="42"/>
      <c r="I391" s="43" t="n">
        <f aca="false">(ABS(C183-I183)/C183)*100</f>
        <v>99.723704866562</v>
      </c>
      <c r="J391" s="44" t="n">
        <f aca="false">(ABS(D183-J183)/D183)*100</f>
        <v>11.0227312163804</v>
      </c>
      <c r="K391" s="40"/>
      <c r="L391" s="44" t="n">
        <f aca="false">(ABS(C183-K183)/C183)*100</f>
        <v>0.0188383045525903</v>
      </c>
      <c r="M391" s="44" t="n">
        <f aca="false">(ABS(D183-L183)/D183)*100</f>
        <v>0.00208224882873503</v>
      </c>
      <c r="N391" s="40"/>
    </row>
    <row r="392" customFormat="false" ht="15" hidden="false" customHeight="false" outlineLevel="0" collapsed="false">
      <c r="A392" s="7"/>
      <c r="B392" s="25" t="n">
        <v>180</v>
      </c>
      <c r="C392" s="43" t="n">
        <f aca="false">(ABS(C184-E184)/C184)*100</f>
        <v>99.9372056514914</v>
      </c>
      <c r="D392" s="44" t="n">
        <f aca="false">(ABS(D184-F184)/D184)*100</f>
        <v>11.0463300364394</v>
      </c>
      <c r="E392" s="40"/>
      <c r="F392" s="44" t="n">
        <f aca="false">(ABS(C184-G184)/C184)*100</f>
        <v>0.0251177394034537</v>
      </c>
      <c r="G392" s="44" t="n">
        <f aca="false">(ABS(D184-H184)/D184)*100</f>
        <v>0.00277633177164671</v>
      </c>
      <c r="H392" s="42"/>
      <c r="I392" s="43" t="n">
        <f aca="false">(ABS(C184-I184)/C184)*100</f>
        <v>95.4662480376766</v>
      </c>
      <c r="J392" s="44" t="n">
        <f aca="false">(ABS(D184-J184)/D184)*100</f>
        <v>10.5521429810862</v>
      </c>
      <c r="K392" s="40"/>
      <c r="L392" s="44" t="n">
        <f aca="false">(ABS(C184-K184)/C184)*100</f>
        <v>0.0188383045525903</v>
      </c>
      <c r="M392" s="44" t="n">
        <f aca="false">(ABS(D184-L184)/D184)*100</f>
        <v>0.00208224882873503</v>
      </c>
      <c r="N392" s="40"/>
    </row>
    <row r="393" customFormat="false" ht="15" hidden="false" customHeight="false" outlineLevel="0" collapsed="false">
      <c r="A393" s="7"/>
      <c r="B393" s="25" t="n">
        <v>181</v>
      </c>
      <c r="C393" s="43" t="n">
        <f aca="false">(ABS(C185-E185)/C185)*100</f>
        <v>99.8053375196232</v>
      </c>
      <c r="D393" s="44" t="n">
        <f aca="false">(ABS(D185-F185)/D185)*100</f>
        <v>11.0317542946382</v>
      </c>
      <c r="E393" s="40"/>
      <c r="F393" s="44" t="n">
        <f aca="false">(ABS(C185-G185)/C185)*100</f>
        <v>0.0251177394034537</v>
      </c>
      <c r="G393" s="44" t="n">
        <f aca="false">(ABS(D185-H185)/D185)*100</f>
        <v>0.00277633177164671</v>
      </c>
      <c r="H393" s="42"/>
      <c r="I393" s="43" t="n">
        <f aca="false">(ABS(C185-I185)/C185)*100</f>
        <v>99.9497645211931</v>
      </c>
      <c r="J393" s="44" t="n">
        <f aca="false">(ABS(D185-J185)/D185)*100</f>
        <v>11.0477182023252</v>
      </c>
      <c r="K393" s="40"/>
      <c r="L393" s="44" t="n">
        <f aca="false">(ABS(C185-K185)/C185)*100</f>
        <v>0.0188383045525903</v>
      </c>
      <c r="M393" s="44" t="n">
        <f aca="false">(ABS(D185-L185)/D185)*100</f>
        <v>0.00208224882873503</v>
      </c>
      <c r="N393" s="40"/>
    </row>
    <row r="394" customFormat="false" ht="15" hidden="false" customHeight="false" outlineLevel="0" collapsed="false">
      <c r="A394" s="7"/>
      <c r="B394" s="25" t="n">
        <v>182</v>
      </c>
      <c r="C394" s="43" t="n">
        <f aca="false">(ABS(C186-E186)/C186)*100</f>
        <v>99.8116169544741</v>
      </c>
      <c r="D394" s="44" t="n">
        <f aca="false">(ABS(D186-F186)/D186)*100</f>
        <v>11.0324483775811</v>
      </c>
      <c r="E394" s="40"/>
      <c r="F394" s="44" t="n">
        <f aca="false">(ABS(C186-G186)/C186)*100</f>
        <v>0.0188383045525903</v>
      </c>
      <c r="G394" s="44" t="n">
        <f aca="false">(ABS(D186-H186)/D186)*100</f>
        <v>0.00208224882873503</v>
      </c>
      <c r="H394" s="42"/>
      <c r="I394" s="43" t="n">
        <f aca="false">(ABS(C186-I186)/C186)*100</f>
        <v>99.9748822605965</v>
      </c>
      <c r="J394" s="44" t="n">
        <f aca="false">(ABS(D186-J186)/D186)*100</f>
        <v>11.0504945340968</v>
      </c>
      <c r="K394" s="40"/>
      <c r="L394" s="44" t="n">
        <f aca="false">(ABS(C186-K186)/C186)*100</f>
        <v>0.0125588697017268</v>
      </c>
      <c r="M394" s="44" t="n">
        <f aca="false">(ABS(D186-L186)/D186)*100</f>
        <v>0.00138816588582336</v>
      </c>
      <c r="N394" s="40"/>
    </row>
    <row r="395" customFormat="false" ht="15" hidden="false" customHeight="false" outlineLevel="0" collapsed="false">
      <c r="A395" s="7"/>
      <c r="B395" s="25" t="n">
        <v>183</v>
      </c>
      <c r="C395" s="43" t="n">
        <f aca="false">(ABS(C187-E187)/C187)*100</f>
        <v>99.956043956044</v>
      </c>
      <c r="D395" s="44" t="n">
        <f aca="false">(ABS(D187-F187)/D187)*100</f>
        <v>11.0484122852681</v>
      </c>
      <c r="E395" s="40"/>
      <c r="F395" s="44" t="n">
        <f aca="false">(ABS(C187-G187)/C187)*100</f>
        <v>0.0251177394034537</v>
      </c>
      <c r="G395" s="44" t="n">
        <f aca="false">(ABS(D187-H187)/D187)*100</f>
        <v>0.00277633177164671</v>
      </c>
      <c r="H395" s="42"/>
      <c r="I395" s="43" t="n">
        <f aca="false">(ABS(C187-I187)/C187)*100</f>
        <v>99.8995290423862</v>
      </c>
      <c r="J395" s="44" t="n">
        <f aca="false">(ABS(D187-J187)/D187)*100</f>
        <v>11.0421655387819</v>
      </c>
      <c r="K395" s="40"/>
      <c r="L395" s="44" t="n">
        <f aca="false">(ABS(C187-K187)/C187)*100</f>
        <v>0.0188383045525903</v>
      </c>
      <c r="M395" s="44" t="n">
        <f aca="false">(ABS(D187-L187)/D187)*100</f>
        <v>0.00208224882873503</v>
      </c>
      <c r="N395" s="40"/>
    </row>
    <row r="396" customFormat="false" ht="15" hidden="false" customHeight="false" outlineLevel="0" collapsed="false">
      <c r="A396" s="7"/>
      <c r="B396" s="25" t="n">
        <v>184</v>
      </c>
      <c r="C396" s="43" t="n">
        <f aca="false">(ABS(C188-E188)/C188)*100</f>
        <v>95.4160125588697</v>
      </c>
      <c r="D396" s="44" t="n">
        <f aca="false">(ABS(D188-F188)/D188)*100</f>
        <v>10.5465903175429</v>
      </c>
      <c r="E396" s="40"/>
      <c r="F396" s="44" t="n">
        <f aca="false">(ABS(C188-G188)/C188)*100</f>
        <v>0.0188383045525903</v>
      </c>
      <c r="G396" s="44" t="n">
        <f aca="false">(ABS(D188-H188)/D188)*100</f>
        <v>0.00208224882873503</v>
      </c>
      <c r="H396" s="42"/>
      <c r="I396" s="43" t="n">
        <f aca="false">(ABS(C188-I188)/C188)*100</f>
        <v>99.8932496075353</v>
      </c>
      <c r="J396" s="44" t="n">
        <f aca="false">(ABS(D188-J188)/D188)*100</f>
        <v>11.041471455839</v>
      </c>
      <c r="K396" s="40"/>
      <c r="L396" s="44" t="n">
        <f aca="false">(ABS(C188-K188)/C188)*100</f>
        <v>0.0125588697017268</v>
      </c>
      <c r="M396" s="44" t="n">
        <f aca="false">(ABS(D188-L188)/D188)*100</f>
        <v>0.00138816588582336</v>
      </c>
      <c r="N396" s="40"/>
    </row>
    <row r="397" customFormat="false" ht="15" hidden="false" customHeight="false" outlineLevel="0" collapsed="false">
      <c r="A397" s="7"/>
      <c r="B397" s="25" t="n">
        <v>185</v>
      </c>
      <c r="C397" s="43" t="n">
        <f aca="false">(ABS(C189-E189)/C189)*100</f>
        <v>99.9309262166405</v>
      </c>
      <c r="D397" s="44" t="n">
        <f aca="false">(ABS(D189-F189)/D189)*100</f>
        <v>11.0456359534964</v>
      </c>
      <c r="E397" s="40"/>
      <c r="F397" s="44" t="n">
        <f aca="false">(ABS(C189-G189)/C189)*100</f>
        <v>0.0879120879120879</v>
      </c>
      <c r="G397" s="44" t="n">
        <f aca="false">(ABS(D189-H189)/D189)*100</f>
        <v>0.00971716120076349</v>
      </c>
      <c r="H397" s="42"/>
      <c r="I397" s="43" t="n">
        <f aca="false">(ABS(C189-I189)/C189)*100</f>
        <v>99.403453689168</v>
      </c>
      <c r="J397" s="44" t="n">
        <f aca="false">(ABS(D189-J189)/D189)*100</f>
        <v>10.9873329862919</v>
      </c>
      <c r="K397" s="40"/>
      <c r="L397" s="44" t="n">
        <f aca="false">(ABS(C189-K189)/C189)*100</f>
        <v>0.0188383045525903</v>
      </c>
      <c r="M397" s="44" t="n">
        <f aca="false">(ABS(D189-L189)/D189)*100</f>
        <v>0.00208224882873503</v>
      </c>
      <c r="N397" s="40"/>
    </row>
    <row r="398" customFormat="false" ht="15" hidden="false" customHeight="false" outlineLevel="0" collapsed="false">
      <c r="A398" s="7"/>
      <c r="B398" s="25" t="n">
        <v>186</v>
      </c>
      <c r="C398" s="43" t="n">
        <f aca="false">(ABS(C190-E190)/C190)*100</f>
        <v>99.8744113029827</v>
      </c>
      <c r="D398" s="44" t="n">
        <f aca="false">(ABS(D190-F190)/D190)*100</f>
        <v>11.0393892070102</v>
      </c>
      <c r="E398" s="40"/>
      <c r="F398" s="44" t="n">
        <f aca="false">(ABS(C190-G190)/C190)*100</f>
        <v>0.00627943485086342</v>
      </c>
      <c r="G398" s="44" t="n">
        <f aca="false">(ABS(D190-H190)/D190)*100</f>
        <v>0.000694082942911678</v>
      </c>
      <c r="H398" s="42"/>
      <c r="I398" s="43" t="n">
        <f aca="false">(ABS(C190-I190)/C190)*100</f>
        <v>99.9497645211931</v>
      </c>
      <c r="J398" s="44" t="n">
        <f aca="false">(ABS(D190-J190)/D190)*100</f>
        <v>11.0477182023252</v>
      </c>
      <c r="K398" s="40"/>
      <c r="L398" s="44" t="n">
        <f aca="false">(ABS(C190-K190)/C190)*100</f>
        <v>0.0125588697017268</v>
      </c>
      <c r="M398" s="44" t="n">
        <f aca="false">(ABS(D190-L190)/D190)*100</f>
        <v>0.00138816588582336</v>
      </c>
      <c r="N398" s="40"/>
    </row>
    <row r="399" customFormat="false" ht="15" hidden="false" customHeight="false" outlineLevel="0" collapsed="false">
      <c r="A399" s="7"/>
      <c r="B399" s="25" t="n">
        <v>187</v>
      </c>
      <c r="C399" s="43" t="n">
        <f aca="false">(ABS(C191-E191)/C191)*100</f>
        <v>99.9309262166405</v>
      </c>
      <c r="D399" s="44" t="n">
        <f aca="false">(ABS(D191-F191)/D191)*100</f>
        <v>11.0456359534964</v>
      </c>
      <c r="E399" s="40"/>
      <c r="F399" s="44" t="n">
        <f aca="false">(ABS(C191-G191)/C191)*100</f>
        <v>0.0188383045525903</v>
      </c>
      <c r="G399" s="44" t="n">
        <f aca="false">(ABS(D191-H191)/D191)*100</f>
        <v>0.00208224882873503</v>
      </c>
      <c r="H399" s="42"/>
      <c r="I399" s="43" t="n">
        <f aca="false">(ABS(C191-I191)/C191)*100</f>
        <v>99.9811616954474</v>
      </c>
      <c r="J399" s="44" t="n">
        <f aca="false">(ABS(D191-J191)/D191)*100</f>
        <v>11.0511886170397</v>
      </c>
      <c r="K399" s="40"/>
      <c r="L399" s="44" t="n">
        <f aca="false">(ABS(C191-K191)/C191)*100</f>
        <v>0.0125588697017268</v>
      </c>
      <c r="M399" s="44" t="n">
        <f aca="false">(ABS(D191-L191)/D191)*100</f>
        <v>0.00138816588582336</v>
      </c>
      <c r="N399" s="40"/>
    </row>
    <row r="400" customFormat="false" ht="15" hidden="false" customHeight="false" outlineLevel="0" collapsed="false">
      <c r="A400" s="7"/>
      <c r="B400" s="25" t="n">
        <v>188</v>
      </c>
      <c r="C400" s="43" t="n">
        <f aca="false">(ABS(C192-E192)/C192)*100</f>
        <v>99.5792778649922</v>
      </c>
      <c r="D400" s="44" t="n">
        <f aca="false">(ABS(D192-F192)/D192)*100</f>
        <v>11.0067673086934</v>
      </c>
      <c r="E400" s="40"/>
      <c r="F400" s="44" t="n">
        <f aca="false">(ABS(C192-G192)/C192)*100</f>
        <v>0.0188383045525903</v>
      </c>
      <c r="G400" s="44" t="n">
        <f aca="false">(ABS(D192-H192)/D192)*100</f>
        <v>0.00208224882873503</v>
      </c>
      <c r="H400" s="42"/>
      <c r="I400" s="43" t="n">
        <f aca="false">(ABS(C192-I192)/C192)*100</f>
        <v>99.9937205651491</v>
      </c>
      <c r="J400" s="44" t="n">
        <f aca="false">(ABS(D192-J192)/D192)*100</f>
        <v>11.0525767829256</v>
      </c>
      <c r="K400" s="40"/>
      <c r="L400" s="44" t="n">
        <f aca="false">(ABS(C192-K192)/C192)*100</f>
        <v>0.0188383045525903</v>
      </c>
      <c r="M400" s="44" t="n">
        <f aca="false">(ABS(D192-L192)/D192)*100</f>
        <v>0.00208224882873503</v>
      </c>
      <c r="N400" s="40"/>
    </row>
    <row r="401" customFormat="false" ht="15" hidden="false" customHeight="false" outlineLevel="0" collapsed="false">
      <c r="A401" s="7"/>
      <c r="B401" s="25" t="n">
        <v>189</v>
      </c>
      <c r="C401" s="43" t="n">
        <f aca="false">(ABS(C193-E193)/C193)*100</f>
        <v>93.0675039246468</v>
      </c>
      <c r="D401" s="44" t="n">
        <f aca="false">(ABS(D193-F193)/D193)*100</f>
        <v>10.287003296894</v>
      </c>
      <c r="E401" s="40"/>
      <c r="F401" s="44" t="n">
        <f aca="false">(ABS(C193-G193)/C193)*100</f>
        <v>0.0251177394034537</v>
      </c>
      <c r="G401" s="44" t="n">
        <f aca="false">(ABS(D193-H193)/D193)*100</f>
        <v>0.00277633177164671</v>
      </c>
      <c r="H401" s="42"/>
      <c r="I401" s="43" t="n">
        <f aca="false">(ABS(C193-I193)/C193)*100</f>
        <v>99.9811616954474</v>
      </c>
      <c r="J401" s="44" t="n">
        <f aca="false">(ABS(D193-J193)/D193)*100</f>
        <v>11.0511886170397</v>
      </c>
      <c r="K401" s="40"/>
      <c r="L401" s="44" t="n">
        <f aca="false">(ABS(C193-K193)/C193)*100</f>
        <v>0.0188383045525903</v>
      </c>
      <c r="M401" s="44" t="n">
        <f aca="false">(ABS(D193-L193)/D193)*100</f>
        <v>0.00208224882873503</v>
      </c>
      <c r="N401" s="40"/>
    </row>
    <row r="402" customFormat="false" ht="15" hidden="false" customHeight="false" outlineLevel="0" collapsed="false">
      <c r="A402" s="7"/>
      <c r="B402" s="25" t="n">
        <v>190</v>
      </c>
      <c r="C402" s="43" t="n">
        <f aca="false">(ABS(C194-E194)/C194)*100</f>
        <v>99.4976452119309</v>
      </c>
      <c r="D402" s="44" t="n">
        <f aca="false">(ABS(D194-F194)/D194)*100</f>
        <v>10.9977442304355</v>
      </c>
      <c r="E402" s="40"/>
      <c r="F402" s="44" t="n">
        <f aca="false">(ABS(C194-G194)/C194)*100</f>
        <v>0.0125588697017268</v>
      </c>
      <c r="G402" s="44" t="n">
        <f aca="false">(ABS(D194-H194)/D194)*100</f>
        <v>0.00138816588582336</v>
      </c>
      <c r="H402" s="42"/>
      <c r="I402" s="43" t="n">
        <f aca="false">(ABS(C194-I194)/C194)*100</f>
        <v>99.8932496075353</v>
      </c>
      <c r="J402" s="44" t="n">
        <f aca="false">(ABS(D194-J194)/D194)*100</f>
        <v>11.041471455839</v>
      </c>
      <c r="K402" s="40"/>
      <c r="L402" s="44" t="n">
        <f aca="false">(ABS(C194-K194)/C194)*100</f>
        <v>0.00627943485086342</v>
      </c>
      <c r="M402" s="44" t="n">
        <f aca="false">(ABS(D194-L194)/D194)*100</f>
        <v>0.000694082942911678</v>
      </c>
      <c r="N402" s="40"/>
    </row>
    <row r="403" customFormat="false" ht="15" hidden="false" customHeight="false" outlineLevel="0" collapsed="false">
      <c r="A403" s="7"/>
      <c r="B403" s="25" t="n">
        <v>191</v>
      </c>
      <c r="C403" s="43" t="n">
        <f aca="false">(ABS(C195-E195)/C195)*100</f>
        <v>99.9623233908948</v>
      </c>
      <c r="D403" s="44" t="n">
        <f aca="false">(ABS(D195-F195)/D195)*100</f>
        <v>11.049106368211</v>
      </c>
      <c r="E403" s="40"/>
      <c r="F403" s="44" t="n">
        <f aca="false">(ABS(C195-G195)/C195)*100</f>
        <v>0.0125588697017268</v>
      </c>
      <c r="G403" s="44" t="n">
        <f aca="false">(ABS(D195-H195)/D195)*100</f>
        <v>0.00138816588582336</v>
      </c>
      <c r="H403" s="42"/>
      <c r="I403" s="43" t="n">
        <f aca="false">(ABS(C195-I195)/C195)*100</f>
        <v>99.9372056514914</v>
      </c>
      <c r="J403" s="44" t="n">
        <f aca="false">(ABS(D195-J195)/D195)*100</f>
        <v>11.0463300364394</v>
      </c>
      <c r="K403" s="40"/>
      <c r="L403" s="44" t="n">
        <f aca="false">(ABS(C195-K195)/C195)*100</f>
        <v>0.0188383045525903</v>
      </c>
      <c r="M403" s="44" t="n">
        <f aca="false">(ABS(D195-L195)/D195)*100</f>
        <v>0.00208224882873503</v>
      </c>
      <c r="N403" s="40"/>
    </row>
    <row r="404" customFormat="false" ht="15" hidden="false" customHeight="false" outlineLevel="0" collapsed="false">
      <c r="A404" s="7"/>
      <c r="B404" s="25" t="n">
        <v>192</v>
      </c>
      <c r="C404" s="43" t="n">
        <f aca="false">(ABS(C196-E196)/C196)*100</f>
        <v>91.1522762951334</v>
      </c>
      <c r="D404" s="44" t="n">
        <f aca="false">(ABS(D196-F196)/D196)*100</f>
        <v>10.0753079993059</v>
      </c>
      <c r="E404" s="40"/>
      <c r="F404" s="44" t="n">
        <f aca="false">(ABS(C196-G196)/C196)*100</f>
        <v>0.0125588697017268</v>
      </c>
      <c r="G404" s="44" t="n">
        <f aca="false">(ABS(D196-H196)/D196)*100</f>
        <v>0.00138816588582336</v>
      </c>
      <c r="H404" s="42"/>
      <c r="I404" s="43" t="n">
        <f aca="false">(ABS(C196-I196)/C196)*100</f>
        <v>99.9748822605965</v>
      </c>
      <c r="J404" s="44" t="n">
        <f aca="false">(ABS(D196-J196)/D196)*100</f>
        <v>11.0504945340968</v>
      </c>
      <c r="K404" s="40"/>
      <c r="L404" s="44" t="n">
        <f aca="false">(ABS(C196-K196)/C196)*100</f>
        <v>0.0188383045525903</v>
      </c>
      <c r="M404" s="44" t="n">
        <f aca="false">(ABS(D196-L196)/D196)*100</f>
        <v>0.00208224882873503</v>
      </c>
      <c r="N404" s="40"/>
    </row>
    <row r="405" customFormat="false" ht="15" hidden="false" customHeight="false" outlineLevel="0" collapsed="false">
      <c r="A405" s="7"/>
      <c r="B405" s="25" t="n">
        <v>193</v>
      </c>
      <c r="C405" s="43" t="n">
        <f aca="false">(ABS(C197-E197)/C197)*100</f>
        <v>95.309262166405</v>
      </c>
      <c r="D405" s="44" t="n">
        <f aca="false">(ABS(D197-F197)/D197)*100</f>
        <v>10.5347909075134</v>
      </c>
      <c r="E405" s="40"/>
      <c r="F405" s="44" t="n">
        <f aca="false">(ABS(C197-G197)/C197)*100</f>
        <v>0.0125588697017268</v>
      </c>
      <c r="G405" s="44" t="n">
        <f aca="false">(ABS(D197-H197)/D197)*100</f>
        <v>0.00138816588582336</v>
      </c>
      <c r="H405" s="42"/>
      <c r="I405" s="43" t="n">
        <f aca="false">(ABS(C197-I197)/C197)*100</f>
        <v>99.8806907378336</v>
      </c>
      <c r="J405" s="44" t="n">
        <f aca="false">(ABS(D197-J197)/D197)*100</f>
        <v>11.0400832899531</v>
      </c>
      <c r="K405" s="40"/>
      <c r="L405" s="44" t="n">
        <f aca="false">(ABS(C197-K197)/C197)*100</f>
        <v>0.0188383045525903</v>
      </c>
      <c r="M405" s="44" t="n">
        <f aca="false">(ABS(D197-L197)/D197)*100</f>
        <v>0.00208224882873503</v>
      </c>
      <c r="N405" s="40"/>
    </row>
    <row r="406" customFormat="false" ht="15" hidden="false" customHeight="false" outlineLevel="0" collapsed="false">
      <c r="A406" s="7"/>
      <c r="B406" s="25" t="n">
        <v>194</v>
      </c>
      <c r="C406" s="43" t="n">
        <f aca="false">(ABS(C198-E198)/C198)*100</f>
        <v>99.9686028257457</v>
      </c>
      <c r="D406" s="44" t="n">
        <f aca="false">(ABS(D198-F198)/D198)*100</f>
        <v>11.0498004511539</v>
      </c>
      <c r="E406" s="40"/>
      <c r="F406" s="44" t="n">
        <f aca="false">(ABS(C198-G198)/C198)*100</f>
        <v>0.0125588697017268</v>
      </c>
      <c r="G406" s="44" t="n">
        <f aca="false">(ABS(D198-H198)/D198)*100</f>
        <v>0.00138816588582336</v>
      </c>
      <c r="H406" s="42"/>
      <c r="I406" s="43" t="n">
        <f aca="false">(ABS(C198-I198)/C198)*100</f>
        <v>94.8822605965463</v>
      </c>
      <c r="J406" s="44" t="n">
        <f aca="false">(ABS(D198-J198)/D198)*100</f>
        <v>10.4875932673955</v>
      </c>
      <c r="K406" s="40"/>
      <c r="L406" s="44" t="n">
        <f aca="false">(ABS(C198-K198)/C198)*100</f>
        <v>0.0188383045525903</v>
      </c>
      <c r="M406" s="44" t="n">
        <f aca="false">(ABS(D198-L198)/D198)*100</f>
        <v>0.00208224882873503</v>
      </c>
      <c r="N406" s="40"/>
    </row>
    <row r="407" customFormat="false" ht="15" hidden="false" customHeight="false" outlineLevel="0" collapsed="false">
      <c r="A407" s="7"/>
      <c r="B407" s="25" t="n">
        <v>195</v>
      </c>
      <c r="C407" s="43" t="n">
        <f aca="false">(ABS(C199-E199)/C199)*100</f>
        <v>99.8869701726845</v>
      </c>
      <c r="D407" s="44" t="n">
        <f aca="false">(ABS(D199-F199)/D199)*100</f>
        <v>11.0407773728961</v>
      </c>
      <c r="E407" s="40"/>
      <c r="F407" s="44" t="n">
        <f aca="false">(ABS(C199-G199)/C199)*100</f>
        <v>0.0188383045525903</v>
      </c>
      <c r="G407" s="44" t="n">
        <f aca="false">(ABS(D199-H199)/D199)*100</f>
        <v>0.00208224882873503</v>
      </c>
      <c r="H407" s="42"/>
      <c r="I407" s="43" t="n">
        <f aca="false">(ABS(C199-I199)/C199)*100</f>
        <v>99.956043956044</v>
      </c>
      <c r="J407" s="44" t="n">
        <f aca="false">(ABS(D199-J199)/D199)*100</f>
        <v>11.0484122852681</v>
      </c>
      <c r="K407" s="40"/>
      <c r="L407" s="44" t="n">
        <f aca="false">(ABS(C199-K199)/C199)*100</f>
        <v>0.0125588697017268</v>
      </c>
      <c r="M407" s="44" t="n">
        <f aca="false">(ABS(D199-L199)/D199)*100</f>
        <v>0.00138816588582336</v>
      </c>
      <c r="N407" s="40"/>
    </row>
    <row r="408" customFormat="false" ht="15" hidden="false" customHeight="false" outlineLevel="0" collapsed="false">
      <c r="A408" s="7"/>
      <c r="B408" s="25" t="n">
        <v>196</v>
      </c>
      <c r="C408" s="43" t="n">
        <f aca="false">(ABS(C200-E200)/C200)*100</f>
        <v>95.7174254317112</v>
      </c>
      <c r="D408" s="44" t="n">
        <f aca="false">(ABS(D200-F200)/D200)*100</f>
        <v>10.5799062988027</v>
      </c>
      <c r="E408" s="40"/>
      <c r="F408" s="44" t="n">
        <f aca="false">(ABS(C200-G200)/C200)*100</f>
        <v>0.0313971742543171</v>
      </c>
      <c r="G408" s="44" t="n">
        <f aca="false">(ABS(D200-H200)/D200)*100</f>
        <v>0.00347041471455839</v>
      </c>
      <c r="H408" s="42"/>
      <c r="I408" s="43" t="n">
        <f aca="false">(ABS(C200-I200)/C200)*100</f>
        <v>95.7864992150707</v>
      </c>
      <c r="J408" s="44" t="n">
        <f aca="false">(ABS(D200-J200)/D200)*100</f>
        <v>10.5875412111747</v>
      </c>
      <c r="K408" s="40"/>
      <c r="L408" s="44" t="n">
        <f aca="false">(ABS(C200-K200)/C200)*100</f>
        <v>0.0313971742543171</v>
      </c>
      <c r="M408" s="44" t="n">
        <f aca="false">(ABS(D200-L200)/D200)*100</f>
        <v>0.00347041471455839</v>
      </c>
      <c r="N408" s="40"/>
    </row>
    <row r="409" customFormat="false" ht="15" hidden="false" customHeight="false" outlineLevel="0" collapsed="false">
      <c r="A409" s="7"/>
      <c r="B409" s="25" t="n">
        <v>197</v>
      </c>
      <c r="C409" s="43" t="n">
        <f aca="false">(ABS(C201-E201)/C201)*100</f>
        <v>99.9120879120879</v>
      </c>
      <c r="D409" s="44" t="n">
        <f aca="false">(ABS(D201-F201)/D201)*100</f>
        <v>11.0435537046677</v>
      </c>
      <c r="E409" s="40"/>
      <c r="F409" s="44" t="n">
        <f aca="false">(ABS(C201-G201)/C201)*100</f>
        <v>0.0188383045525903</v>
      </c>
      <c r="G409" s="44" t="n">
        <f aca="false">(ABS(D201-H201)/D201)*100</f>
        <v>0.00208224882873503</v>
      </c>
      <c r="H409" s="42"/>
      <c r="I409" s="43" t="n">
        <f aca="false">(ABS(C201-I201)/C201)*100</f>
        <v>99.8555729984302</v>
      </c>
      <c r="J409" s="44" t="n">
        <f aca="false">(ABS(D201-J201)/D201)*100</f>
        <v>11.0373069581815</v>
      </c>
      <c r="K409" s="40"/>
      <c r="L409" s="44" t="n">
        <f aca="false">(ABS(C201-K201)/C201)*100</f>
        <v>0.0313971742543171</v>
      </c>
      <c r="M409" s="44" t="n">
        <f aca="false">(ABS(D201-L201)/D201)*100</f>
        <v>0.00347041471455839</v>
      </c>
      <c r="N409" s="40"/>
    </row>
    <row r="410" customFormat="false" ht="15" hidden="false" customHeight="false" outlineLevel="0" collapsed="false">
      <c r="A410" s="7"/>
      <c r="B410" s="25" t="n">
        <v>198</v>
      </c>
      <c r="C410" s="43" t="n">
        <f aca="false">(ABS(C202-E202)/C202)*100</f>
        <v>99.8492935635793</v>
      </c>
      <c r="D410" s="44" t="n">
        <f aca="false">(ABS(D202-F202)/D202)*100</f>
        <v>11.0366128752386</v>
      </c>
      <c r="E410" s="40"/>
      <c r="F410" s="44" t="n">
        <f aca="false">(ABS(C202-G202)/C202)*100</f>
        <v>0.0251177394034537</v>
      </c>
      <c r="G410" s="44" t="n">
        <f aca="false">(ABS(D202-H202)/D202)*100</f>
        <v>0.00277633177164671</v>
      </c>
      <c r="H410" s="42"/>
      <c r="I410" s="43" t="n">
        <f aca="false">(ABS(C202-I202)/C202)*100</f>
        <v>99.7111459968603</v>
      </c>
      <c r="J410" s="44" t="n">
        <f aca="false">(ABS(D202-J202)/D202)*100</f>
        <v>11.0213430504945</v>
      </c>
      <c r="K410" s="40"/>
      <c r="L410" s="44" t="n">
        <f aca="false">(ABS(C202-K202)/C202)*100</f>
        <v>0.0188383045525903</v>
      </c>
      <c r="M410" s="44" t="n">
        <f aca="false">(ABS(D202-L202)/D202)*100</f>
        <v>0.00208224882873503</v>
      </c>
      <c r="N410" s="40"/>
    </row>
    <row r="411" customFormat="false" ht="15" hidden="false" customHeight="false" outlineLevel="0" collapsed="false">
      <c r="A411" s="7"/>
      <c r="B411" s="25" t="n">
        <v>199</v>
      </c>
      <c r="C411" s="43" t="n">
        <f aca="false">(ABS(C203-E203)/C203)*100</f>
        <v>99.0266875981162</v>
      </c>
      <c r="D411" s="44" t="n">
        <f aca="false">(ABS(D203-F203)/D203)*100</f>
        <v>10.9456880097172</v>
      </c>
      <c r="E411" s="45" t="s">
        <v>10</v>
      </c>
      <c r="F411" s="44" t="n">
        <f aca="false">(ABS(C203-G203)/C203)*100</f>
        <v>0.0188383045525903</v>
      </c>
      <c r="G411" s="44" t="n">
        <f aca="false">(ABS(D203-H203)/D203)*100</f>
        <v>0.00208224882873503</v>
      </c>
      <c r="H411" s="45" t="s">
        <v>10</v>
      </c>
      <c r="I411" s="43" t="n">
        <f aca="false">(ABS(C203-I203)/C203)*100</f>
        <v>98.8383045525903</v>
      </c>
      <c r="J411" s="44" t="n">
        <f aca="false">(ABS(D203-J203)/D203)*100</f>
        <v>10.9248655214298</v>
      </c>
      <c r="K411" s="45" t="s">
        <v>10</v>
      </c>
      <c r="L411" s="44" t="n">
        <f aca="false">(ABS(C203-K203)/C203)*100</f>
        <v>0.0313971742543171</v>
      </c>
      <c r="M411" s="44" t="n">
        <f aca="false">(ABS(D203-L203)/D203)*100</f>
        <v>0.00347041471455839</v>
      </c>
      <c r="N411" s="45" t="s">
        <v>10</v>
      </c>
    </row>
    <row r="412" customFormat="false" ht="15" hidden="false" customHeight="false" outlineLevel="0" collapsed="false">
      <c r="A412" s="7"/>
      <c r="B412" s="14" t="s">
        <v>8</v>
      </c>
      <c r="C412" s="46" t="n">
        <f aca="false">(ABS(SUM(C4:C203)-SUM(E4:E203))/SUM(C4:C203))*100</f>
        <v>98.6897017268446</v>
      </c>
      <c r="D412" s="47" t="n">
        <f aca="false">(ABS(SUM(D4:D203)-SUM(F4:F203))/SUM(D4:D203))*100</f>
        <v>10.9084400485858</v>
      </c>
      <c r="E412" s="48" t="n">
        <f aca="false">SUM(C212:D411)/(200*2)</f>
        <v>54.7993498284269</v>
      </c>
      <c r="F412" s="47" t="n">
        <f aca="false">(ABS(SUM(C4:C203)-SUM(G4:G203))/SUM(C4:C203))*100</f>
        <v>0.05861852433281</v>
      </c>
      <c r="G412" s="47" t="n">
        <f aca="false">(ABS(SUM(D4:D203)-SUM(H4:H203))/SUM(D4:D203))*100</f>
        <v>0.00647926427208051</v>
      </c>
      <c r="H412" s="48" t="n">
        <f aca="false">SUM(F212:G411)/(200*2)</f>
        <v>0.032618629480383</v>
      </c>
      <c r="I412" s="47" t="n">
        <f aca="false">(ABS(SUM(C4:C203)-SUM(I4:I203))/SUM(C4:C203))*100</f>
        <v>98.4304238618524</v>
      </c>
      <c r="J412" s="47" t="n">
        <f aca="false">(ABS(SUM(D4:D203)-SUM(J4:J203))/SUM(D4:D203))*100</f>
        <v>10.879781363873</v>
      </c>
      <c r="K412" s="48" t="n">
        <f aca="false">SUM(I212:J411)/(200*2)</f>
        <v>54.6551723480406</v>
      </c>
      <c r="L412" s="47" t="n">
        <f aca="false">(ABS(SUM(C4:C203)-SUM(K4:K203))/SUM(C4:C203))*100</f>
        <v>0.0274097331240188</v>
      </c>
      <c r="M412" s="47" t="n">
        <f aca="false">(ABS(SUM(D4:D203)-SUM(L4:L203))/SUM(D4:D203))*100</f>
        <v>0.00302967204580947</v>
      </c>
      <c r="N412" s="48" t="n">
        <f aca="false">SUM(L212:M411)/(200*2)</f>
        <v>0.0157078488304784</v>
      </c>
    </row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204"/>
    <mergeCell ref="B209:B211"/>
    <mergeCell ref="C209:H209"/>
    <mergeCell ref="I209:N209"/>
    <mergeCell ref="C210:E210"/>
    <mergeCell ref="F210:H210"/>
    <mergeCell ref="I210:K210"/>
    <mergeCell ref="L210:N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2026-03-13T19:52:40Z</dcterms:created>
  <dc:creator>openpyxl</dc:creator>
  <dc:description/>
  <dc:language>fr-FR</dc:language>
  <cp:lastModifiedBy/>
  <dcterms:modified xsi:type="dcterms:W3CDTF">2026-08-29T00:40:12Z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