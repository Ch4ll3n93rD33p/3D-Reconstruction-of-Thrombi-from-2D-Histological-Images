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<sst xmlns="http://schemas.openxmlformats.org/spreadsheetml/2006/main" count="76" uniqueCount="19">
  <si>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</si>
  <si>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</si>
  <si>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</si>
  <si>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</si>
  <si>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</si>
  <si>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3_cylinder/cyl_x/Col_clust</t>
  </si>
  <si>
    <t xml:space="preserve">#e65a4a</t>
  </si>
  <si>
    <t xml:space="preserve">#ffffff</t>
  </si>
  <si>
    <t xml:space="preserve">Total</t>
  </si>
  <si>
    <t xml:space="preserve">Error</t>
  </si>
  <si>
    <t xml:space="preserve">3_cylinder/cyl_x</t>
  </si>
  <si>
    <t xml:space="preserve">MAPE</t>
  </si>
  <si>
    <t xml:space="preserve">3_cylinder/cyl_x/Col_class</t>
  </si>
  <si>
    <t xml:space="preserve">#e65a49</t>
  </si>
  <si>
    <t xml:space="preserve">Original</t>
  </si>
  <si>
    <t xml:space="preserve">Clustering</t>
  </si>
  <si>
    <t xml:space="preserve">Classification</t>
  </si>
  <si>
    <t xml:space="preserve">Error Clustering</t>
  </si>
  <si>
    <t xml:space="preserve">Error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</si>
</sst>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E65A4A"/>
        <bgColor rgb="FFE65A49"/>
      </patternFill>
    </fill>
    <fill>
      <patternFill patternType="solid">
        <fgColor rgb="FFFFFFFF"/>
        <bgColor rgb="FFF2F2F2"/>
      </patternFill>
    </fill>
    <fill>
      <patternFill patternType="solid">
        <fgColor rgb="FFE65A49"/>
        <bgColor rgb="FFE65A4A"/>
      </patternFill>
    </fill>
    <fill>
      <patternFill patternType="solid">
        <fgColor rgb="FFFFD7D7"/>
        <bgColor rgb="FFF2DCDB"/>
      </patternFill>
    </fill>
    <fill>
      <patternFill patternType="solid">
        <fgColor rgb="FFF2DCDB"/>
        <bgColor rgb="FFFFD7D7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E65A4A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4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H3" activeCellId="0" sqref="H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3.37"/>
    <col collapsed="false" customWidth="true" hidden="false" outlineLevel="0" max="7" min="7" style="1" width="18.36"/>
    <col collapsed="false" customWidth="true" hidden="false" outlineLevel="0" max="8" min="8" style="1" width="21.69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5" t="s">
        <v>2</v>
      </c>
      <c r="F1" s="5"/>
      <c r="G1" s="5"/>
      <c r="H1" s="5"/>
    </row>
    <row r="2" customFormat="false" ht="15" hidden="false" customHeight="false" outlineLevel="0" collapsed="false">
      <c r="A2" s="2"/>
      <c r="B2" s="3"/>
      <c r="C2" s="3"/>
      <c r="D2" s="4"/>
      <c r="E2" s="6" t="s">
        <v>3</v>
      </c>
      <c r="F2" s="6"/>
      <c r="G2" s="7" t="s">
        <v>4</v>
      </c>
      <c r="H2" s="7"/>
    </row>
    <row r="3" customFormat="false" ht="15" hidden="false" customHeight="false" outlineLevel="0" collapsed="false">
      <c r="A3" s="8" t="s">
        <v>5</v>
      </c>
      <c r="B3" s="3"/>
      <c r="C3" s="9" t="s">
        <v>6</v>
      </c>
      <c r="D3" s="10" t="s">
        <v>7</v>
      </c>
      <c r="E3" s="9" t="s">
        <v>6</v>
      </c>
      <c r="F3" s="11" t="s">
        <v>7</v>
      </c>
      <c r="G3" s="9" t="s">
        <v>6</v>
      </c>
      <c r="H3" s="10" t="s">
        <v>7</v>
      </c>
    </row>
    <row r="4" customFormat="false" ht="15" hidden="false" customHeight="false" outlineLevel="0" collapsed="false">
      <c r="A4" s="8"/>
      <c r="B4" s="2" t="n">
        <v>0</v>
      </c>
      <c r="C4" s="12" t="n">
        <v>200</v>
      </c>
      <c r="D4" s="13" t="n">
        <v>159800</v>
      </c>
      <c r="E4" s="14" t="n">
        <v>200</v>
      </c>
      <c r="F4" s="15" t="n">
        <v>159800</v>
      </c>
      <c r="G4" s="14" t="n">
        <v>200</v>
      </c>
      <c r="H4" s="13" t="n">
        <v>159800</v>
      </c>
    </row>
    <row r="5" customFormat="false" ht="15" hidden="false" customHeight="false" outlineLevel="0" collapsed="false">
      <c r="A5" s="8"/>
      <c r="B5" s="2" t="n">
        <v>1</v>
      </c>
      <c r="C5" s="12" t="n">
        <v>5000</v>
      </c>
      <c r="D5" s="13" t="n">
        <v>155000</v>
      </c>
      <c r="E5" s="14" t="n">
        <v>0</v>
      </c>
      <c r="F5" s="15" t="n">
        <v>160000</v>
      </c>
      <c r="G5" s="14" t="n">
        <v>4999</v>
      </c>
      <c r="H5" s="13" t="n">
        <v>155001</v>
      </c>
    </row>
    <row r="6" customFormat="false" ht="15" hidden="false" customHeight="false" outlineLevel="0" collapsed="false">
      <c r="A6" s="8"/>
      <c r="B6" s="2" t="n">
        <v>2</v>
      </c>
      <c r="C6" s="12" t="n">
        <v>7000</v>
      </c>
      <c r="D6" s="13" t="n">
        <v>153000</v>
      </c>
      <c r="E6" s="14" t="n">
        <v>0</v>
      </c>
      <c r="F6" s="15" t="n">
        <v>160000</v>
      </c>
      <c r="G6" s="14" t="n">
        <v>7014</v>
      </c>
      <c r="H6" s="13" t="n">
        <v>152986</v>
      </c>
    </row>
    <row r="7" customFormat="false" ht="15" hidden="false" customHeight="false" outlineLevel="0" collapsed="false">
      <c r="A7" s="8"/>
      <c r="B7" s="2" t="n">
        <v>3</v>
      </c>
      <c r="C7" s="12" t="n">
        <v>8600</v>
      </c>
      <c r="D7" s="13" t="n">
        <v>151400</v>
      </c>
      <c r="E7" s="14" t="n">
        <v>0</v>
      </c>
      <c r="F7" s="15" t="n">
        <v>160000</v>
      </c>
      <c r="G7" s="14" t="n">
        <v>8599</v>
      </c>
      <c r="H7" s="13" t="n">
        <v>151401</v>
      </c>
    </row>
    <row r="8" customFormat="false" ht="15" hidden="false" customHeight="false" outlineLevel="0" collapsed="false">
      <c r="A8" s="8"/>
      <c r="B8" s="2" t="n">
        <v>4</v>
      </c>
      <c r="C8" s="12" t="n">
        <v>9810</v>
      </c>
      <c r="D8" s="13" t="n">
        <v>150190</v>
      </c>
      <c r="E8" s="14" t="n">
        <v>1</v>
      </c>
      <c r="F8" s="15" t="n">
        <v>159999</v>
      </c>
      <c r="G8" s="14" t="n">
        <v>9810</v>
      </c>
      <c r="H8" s="13" t="n">
        <v>150190</v>
      </c>
    </row>
    <row r="9" customFormat="false" ht="15" hidden="false" customHeight="false" outlineLevel="0" collapsed="false">
      <c r="A9" s="8"/>
      <c r="B9" s="2" t="n">
        <v>5</v>
      </c>
      <c r="C9" s="12" t="n">
        <v>11000</v>
      </c>
      <c r="D9" s="13" t="n">
        <v>149000</v>
      </c>
      <c r="E9" s="14" t="n">
        <v>2</v>
      </c>
      <c r="F9" s="15" t="n">
        <v>159998</v>
      </c>
      <c r="G9" s="14" t="n">
        <v>11002</v>
      </c>
      <c r="H9" s="13" t="n">
        <v>148998</v>
      </c>
    </row>
    <row r="10" customFormat="false" ht="15" hidden="false" customHeight="false" outlineLevel="0" collapsed="false">
      <c r="A10" s="8"/>
      <c r="B10" s="2" t="n">
        <v>6</v>
      </c>
      <c r="C10" s="12" t="n">
        <v>12200</v>
      </c>
      <c r="D10" s="13" t="n">
        <v>147800</v>
      </c>
      <c r="E10" s="14" t="n">
        <v>82</v>
      </c>
      <c r="F10" s="15" t="n">
        <v>159918</v>
      </c>
      <c r="G10" s="14" t="n">
        <v>12201</v>
      </c>
      <c r="H10" s="13" t="n">
        <v>147799</v>
      </c>
    </row>
    <row r="11" customFormat="false" ht="15" hidden="false" customHeight="false" outlineLevel="0" collapsed="false">
      <c r="A11" s="8"/>
      <c r="B11" s="2" t="n">
        <v>7</v>
      </c>
      <c r="C11" s="12" t="n">
        <v>12999</v>
      </c>
      <c r="D11" s="13" t="n">
        <v>147001</v>
      </c>
      <c r="E11" s="14" t="n">
        <v>2</v>
      </c>
      <c r="F11" s="15" t="n">
        <v>159998</v>
      </c>
      <c r="G11" s="14" t="n">
        <v>13001</v>
      </c>
      <c r="H11" s="13" t="n">
        <v>146999</v>
      </c>
    </row>
    <row r="12" customFormat="false" ht="15" hidden="false" customHeight="false" outlineLevel="0" collapsed="false">
      <c r="A12" s="8"/>
      <c r="B12" s="2" t="n">
        <v>8</v>
      </c>
      <c r="C12" s="12" t="n">
        <v>13800</v>
      </c>
      <c r="D12" s="13" t="n">
        <v>146200</v>
      </c>
      <c r="E12" s="14" t="n">
        <v>7</v>
      </c>
      <c r="F12" s="15" t="n">
        <v>159993</v>
      </c>
      <c r="G12" s="14" t="n">
        <v>13802</v>
      </c>
      <c r="H12" s="13" t="n">
        <v>146198</v>
      </c>
    </row>
    <row r="13" customFormat="false" ht="15" hidden="false" customHeight="false" outlineLevel="0" collapsed="false">
      <c r="A13" s="8"/>
      <c r="B13" s="2" t="n">
        <v>9</v>
      </c>
      <c r="C13" s="12" t="n">
        <v>14600</v>
      </c>
      <c r="D13" s="13" t="n">
        <v>145400</v>
      </c>
      <c r="E13" s="14" t="n">
        <v>20</v>
      </c>
      <c r="F13" s="15" t="n">
        <v>159980</v>
      </c>
      <c r="G13" s="14" t="n">
        <v>14601</v>
      </c>
      <c r="H13" s="13" t="n">
        <v>145399</v>
      </c>
    </row>
    <row r="14" customFormat="false" ht="15" hidden="false" customHeight="false" outlineLevel="0" collapsed="false">
      <c r="A14" s="8"/>
      <c r="B14" s="2" t="n">
        <v>10</v>
      </c>
      <c r="C14" s="12" t="n">
        <v>15400</v>
      </c>
      <c r="D14" s="13" t="n">
        <v>144600</v>
      </c>
      <c r="E14" s="14" t="n">
        <v>8</v>
      </c>
      <c r="F14" s="15" t="n">
        <v>159992</v>
      </c>
      <c r="G14" s="14" t="n">
        <v>15402</v>
      </c>
      <c r="H14" s="13" t="n">
        <v>144598</v>
      </c>
    </row>
    <row r="15" customFormat="false" ht="15" hidden="false" customHeight="false" outlineLevel="0" collapsed="false">
      <c r="A15" s="8"/>
      <c r="B15" s="2" t="n">
        <v>11</v>
      </c>
      <c r="C15" s="12" t="n">
        <v>16200</v>
      </c>
      <c r="D15" s="13" t="n">
        <v>143800</v>
      </c>
      <c r="E15" s="14" t="n">
        <v>7</v>
      </c>
      <c r="F15" s="15" t="n">
        <v>159993</v>
      </c>
      <c r="G15" s="14" t="n">
        <v>16201</v>
      </c>
      <c r="H15" s="13" t="n">
        <v>143799</v>
      </c>
    </row>
    <row r="16" customFormat="false" ht="15" hidden="false" customHeight="false" outlineLevel="0" collapsed="false">
      <c r="A16" s="8"/>
      <c r="B16" s="2" t="n">
        <v>12</v>
      </c>
      <c r="C16" s="12" t="n">
        <v>16999</v>
      </c>
      <c r="D16" s="13" t="n">
        <v>143001</v>
      </c>
      <c r="E16" s="14" t="n">
        <v>6</v>
      </c>
      <c r="F16" s="15" t="n">
        <v>159994</v>
      </c>
      <c r="G16" s="14" t="n">
        <v>17001</v>
      </c>
      <c r="H16" s="13" t="n">
        <v>142999</v>
      </c>
    </row>
    <row r="17" customFormat="false" ht="15" hidden="false" customHeight="false" outlineLevel="0" collapsed="false">
      <c r="A17" s="8"/>
      <c r="B17" s="2" t="n">
        <v>13</v>
      </c>
      <c r="C17" s="12" t="n">
        <v>17412</v>
      </c>
      <c r="D17" s="13" t="n">
        <v>142588</v>
      </c>
      <c r="E17" s="14" t="n">
        <v>14</v>
      </c>
      <c r="F17" s="15" t="n">
        <v>159986</v>
      </c>
      <c r="G17" s="14" t="n">
        <v>17414</v>
      </c>
      <c r="H17" s="13" t="n">
        <v>142586</v>
      </c>
    </row>
    <row r="18" customFormat="false" ht="15" hidden="false" customHeight="false" outlineLevel="0" collapsed="false">
      <c r="A18" s="8"/>
      <c r="B18" s="2" t="n">
        <v>14</v>
      </c>
      <c r="C18" s="12" t="n">
        <v>18200</v>
      </c>
      <c r="D18" s="13" t="n">
        <v>141800</v>
      </c>
      <c r="E18" s="14" t="n">
        <v>2</v>
      </c>
      <c r="F18" s="15" t="n">
        <v>159998</v>
      </c>
      <c r="G18" s="14" t="n">
        <v>18201</v>
      </c>
      <c r="H18" s="13" t="n">
        <v>141799</v>
      </c>
    </row>
    <row r="19" customFormat="false" ht="15" hidden="false" customHeight="false" outlineLevel="0" collapsed="false">
      <c r="A19" s="8"/>
      <c r="B19" s="2" t="n">
        <v>15</v>
      </c>
      <c r="C19" s="12" t="n">
        <v>18600</v>
      </c>
      <c r="D19" s="13" t="n">
        <v>141400</v>
      </c>
      <c r="E19" s="14" t="n">
        <v>2</v>
      </c>
      <c r="F19" s="15" t="n">
        <v>159998</v>
      </c>
      <c r="G19" s="14" t="n">
        <v>18601</v>
      </c>
      <c r="H19" s="13" t="n">
        <v>141399</v>
      </c>
    </row>
    <row r="20" customFormat="false" ht="15" hidden="false" customHeight="false" outlineLevel="0" collapsed="false">
      <c r="A20" s="8"/>
      <c r="B20" s="2" t="n">
        <v>16</v>
      </c>
      <c r="C20" s="12" t="n">
        <v>19400</v>
      </c>
      <c r="D20" s="13" t="n">
        <v>140600</v>
      </c>
      <c r="E20" s="14" t="n">
        <v>853</v>
      </c>
      <c r="F20" s="15" t="n">
        <v>159147</v>
      </c>
      <c r="G20" s="14" t="n">
        <v>19402</v>
      </c>
      <c r="H20" s="13" t="n">
        <v>140598</v>
      </c>
    </row>
    <row r="21" customFormat="false" ht="15" hidden="false" customHeight="false" outlineLevel="0" collapsed="false">
      <c r="A21" s="8"/>
      <c r="B21" s="2" t="n">
        <v>17</v>
      </c>
      <c r="C21" s="12" t="n">
        <v>19800</v>
      </c>
      <c r="D21" s="13" t="n">
        <v>140200</v>
      </c>
      <c r="E21" s="14" t="n">
        <v>24</v>
      </c>
      <c r="F21" s="15" t="n">
        <v>159976</v>
      </c>
      <c r="G21" s="14" t="n">
        <v>19803</v>
      </c>
      <c r="H21" s="13" t="n">
        <v>140197</v>
      </c>
    </row>
    <row r="22" customFormat="false" ht="15" hidden="false" customHeight="false" outlineLevel="0" collapsed="false">
      <c r="A22" s="8"/>
      <c r="B22" s="2" t="n">
        <v>18</v>
      </c>
      <c r="C22" s="12" t="n">
        <v>20200</v>
      </c>
      <c r="D22" s="13" t="n">
        <v>139800</v>
      </c>
      <c r="E22" s="14" t="n">
        <v>11</v>
      </c>
      <c r="F22" s="15" t="n">
        <v>159989</v>
      </c>
      <c r="G22" s="14" t="n">
        <v>20202</v>
      </c>
      <c r="H22" s="13" t="n">
        <v>139798</v>
      </c>
    </row>
    <row r="23" customFormat="false" ht="15" hidden="false" customHeight="false" outlineLevel="0" collapsed="false">
      <c r="A23" s="8"/>
      <c r="B23" s="2" t="n">
        <v>19</v>
      </c>
      <c r="C23" s="12" t="n">
        <v>20600</v>
      </c>
      <c r="D23" s="13" t="n">
        <v>139400</v>
      </c>
      <c r="E23" s="14" t="n">
        <v>8</v>
      </c>
      <c r="F23" s="15" t="n">
        <v>159992</v>
      </c>
      <c r="G23" s="14" t="n">
        <v>20603</v>
      </c>
      <c r="H23" s="13" t="n">
        <v>139397</v>
      </c>
    </row>
    <row r="24" customFormat="false" ht="15" hidden="false" customHeight="false" outlineLevel="0" collapsed="false">
      <c r="A24" s="8"/>
      <c r="B24" s="2" t="n">
        <v>20</v>
      </c>
      <c r="C24" s="12" t="n">
        <v>21000</v>
      </c>
      <c r="D24" s="13" t="n">
        <v>139000</v>
      </c>
      <c r="E24" s="14" t="n">
        <v>8</v>
      </c>
      <c r="F24" s="15" t="n">
        <v>159992</v>
      </c>
      <c r="G24" s="14" t="n">
        <v>21001</v>
      </c>
      <c r="H24" s="13" t="n">
        <v>138999</v>
      </c>
    </row>
    <row r="25" customFormat="false" ht="15" hidden="false" customHeight="false" outlineLevel="0" collapsed="false">
      <c r="A25" s="8"/>
      <c r="B25" s="2" t="n">
        <v>21</v>
      </c>
      <c r="C25" s="12" t="n">
        <v>21799</v>
      </c>
      <c r="D25" s="13" t="n">
        <v>138201</v>
      </c>
      <c r="E25" s="14" t="n">
        <v>1088</v>
      </c>
      <c r="F25" s="15" t="n">
        <v>158912</v>
      </c>
      <c r="G25" s="14" t="n">
        <v>21799</v>
      </c>
      <c r="H25" s="13" t="n">
        <v>138201</v>
      </c>
    </row>
    <row r="26" customFormat="false" ht="15" hidden="false" customHeight="false" outlineLevel="0" collapsed="false">
      <c r="A26" s="8"/>
      <c r="B26" s="2" t="n">
        <v>22</v>
      </c>
      <c r="C26" s="12" t="n">
        <v>22200</v>
      </c>
      <c r="D26" s="13" t="n">
        <v>137800</v>
      </c>
      <c r="E26" s="14" t="n">
        <v>20</v>
      </c>
      <c r="F26" s="15" t="n">
        <v>159980</v>
      </c>
      <c r="G26" s="14" t="n">
        <v>22200</v>
      </c>
      <c r="H26" s="13" t="n">
        <v>137800</v>
      </c>
    </row>
    <row r="27" customFormat="false" ht="15" hidden="false" customHeight="false" outlineLevel="0" collapsed="false">
      <c r="A27" s="8"/>
      <c r="B27" s="2" t="n">
        <v>23</v>
      </c>
      <c r="C27" s="12" t="n">
        <v>22600</v>
      </c>
      <c r="D27" s="13" t="n">
        <v>137400</v>
      </c>
      <c r="E27" s="14" t="n">
        <v>65</v>
      </c>
      <c r="F27" s="15" t="n">
        <v>159935</v>
      </c>
      <c r="G27" s="14" t="n">
        <v>22601</v>
      </c>
      <c r="H27" s="13" t="n">
        <v>137399</v>
      </c>
    </row>
    <row r="28" customFormat="false" ht="15" hidden="false" customHeight="false" outlineLevel="0" collapsed="false">
      <c r="A28" s="8"/>
      <c r="B28" s="2" t="n">
        <v>24</v>
      </c>
      <c r="C28" s="12" t="n">
        <v>23000</v>
      </c>
      <c r="D28" s="13" t="n">
        <v>137000</v>
      </c>
      <c r="E28" s="14" t="n">
        <v>1811</v>
      </c>
      <c r="F28" s="15" t="n">
        <v>158189</v>
      </c>
      <c r="G28" s="14" t="n">
        <v>23001</v>
      </c>
      <c r="H28" s="13" t="n">
        <v>136999</v>
      </c>
    </row>
    <row r="29" customFormat="false" ht="15" hidden="false" customHeight="false" outlineLevel="0" collapsed="false">
      <c r="A29" s="8"/>
      <c r="B29" s="2" t="n">
        <v>25</v>
      </c>
      <c r="C29" s="12" t="n">
        <v>23400</v>
      </c>
      <c r="D29" s="13" t="n">
        <v>136600</v>
      </c>
      <c r="E29" s="14" t="n">
        <v>45</v>
      </c>
      <c r="F29" s="15" t="n">
        <v>159955</v>
      </c>
      <c r="G29" s="14" t="n">
        <v>23400</v>
      </c>
      <c r="H29" s="13" t="n">
        <v>136600</v>
      </c>
    </row>
    <row r="30" customFormat="false" ht="15" hidden="false" customHeight="false" outlineLevel="0" collapsed="false">
      <c r="A30" s="8"/>
      <c r="B30" s="2" t="n">
        <v>26</v>
      </c>
      <c r="C30" s="12" t="n">
        <v>23800</v>
      </c>
      <c r="D30" s="13" t="n">
        <v>136200</v>
      </c>
      <c r="E30" s="14" t="n">
        <v>1095</v>
      </c>
      <c r="F30" s="15" t="n">
        <v>158905</v>
      </c>
      <c r="G30" s="14" t="n">
        <v>23802</v>
      </c>
      <c r="H30" s="13" t="n">
        <v>136198</v>
      </c>
    </row>
    <row r="31" customFormat="false" ht="15" hidden="false" customHeight="false" outlineLevel="0" collapsed="false">
      <c r="A31" s="8"/>
      <c r="B31" s="2" t="n">
        <v>27</v>
      </c>
      <c r="C31" s="12" t="n">
        <v>23800</v>
      </c>
      <c r="D31" s="13" t="n">
        <v>136200</v>
      </c>
      <c r="E31" s="14" t="n">
        <v>953</v>
      </c>
      <c r="F31" s="15" t="n">
        <v>159047</v>
      </c>
      <c r="G31" s="14" t="n">
        <v>23801</v>
      </c>
      <c r="H31" s="13" t="n">
        <v>136199</v>
      </c>
    </row>
    <row r="32" customFormat="false" ht="15" hidden="false" customHeight="false" outlineLevel="0" collapsed="false">
      <c r="A32" s="8"/>
      <c r="B32" s="2" t="n">
        <v>28</v>
      </c>
      <c r="C32" s="12" t="n">
        <v>24199</v>
      </c>
      <c r="D32" s="13" t="n">
        <v>135801</v>
      </c>
      <c r="E32" s="14" t="n">
        <v>30</v>
      </c>
      <c r="F32" s="15" t="n">
        <v>159970</v>
      </c>
      <c r="G32" s="14" t="n">
        <v>24199</v>
      </c>
      <c r="H32" s="13" t="n">
        <v>135801</v>
      </c>
    </row>
    <row r="33" customFormat="false" ht="15" hidden="false" customHeight="false" outlineLevel="0" collapsed="false">
      <c r="A33" s="8"/>
      <c r="B33" s="2" t="n">
        <v>29</v>
      </c>
      <c r="C33" s="12" t="n">
        <v>24600</v>
      </c>
      <c r="D33" s="13" t="n">
        <v>135400</v>
      </c>
      <c r="E33" s="14" t="n">
        <v>7</v>
      </c>
      <c r="F33" s="15" t="n">
        <v>159993</v>
      </c>
      <c r="G33" s="14" t="n">
        <v>24601</v>
      </c>
      <c r="H33" s="13" t="n">
        <v>135399</v>
      </c>
    </row>
    <row r="34" customFormat="false" ht="15" hidden="false" customHeight="false" outlineLevel="0" collapsed="false">
      <c r="A34" s="8"/>
      <c r="B34" s="2" t="n">
        <v>30</v>
      </c>
      <c r="C34" s="12" t="n">
        <v>25014</v>
      </c>
      <c r="D34" s="13" t="n">
        <v>134986</v>
      </c>
      <c r="E34" s="14" t="n">
        <v>4</v>
      </c>
      <c r="F34" s="15" t="n">
        <v>159996</v>
      </c>
      <c r="G34" s="14" t="n">
        <v>25016</v>
      </c>
      <c r="H34" s="13" t="n">
        <v>134984</v>
      </c>
    </row>
    <row r="35" customFormat="false" ht="15" hidden="false" customHeight="false" outlineLevel="0" collapsed="false">
      <c r="A35" s="8"/>
      <c r="B35" s="2" t="n">
        <v>31</v>
      </c>
      <c r="C35" s="12" t="n">
        <v>25400</v>
      </c>
      <c r="D35" s="13" t="n">
        <v>134600</v>
      </c>
      <c r="E35" s="14" t="n">
        <v>806</v>
      </c>
      <c r="F35" s="15" t="n">
        <v>159194</v>
      </c>
      <c r="G35" s="14" t="n">
        <v>25401</v>
      </c>
      <c r="H35" s="13" t="n">
        <v>134599</v>
      </c>
    </row>
    <row r="36" customFormat="false" ht="15" hidden="false" customHeight="false" outlineLevel="0" collapsed="false">
      <c r="A36" s="8"/>
      <c r="B36" s="2" t="n">
        <v>32</v>
      </c>
      <c r="C36" s="12" t="n">
        <v>25800</v>
      </c>
      <c r="D36" s="13" t="n">
        <v>134200</v>
      </c>
      <c r="E36" s="14" t="n">
        <v>312</v>
      </c>
      <c r="F36" s="15" t="n">
        <v>159688</v>
      </c>
      <c r="G36" s="14" t="n">
        <v>25801</v>
      </c>
      <c r="H36" s="13" t="n">
        <v>134199</v>
      </c>
    </row>
    <row r="37" customFormat="false" ht="15" hidden="false" customHeight="false" outlineLevel="0" collapsed="false">
      <c r="A37" s="8"/>
      <c r="B37" s="2" t="n">
        <v>33</v>
      </c>
      <c r="C37" s="12" t="n">
        <v>25800</v>
      </c>
      <c r="D37" s="13" t="n">
        <v>134200</v>
      </c>
      <c r="E37" s="14" t="n">
        <v>469</v>
      </c>
      <c r="F37" s="15" t="n">
        <v>159531</v>
      </c>
      <c r="G37" s="14" t="n">
        <v>25801</v>
      </c>
      <c r="H37" s="13" t="n">
        <v>134199</v>
      </c>
    </row>
    <row r="38" customFormat="false" ht="15" hidden="false" customHeight="false" outlineLevel="0" collapsed="false">
      <c r="A38" s="8"/>
      <c r="B38" s="2" t="n">
        <v>34</v>
      </c>
      <c r="C38" s="12" t="n">
        <v>26200</v>
      </c>
      <c r="D38" s="13" t="n">
        <v>133800</v>
      </c>
      <c r="E38" s="14" t="n">
        <v>22</v>
      </c>
      <c r="F38" s="15" t="n">
        <v>159978</v>
      </c>
      <c r="G38" s="14" t="n">
        <v>26200</v>
      </c>
      <c r="H38" s="13" t="n">
        <v>133800</v>
      </c>
    </row>
    <row r="39" customFormat="false" ht="15" hidden="false" customHeight="false" outlineLevel="0" collapsed="false">
      <c r="A39" s="8"/>
      <c r="B39" s="2" t="n">
        <v>35</v>
      </c>
      <c r="C39" s="12" t="n">
        <v>26600</v>
      </c>
      <c r="D39" s="13" t="n">
        <v>133400</v>
      </c>
      <c r="E39" s="14" t="n">
        <v>69</v>
      </c>
      <c r="F39" s="15" t="n">
        <v>159931</v>
      </c>
      <c r="G39" s="14" t="n">
        <v>26602</v>
      </c>
      <c r="H39" s="13" t="n">
        <v>133398</v>
      </c>
    </row>
    <row r="40" customFormat="false" ht="15" hidden="false" customHeight="false" outlineLevel="0" collapsed="false">
      <c r="A40" s="8"/>
      <c r="B40" s="2" t="n">
        <v>36</v>
      </c>
      <c r="C40" s="12" t="n">
        <v>26600</v>
      </c>
      <c r="D40" s="13" t="n">
        <v>133400</v>
      </c>
      <c r="E40" s="14" t="n">
        <v>12</v>
      </c>
      <c r="F40" s="15" t="n">
        <v>159988</v>
      </c>
      <c r="G40" s="14" t="n">
        <v>26602</v>
      </c>
      <c r="H40" s="13" t="n">
        <v>133398</v>
      </c>
    </row>
    <row r="41" customFormat="false" ht="15" hidden="false" customHeight="false" outlineLevel="0" collapsed="false">
      <c r="A41" s="8"/>
      <c r="B41" s="2" t="n">
        <v>37</v>
      </c>
      <c r="C41" s="12" t="n">
        <v>27009</v>
      </c>
      <c r="D41" s="13" t="n">
        <v>132991</v>
      </c>
      <c r="E41" s="14" t="n">
        <v>61</v>
      </c>
      <c r="F41" s="15" t="n">
        <v>159939</v>
      </c>
      <c r="G41" s="14" t="n">
        <v>27010</v>
      </c>
      <c r="H41" s="13" t="n">
        <v>132990</v>
      </c>
    </row>
    <row r="42" customFormat="false" ht="15" hidden="false" customHeight="false" outlineLevel="0" collapsed="false">
      <c r="A42" s="8"/>
      <c r="B42" s="2" t="n">
        <v>38</v>
      </c>
      <c r="C42" s="12" t="n">
        <v>27399</v>
      </c>
      <c r="D42" s="13" t="n">
        <v>132601</v>
      </c>
      <c r="E42" s="14" t="n">
        <v>624</v>
      </c>
      <c r="F42" s="15" t="n">
        <v>159376</v>
      </c>
      <c r="G42" s="14" t="n">
        <v>27401</v>
      </c>
      <c r="H42" s="13" t="n">
        <v>132599</v>
      </c>
    </row>
    <row r="43" customFormat="false" ht="15" hidden="false" customHeight="false" outlineLevel="0" collapsed="false">
      <c r="A43" s="8"/>
      <c r="B43" s="2" t="n">
        <v>39</v>
      </c>
      <c r="C43" s="12" t="n">
        <v>27400</v>
      </c>
      <c r="D43" s="13" t="n">
        <v>132600</v>
      </c>
      <c r="E43" s="14" t="n">
        <v>45</v>
      </c>
      <c r="F43" s="15" t="n">
        <v>159955</v>
      </c>
      <c r="G43" s="14" t="n">
        <v>27401</v>
      </c>
      <c r="H43" s="13" t="n">
        <v>132599</v>
      </c>
    </row>
    <row r="44" customFormat="false" ht="15" hidden="false" customHeight="false" outlineLevel="0" collapsed="false">
      <c r="A44" s="8"/>
      <c r="B44" s="2" t="n">
        <v>40</v>
      </c>
      <c r="C44" s="12" t="n">
        <v>27800</v>
      </c>
      <c r="D44" s="13" t="n">
        <v>132200</v>
      </c>
      <c r="E44" s="14" t="n">
        <v>24</v>
      </c>
      <c r="F44" s="15" t="n">
        <v>159976</v>
      </c>
      <c r="G44" s="14" t="n">
        <v>27802</v>
      </c>
      <c r="H44" s="13" t="n">
        <v>132198</v>
      </c>
    </row>
    <row r="45" customFormat="false" ht="15" hidden="false" customHeight="false" outlineLevel="0" collapsed="false">
      <c r="A45" s="8"/>
      <c r="B45" s="2" t="n">
        <v>41</v>
      </c>
      <c r="C45" s="12" t="n">
        <v>27800</v>
      </c>
      <c r="D45" s="13" t="n">
        <v>132200</v>
      </c>
      <c r="E45" s="14" t="n">
        <v>47</v>
      </c>
      <c r="F45" s="15" t="n">
        <v>159953</v>
      </c>
      <c r="G45" s="14" t="n">
        <v>27802</v>
      </c>
      <c r="H45" s="13" t="n">
        <v>132198</v>
      </c>
    </row>
    <row r="46" customFormat="false" ht="15" hidden="false" customHeight="false" outlineLevel="0" collapsed="false">
      <c r="A46" s="8"/>
      <c r="B46" s="2" t="n">
        <v>42</v>
      </c>
      <c r="C46" s="12" t="n">
        <v>28200</v>
      </c>
      <c r="D46" s="13" t="n">
        <v>131800</v>
      </c>
      <c r="E46" s="14" t="n">
        <v>11</v>
      </c>
      <c r="F46" s="15" t="n">
        <v>159989</v>
      </c>
      <c r="G46" s="14" t="n">
        <v>28202</v>
      </c>
      <c r="H46" s="13" t="n">
        <v>131798</v>
      </c>
    </row>
    <row r="47" customFormat="false" ht="15" hidden="false" customHeight="false" outlineLevel="0" collapsed="false">
      <c r="A47" s="8"/>
      <c r="B47" s="2" t="n">
        <v>43</v>
      </c>
      <c r="C47" s="12" t="n">
        <v>28200</v>
      </c>
      <c r="D47" s="13" t="n">
        <v>131800</v>
      </c>
      <c r="E47" s="14" t="n">
        <v>21</v>
      </c>
      <c r="F47" s="15" t="n">
        <v>159979</v>
      </c>
      <c r="G47" s="14" t="n">
        <v>28202</v>
      </c>
      <c r="H47" s="13" t="n">
        <v>131798</v>
      </c>
    </row>
    <row r="48" customFormat="false" ht="15" hidden="false" customHeight="false" outlineLevel="0" collapsed="false">
      <c r="A48" s="8"/>
      <c r="B48" s="2" t="n">
        <v>44</v>
      </c>
      <c r="C48" s="12" t="n">
        <v>28600</v>
      </c>
      <c r="D48" s="13" t="n">
        <v>131400</v>
      </c>
      <c r="E48" s="14" t="n">
        <v>4</v>
      </c>
      <c r="F48" s="15" t="n">
        <v>159996</v>
      </c>
      <c r="G48" s="14" t="n">
        <v>28601</v>
      </c>
      <c r="H48" s="13" t="n">
        <v>131399</v>
      </c>
    </row>
    <row r="49" customFormat="false" ht="15" hidden="false" customHeight="false" outlineLevel="0" collapsed="false">
      <c r="A49" s="8"/>
      <c r="B49" s="2" t="n">
        <v>45</v>
      </c>
      <c r="C49" s="12" t="n">
        <v>28599</v>
      </c>
      <c r="D49" s="13" t="n">
        <v>131401</v>
      </c>
      <c r="E49" s="14" t="n">
        <v>12</v>
      </c>
      <c r="F49" s="15" t="n">
        <v>159988</v>
      </c>
      <c r="G49" s="14" t="n">
        <v>28601</v>
      </c>
      <c r="H49" s="13" t="n">
        <v>131399</v>
      </c>
    </row>
    <row r="50" customFormat="false" ht="15" hidden="false" customHeight="false" outlineLevel="0" collapsed="false">
      <c r="A50" s="8"/>
      <c r="B50" s="2" t="n">
        <v>46</v>
      </c>
      <c r="C50" s="12" t="n">
        <v>29000</v>
      </c>
      <c r="D50" s="13" t="n">
        <v>131000</v>
      </c>
      <c r="E50" s="14" t="n">
        <v>7</v>
      </c>
      <c r="F50" s="15" t="n">
        <v>159993</v>
      </c>
      <c r="G50" s="14" t="n">
        <v>29002</v>
      </c>
      <c r="H50" s="13" t="n">
        <v>130998</v>
      </c>
    </row>
    <row r="51" customFormat="false" ht="15" hidden="false" customHeight="false" outlineLevel="0" collapsed="false">
      <c r="A51" s="8"/>
      <c r="B51" s="2" t="n">
        <v>47</v>
      </c>
      <c r="C51" s="12" t="n">
        <v>29000</v>
      </c>
      <c r="D51" s="13" t="n">
        <v>131000</v>
      </c>
      <c r="E51" s="14" t="n">
        <v>6</v>
      </c>
      <c r="F51" s="15" t="n">
        <v>159994</v>
      </c>
      <c r="G51" s="14" t="n">
        <v>29002</v>
      </c>
      <c r="H51" s="13" t="n">
        <v>130998</v>
      </c>
    </row>
    <row r="52" customFormat="false" ht="15" hidden="false" customHeight="false" outlineLevel="0" collapsed="false">
      <c r="A52" s="8"/>
      <c r="B52" s="2" t="n">
        <v>48</v>
      </c>
      <c r="C52" s="12" t="n">
        <v>29400</v>
      </c>
      <c r="D52" s="13" t="n">
        <v>130600</v>
      </c>
      <c r="E52" s="14" t="n">
        <v>2</v>
      </c>
      <c r="F52" s="15" t="n">
        <v>159998</v>
      </c>
      <c r="G52" s="14" t="n">
        <v>29402</v>
      </c>
      <c r="H52" s="13" t="n">
        <v>130598</v>
      </c>
    </row>
    <row r="53" customFormat="false" ht="15" hidden="false" customHeight="false" outlineLevel="0" collapsed="false">
      <c r="A53" s="8"/>
      <c r="B53" s="2" t="n">
        <v>49</v>
      </c>
      <c r="C53" s="12" t="n">
        <v>29400</v>
      </c>
      <c r="D53" s="13" t="n">
        <v>130600</v>
      </c>
      <c r="E53" s="14" t="n">
        <v>498</v>
      </c>
      <c r="F53" s="15" t="n">
        <v>159502</v>
      </c>
      <c r="G53" s="14" t="n">
        <v>29402</v>
      </c>
      <c r="H53" s="13" t="n">
        <v>130598</v>
      </c>
    </row>
    <row r="54" customFormat="false" ht="15" hidden="false" customHeight="false" outlineLevel="0" collapsed="false">
      <c r="A54" s="8"/>
      <c r="B54" s="2" t="n">
        <v>50</v>
      </c>
      <c r="C54" s="12" t="n">
        <v>29800</v>
      </c>
      <c r="D54" s="13" t="n">
        <v>130200</v>
      </c>
      <c r="E54" s="14" t="n">
        <v>6</v>
      </c>
      <c r="F54" s="15" t="n">
        <v>159994</v>
      </c>
      <c r="G54" s="14" t="n">
        <v>29801</v>
      </c>
      <c r="H54" s="13" t="n">
        <v>130199</v>
      </c>
    </row>
    <row r="55" customFormat="false" ht="15" hidden="false" customHeight="false" outlineLevel="0" collapsed="false">
      <c r="A55" s="8"/>
      <c r="B55" s="2" t="n">
        <v>51</v>
      </c>
      <c r="C55" s="12" t="n">
        <v>29800</v>
      </c>
      <c r="D55" s="13" t="n">
        <v>130200</v>
      </c>
      <c r="E55" s="14" t="n">
        <v>106</v>
      </c>
      <c r="F55" s="15" t="n">
        <v>159894</v>
      </c>
      <c r="G55" s="14" t="n">
        <v>29802</v>
      </c>
      <c r="H55" s="13" t="n">
        <v>130198</v>
      </c>
    </row>
    <row r="56" customFormat="false" ht="15" hidden="false" customHeight="false" outlineLevel="0" collapsed="false">
      <c r="A56" s="8"/>
      <c r="B56" s="2" t="n">
        <v>52</v>
      </c>
      <c r="C56" s="12" t="n">
        <v>29998</v>
      </c>
      <c r="D56" s="13" t="n">
        <v>130002</v>
      </c>
      <c r="E56" s="14" t="n">
        <v>118</v>
      </c>
      <c r="F56" s="15" t="n">
        <v>159882</v>
      </c>
      <c r="G56" s="14" t="n">
        <v>29998</v>
      </c>
      <c r="H56" s="13" t="n">
        <v>130002</v>
      </c>
    </row>
    <row r="57" customFormat="false" ht="15" hidden="false" customHeight="false" outlineLevel="0" collapsed="false">
      <c r="A57" s="8"/>
      <c r="B57" s="2" t="n">
        <v>53</v>
      </c>
      <c r="C57" s="12" t="n">
        <v>30200</v>
      </c>
      <c r="D57" s="13" t="n">
        <v>129800</v>
      </c>
      <c r="E57" s="14" t="n">
        <v>4</v>
      </c>
      <c r="F57" s="15" t="n">
        <v>159996</v>
      </c>
      <c r="G57" s="14" t="n">
        <v>30201</v>
      </c>
      <c r="H57" s="13" t="n">
        <v>129799</v>
      </c>
    </row>
    <row r="58" customFormat="false" ht="15" hidden="false" customHeight="false" outlineLevel="0" collapsed="false">
      <c r="A58" s="8"/>
      <c r="B58" s="2" t="n">
        <v>54</v>
      </c>
      <c r="C58" s="12" t="n">
        <v>30216</v>
      </c>
      <c r="D58" s="13" t="n">
        <v>129784</v>
      </c>
      <c r="E58" s="14" t="n">
        <v>50</v>
      </c>
      <c r="F58" s="15" t="n">
        <v>159950</v>
      </c>
      <c r="G58" s="14" t="n">
        <v>30219</v>
      </c>
      <c r="H58" s="13" t="n">
        <v>129781</v>
      </c>
    </row>
    <row r="59" customFormat="false" ht="15" hidden="false" customHeight="false" outlineLevel="0" collapsed="false">
      <c r="A59" s="8"/>
      <c r="B59" s="2" t="n">
        <v>55</v>
      </c>
      <c r="C59" s="12" t="n">
        <v>30200</v>
      </c>
      <c r="D59" s="13" t="n">
        <v>129800</v>
      </c>
      <c r="E59" s="14" t="n">
        <v>224</v>
      </c>
      <c r="F59" s="15" t="n">
        <v>159776</v>
      </c>
      <c r="G59" s="14" t="n">
        <v>30202</v>
      </c>
      <c r="H59" s="13" t="n">
        <v>129798</v>
      </c>
    </row>
    <row r="60" customFormat="false" ht="15" hidden="false" customHeight="false" outlineLevel="0" collapsed="false">
      <c r="A60" s="8"/>
      <c r="B60" s="2" t="n">
        <v>56</v>
      </c>
      <c r="C60" s="12" t="n">
        <v>30600</v>
      </c>
      <c r="D60" s="13" t="n">
        <v>129400</v>
      </c>
      <c r="E60" s="14" t="n">
        <v>6</v>
      </c>
      <c r="F60" s="15" t="n">
        <v>159994</v>
      </c>
      <c r="G60" s="14" t="n">
        <v>30602</v>
      </c>
      <c r="H60" s="13" t="n">
        <v>129398</v>
      </c>
    </row>
    <row r="61" customFormat="false" ht="15" hidden="false" customHeight="false" outlineLevel="0" collapsed="false">
      <c r="A61" s="8"/>
      <c r="B61" s="2" t="n">
        <v>57</v>
      </c>
      <c r="C61" s="12" t="n">
        <v>30599</v>
      </c>
      <c r="D61" s="13" t="n">
        <v>129401</v>
      </c>
      <c r="E61" s="14" t="n">
        <v>17</v>
      </c>
      <c r="F61" s="15" t="n">
        <v>159983</v>
      </c>
      <c r="G61" s="14" t="n">
        <v>30601</v>
      </c>
      <c r="H61" s="13" t="n">
        <v>129399</v>
      </c>
    </row>
    <row r="62" customFormat="false" ht="15" hidden="false" customHeight="false" outlineLevel="0" collapsed="false">
      <c r="A62" s="8"/>
      <c r="B62" s="2" t="n">
        <v>58</v>
      </c>
      <c r="C62" s="12" t="n">
        <v>30600</v>
      </c>
      <c r="D62" s="13" t="n">
        <v>129400</v>
      </c>
      <c r="E62" s="14" t="n">
        <v>18</v>
      </c>
      <c r="F62" s="15" t="n">
        <v>159982</v>
      </c>
      <c r="G62" s="14" t="n">
        <v>30602</v>
      </c>
      <c r="H62" s="13" t="n">
        <v>129398</v>
      </c>
    </row>
    <row r="63" customFormat="false" ht="15" hidden="false" customHeight="false" outlineLevel="0" collapsed="false">
      <c r="A63" s="8"/>
      <c r="B63" s="2" t="n">
        <v>59</v>
      </c>
      <c r="C63" s="12" t="n">
        <v>31000</v>
      </c>
      <c r="D63" s="13" t="n">
        <v>129000</v>
      </c>
      <c r="E63" s="14" t="n">
        <v>4</v>
      </c>
      <c r="F63" s="15" t="n">
        <v>159996</v>
      </c>
      <c r="G63" s="14" t="n">
        <v>31002</v>
      </c>
      <c r="H63" s="13" t="n">
        <v>128998</v>
      </c>
    </row>
    <row r="64" customFormat="false" ht="15" hidden="false" customHeight="false" outlineLevel="0" collapsed="false">
      <c r="A64" s="8"/>
      <c r="B64" s="2" t="n">
        <v>60</v>
      </c>
      <c r="C64" s="12" t="n">
        <v>31000</v>
      </c>
      <c r="D64" s="13" t="n">
        <v>129000</v>
      </c>
      <c r="E64" s="14" t="n">
        <v>14</v>
      </c>
      <c r="F64" s="15" t="n">
        <v>159986</v>
      </c>
      <c r="G64" s="14" t="n">
        <v>31002</v>
      </c>
      <c r="H64" s="13" t="n">
        <v>128998</v>
      </c>
    </row>
    <row r="65" customFormat="false" ht="15" hidden="false" customHeight="false" outlineLevel="0" collapsed="false">
      <c r="A65" s="8"/>
      <c r="B65" s="2" t="n">
        <v>61</v>
      </c>
      <c r="C65" s="12" t="n">
        <v>31000</v>
      </c>
      <c r="D65" s="13" t="n">
        <v>129000</v>
      </c>
      <c r="E65" s="14" t="n">
        <v>46</v>
      </c>
      <c r="F65" s="15" t="n">
        <v>159954</v>
      </c>
      <c r="G65" s="14" t="n">
        <v>31002</v>
      </c>
      <c r="H65" s="13" t="n">
        <v>128998</v>
      </c>
    </row>
    <row r="66" customFormat="false" ht="15" hidden="false" customHeight="false" outlineLevel="0" collapsed="false">
      <c r="A66" s="8"/>
      <c r="B66" s="2" t="n">
        <v>62</v>
      </c>
      <c r="C66" s="12" t="n">
        <v>31012</v>
      </c>
      <c r="D66" s="13" t="n">
        <v>128988</v>
      </c>
      <c r="E66" s="14" t="n">
        <v>12</v>
      </c>
      <c r="F66" s="15" t="n">
        <v>159988</v>
      </c>
      <c r="G66" s="14" t="n">
        <v>31014</v>
      </c>
      <c r="H66" s="13" t="n">
        <v>128986</v>
      </c>
    </row>
    <row r="67" customFormat="false" ht="15" hidden="false" customHeight="false" outlineLevel="0" collapsed="false">
      <c r="A67" s="8"/>
      <c r="B67" s="2" t="n">
        <v>63</v>
      </c>
      <c r="C67" s="12" t="n">
        <v>31400</v>
      </c>
      <c r="D67" s="13" t="n">
        <v>128600</v>
      </c>
      <c r="E67" s="14" t="n">
        <v>50</v>
      </c>
      <c r="F67" s="15" t="n">
        <v>159950</v>
      </c>
      <c r="G67" s="14" t="n">
        <v>31402</v>
      </c>
      <c r="H67" s="13" t="n">
        <v>128598</v>
      </c>
    </row>
    <row r="68" customFormat="false" ht="15" hidden="false" customHeight="false" outlineLevel="0" collapsed="false">
      <c r="A68" s="8"/>
      <c r="B68" s="2" t="n">
        <v>64</v>
      </c>
      <c r="C68" s="12" t="n">
        <v>31399</v>
      </c>
      <c r="D68" s="13" t="n">
        <v>128601</v>
      </c>
      <c r="E68" s="14" t="n">
        <v>245</v>
      </c>
      <c r="F68" s="15" t="n">
        <v>159755</v>
      </c>
      <c r="G68" s="14" t="n">
        <v>31401</v>
      </c>
      <c r="H68" s="13" t="n">
        <v>128599</v>
      </c>
    </row>
    <row r="69" customFormat="false" ht="15" hidden="false" customHeight="false" outlineLevel="0" collapsed="false">
      <c r="A69" s="8"/>
      <c r="B69" s="2" t="n">
        <v>65</v>
      </c>
      <c r="C69" s="12" t="n">
        <v>31555</v>
      </c>
      <c r="D69" s="13" t="n">
        <v>128445</v>
      </c>
      <c r="E69" s="14" t="n">
        <v>0</v>
      </c>
      <c r="F69" s="15" t="n">
        <v>160000</v>
      </c>
      <c r="G69" s="14" t="n">
        <v>31558</v>
      </c>
      <c r="H69" s="13" t="n">
        <v>128442</v>
      </c>
    </row>
    <row r="70" customFormat="false" ht="15" hidden="false" customHeight="false" outlineLevel="0" collapsed="false">
      <c r="A70" s="8"/>
      <c r="B70" s="2" t="n">
        <v>66</v>
      </c>
      <c r="C70" s="12" t="n">
        <v>31400</v>
      </c>
      <c r="D70" s="13" t="n">
        <v>128600</v>
      </c>
      <c r="E70" s="14" t="n">
        <v>84</v>
      </c>
      <c r="F70" s="15" t="n">
        <v>159916</v>
      </c>
      <c r="G70" s="14" t="n">
        <v>31402</v>
      </c>
      <c r="H70" s="13" t="n">
        <v>128598</v>
      </c>
    </row>
    <row r="71" customFormat="false" ht="15" hidden="false" customHeight="false" outlineLevel="0" collapsed="false">
      <c r="A71" s="8"/>
      <c r="B71" s="2" t="n">
        <v>67</v>
      </c>
      <c r="C71" s="12" t="n">
        <v>31411</v>
      </c>
      <c r="D71" s="13" t="n">
        <v>128589</v>
      </c>
      <c r="E71" s="14" t="n">
        <v>132</v>
      </c>
      <c r="F71" s="15" t="n">
        <v>159868</v>
      </c>
      <c r="G71" s="14" t="n">
        <v>31415</v>
      </c>
      <c r="H71" s="13" t="n">
        <v>128585</v>
      </c>
    </row>
    <row r="72" customFormat="false" ht="15" hidden="false" customHeight="false" outlineLevel="0" collapsed="false">
      <c r="A72" s="8"/>
      <c r="B72" s="2" t="n">
        <v>68</v>
      </c>
      <c r="C72" s="12" t="n">
        <v>31800</v>
      </c>
      <c r="D72" s="13" t="n">
        <v>128200</v>
      </c>
      <c r="E72" s="14" t="n">
        <v>5</v>
      </c>
      <c r="F72" s="15" t="n">
        <v>159995</v>
      </c>
      <c r="G72" s="14" t="n">
        <v>31802</v>
      </c>
      <c r="H72" s="13" t="n">
        <v>128198</v>
      </c>
    </row>
    <row r="73" customFormat="false" ht="15" hidden="false" customHeight="false" outlineLevel="0" collapsed="false">
      <c r="A73" s="8"/>
      <c r="B73" s="2" t="n">
        <v>69</v>
      </c>
      <c r="C73" s="12" t="n">
        <v>31799</v>
      </c>
      <c r="D73" s="13" t="n">
        <v>128201</v>
      </c>
      <c r="E73" s="14" t="n">
        <v>769</v>
      </c>
      <c r="F73" s="15" t="n">
        <v>159231</v>
      </c>
      <c r="G73" s="14" t="n">
        <v>31801</v>
      </c>
      <c r="H73" s="13" t="n">
        <v>128199</v>
      </c>
    </row>
    <row r="74" customFormat="false" ht="15" hidden="false" customHeight="false" outlineLevel="0" collapsed="false">
      <c r="A74" s="8"/>
      <c r="B74" s="2" t="n">
        <v>70</v>
      </c>
      <c r="C74" s="12" t="n">
        <v>31800</v>
      </c>
      <c r="D74" s="13" t="n">
        <v>128200</v>
      </c>
      <c r="E74" s="14" t="n">
        <v>107</v>
      </c>
      <c r="F74" s="15" t="n">
        <v>159893</v>
      </c>
      <c r="G74" s="14" t="n">
        <v>31802</v>
      </c>
      <c r="H74" s="13" t="n">
        <v>128198</v>
      </c>
    </row>
    <row r="75" customFormat="false" ht="15" hidden="false" customHeight="false" outlineLevel="0" collapsed="false">
      <c r="A75" s="8"/>
      <c r="B75" s="2" t="n">
        <v>71</v>
      </c>
      <c r="C75" s="12" t="n">
        <v>31800</v>
      </c>
      <c r="D75" s="13" t="n">
        <v>128200</v>
      </c>
      <c r="E75" s="14" t="n">
        <v>16</v>
      </c>
      <c r="F75" s="15" t="n">
        <v>159984</v>
      </c>
      <c r="G75" s="14" t="n">
        <v>31802</v>
      </c>
      <c r="H75" s="13" t="n">
        <v>128198</v>
      </c>
    </row>
    <row r="76" customFormat="false" ht="15" hidden="false" customHeight="false" outlineLevel="0" collapsed="false">
      <c r="A76" s="8"/>
      <c r="B76" s="2" t="n">
        <v>72</v>
      </c>
      <c r="C76" s="12" t="n">
        <v>31800</v>
      </c>
      <c r="D76" s="13" t="n">
        <v>128200</v>
      </c>
      <c r="E76" s="14" t="n">
        <v>5</v>
      </c>
      <c r="F76" s="15" t="n">
        <v>159995</v>
      </c>
      <c r="G76" s="14" t="n">
        <v>31802</v>
      </c>
      <c r="H76" s="13" t="n">
        <v>128198</v>
      </c>
    </row>
    <row r="77" customFormat="false" ht="15" hidden="false" customHeight="false" outlineLevel="0" collapsed="false">
      <c r="A77" s="8"/>
      <c r="B77" s="2" t="n">
        <v>73</v>
      </c>
      <c r="C77" s="12" t="n">
        <v>31800</v>
      </c>
      <c r="D77" s="13" t="n">
        <v>128200</v>
      </c>
      <c r="E77" s="14" t="n">
        <v>1141</v>
      </c>
      <c r="F77" s="15" t="n">
        <v>158859</v>
      </c>
      <c r="G77" s="14" t="n">
        <v>31802</v>
      </c>
      <c r="H77" s="13" t="n">
        <v>128198</v>
      </c>
    </row>
    <row r="78" customFormat="false" ht="15" hidden="false" customHeight="false" outlineLevel="0" collapsed="false">
      <c r="A78" s="8"/>
      <c r="B78" s="2" t="n">
        <v>74</v>
      </c>
      <c r="C78" s="12" t="n">
        <v>31800</v>
      </c>
      <c r="D78" s="13" t="n">
        <v>128200</v>
      </c>
      <c r="E78" s="14" t="n">
        <v>7</v>
      </c>
      <c r="F78" s="15" t="n">
        <v>159993</v>
      </c>
      <c r="G78" s="14" t="n">
        <v>31801</v>
      </c>
      <c r="H78" s="13" t="n">
        <v>128199</v>
      </c>
    </row>
    <row r="79" customFormat="false" ht="15" hidden="false" customHeight="false" outlineLevel="0" collapsed="false">
      <c r="A79" s="8"/>
      <c r="B79" s="2" t="n">
        <v>75</v>
      </c>
      <c r="C79" s="12" t="n">
        <v>31816</v>
      </c>
      <c r="D79" s="13" t="n">
        <v>128184</v>
      </c>
      <c r="E79" s="14" t="n">
        <v>7</v>
      </c>
      <c r="F79" s="15" t="n">
        <v>159993</v>
      </c>
      <c r="G79" s="14" t="n">
        <v>31819</v>
      </c>
      <c r="H79" s="13" t="n">
        <v>128181</v>
      </c>
    </row>
    <row r="80" customFormat="false" ht="15" hidden="false" customHeight="false" outlineLevel="0" collapsed="false">
      <c r="A80" s="8"/>
      <c r="B80" s="2" t="n">
        <v>76</v>
      </c>
      <c r="C80" s="12" t="n">
        <v>31800</v>
      </c>
      <c r="D80" s="13" t="n">
        <v>128200</v>
      </c>
      <c r="E80" s="14" t="n">
        <v>83</v>
      </c>
      <c r="F80" s="15" t="n">
        <v>159917</v>
      </c>
      <c r="G80" s="14" t="n">
        <v>31802</v>
      </c>
      <c r="H80" s="13" t="n">
        <v>128198</v>
      </c>
    </row>
    <row r="81" customFormat="false" ht="15" hidden="false" customHeight="false" outlineLevel="0" collapsed="false">
      <c r="A81" s="8"/>
      <c r="B81" s="2" t="n">
        <v>77</v>
      </c>
      <c r="C81" s="12" t="n">
        <v>31800</v>
      </c>
      <c r="D81" s="13" t="n">
        <v>128200</v>
      </c>
      <c r="E81" s="14" t="n">
        <v>15</v>
      </c>
      <c r="F81" s="15" t="n">
        <v>159985</v>
      </c>
      <c r="G81" s="14" t="n">
        <v>31802</v>
      </c>
      <c r="H81" s="13" t="n">
        <v>128198</v>
      </c>
    </row>
    <row r="82" customFormat="false" ht="15" hidden="false" customHeight="false" outlineLevel="0" collapsed="false">
      <c r="A82" s="8"/>
      <c r="B82" s="2" t="n">
        <v>78</v>
      </c>
      <c r="C82" s="12" t="n">
        <v>31800</v>
      </c>
      <c r="D82" s="13" t="n">
        <v>128200</v>
      </c>
      <c r="E82" s="14" t="n">
        <v>23</v>
      </c>
      <c r="F82" s="15" t="n">
        <v>159977</v>
      </c>
      <c r="G82" s="14" t="n">
        <v>31802</v>
      </c>
      <c r="H82" s="13" t="n">
        <v>128198</v>
      </c>
    </row>
    <row r="83" customFormat="false" ht="15" hidden="false" customHeight="false" outlineLevel="0" collapsed="false">
      <c r="A83" s="8"/>
      <c r="B83" s="2" t="n">
        <v>79</v>
      </c>
      <c r="C83" s="12" t="n">
        <v>31800</v>
      </c>
      <c r="D83" s="13" t="n">
        <v>128200</v>
      </c>
      <c r="E83" s="14" t="n">
        <v>118</v>
      </c>
      <c r="F83" s="15" t="n">
        <v>159882</v>
      </c>
      <c r="G83" s="14" t="n">
        <v>31802</v>
      </c>
      <c r="H83" s="13" t="n">
        <v>128198</v>
      </c>
    </row>
    <row r="84" customFormat="false" ht="15" hidden="false" customHeight="false" outlineLevel="0" collapsed="false">
      <c r="A84" s="8"/>
      <c r="B84" s="2" t="n">
        <v>80</v>
      </c>
      <c r="C84" s="12" t="n">
        <v>32212</v>
      </c>
      <c r="D84" s="13" t="n">
        <v>127788</v>
      </c>
      <c r="E84" s="14" t="n">
        <v>7</v>
      </c>
      <c r="F84" s="15" t="n">
        <v>159993</v>
      </c>
      <c r="G84" s="14" t="n">
        <v>32216</v>
      </c>
      <c r="H84" s="13" t="n">
        <v>127784</v>
      </c>
    </row>
    <row r="85" customFormat="false" ht="15" hidden="false" customHeight="false" outlineLevel="0" collapsed="false">
      <c r="A85" s="8"/>
      <c r="B85" s="2" t="n">
        <v>81</v>
      </c>
      <c r="C85" s="12" t="n">
        <v>31999</v>
      </c>
      <c r="D85" s="13" t="n">
        <v>128001</v>
      </c>
      <c r="E85" s="14" t="n">
        <v>70</v>
      </c>
      <c r="F85" s="15" t="n">
        <v>159930</v>
      </c>
      <c r="G85" s="14" t="n">
        <v>32000</v>
      </c>
      <c r="H85" s="13" t="n">
        <v>128000</v>
      </c>
    </row>
    <row r="86" customFormat="false" ht="15" hidden="false" customHeight="false" outlineLevel="0" collapsed="false">
      <c r="A86" s="8"/>
      <c r="B86" s="2" t="n">
        <v>82</v>
      </c>
      <c r="C86" s="12" t="n">
        <v>31800</v>
      </c>
      <c r="D86" s="13" t="n">
        <v>128200</v>
      </c>
      <c r="E86" s="14" t="n">
        <v>7</v>
      </c>
      <c r="F86" s="15" t="n">
        <v>159993</v>
      </c>
      <c r="G86" s="14" t="n">
        <v>31802</v>
      </c>
      <c r="H86" s="13" t="n">
        <v>128198</v>
      </c>
    </row>
    <row r="87" customFormat="false" ht="15" hidden="false" customHeight="false" outlineLevel="0" collapsed="false">
      <c r="A87" s="8"/>
      <c r="B87" s="2" t="n">
        <v>83</v>
      </c>
      <c r="C87" s="12" t="n">
        <v>31800</v>
      </c>
      <c r="D87" s="13" t="n">
        <v>128200</v>
      </c>
      <c r="E87" s="14" t="n">
        <v>963</v>
      </c>
      <c r="F87" s="15" t="n">
        <v>159037</v>
      </c>
      <c r="G87" s="14" t="n">
        <v>31802</v>
      </c>
      <c r="H87" s="13" t="n">
        <v>128198</v>
      </c>
    </row>
    <row r="88" customFormat="false" ht="15" hidden="false" customHeight="false" outlineLevel="0" collapsed="false">
      <c r="A88" s="8"/>
      <c r="B88" s="2" t="n">
        <v>84</v>
      </c>
      <c r="C88" s="12" t="n">
        <v>31800</v>
      </c>
      <c r="D88" s="13" t="n">
        <v>128200</v>
      </c>
      <c r="E88" s="14" t="n">
        <v>16</v>
      </c>
      <c r="F88" s="15" t="n">
        <v>159984</v>
      </c>
      <c r="G88" s="14" t="n">
        <v>31802</v>
      </c>
      <c r="H88" s="13" t="n">
        <v>128198</v>
      </c>
    </row>
    <row r="89" customFormat="false" ht="15" hidden="false" customHeight="false" outlineLevel="0" collapsed="false">
      <c r="A89" s="8"/>
      <c r="B89" s="2" t="n">
        <v>85</v>
      </c>
      <c r="C89" s="12" t="n">
        <v>31799</v>
      </c>
      <c r="D89" s="13" t="n">
        <v>128201</v>
      </c>
      <c r="E89" s="14" t="n">
        <v>38</v>
      </c>
      <c r="F89" s="15" t="n">
        <v>159962</v>
      </c>
      <c r="G89" s="14" t="n">
        <v>31801</v>
      </c>
      <c r="H89" s="13" t="n">
        <v>128199</v>
      </c>
    </row>
    <row r="90" customFormat="false" ht="15" hidden="false" customHeight="false" outlineLevel="0" collapsed="false">
      <c r="A90" s="8"/>
      <c r="B90" s="2" t="n">
        <v>86</v>
      </c>
      <c r="C90" s="12" t="n">
        <v>31799</v>
      </c>
      <c r="D90" s="13" t="n">
        <v>128201</v>
      </c>
      <c r="E90" s="14" t="n">
        <v>16</v>
      </c>
      <c r="F90" s="15" t="n">
        <v>159984</v>
      </c>
      <c r="G90" s="14" t="n">
        <v>31801</v>
      </c>
      <c r="H90" s="13" t="n">
        <v>128199</v>
      </c>
    </row>
    <row r="91" customFormat="false" ht="15" hidden="false" customHeight="false" outlineLevel="0" collapsed="false">
      <c r="A91" s="8"/>
      <c r="B91" s="2" t="n">
        <v>87</v>
      </c>
      <c r="C91" s="12" t="n">
        <v>31800</v>
      </c>
      <c r="D91" s="13" t="n">
        <v>128200</v>
      </c>
      <c r="E91" s="14" t="n">
        <v>13</v>
      </c>
      <c r="F91" s="15" t="n">
        <v>159987</v>
      </c>
      <c r="G91" s="14" t="n">
        <v>31802</v>
      </c>
      <c r="H91" s="13" t="n">
        <v>128198</v>
      </c>
    </row>
    <row r="92" customFormat="false" ht="15" hidden="false" customHeight="false" outlineLevel="0" collapsed="false">
      <c r="A92" s="8"/>
      <c r="B92" s="2" t="n">
        <v>88</v>
      </c>
      <c r="C92" s="12" t="n">
        <v>31800</v>
      </c>
      <c r="D92" s="13" t="n">
        <v>128200</v>
      </c>
      <c r="E92" s="14" t="n">
        <v>17</v>
      </c>
      <c r="F92" s="15" t="n">
        <v>159983</v>
      </c>
      <c r="G92" s="14" t="n">
        <v>31802</v>
      </c>
      <c r="H92" s="13" t="n">
        <v>128198</v>
      </c>
    </row>
    <row r="93" customFormat="false" ht="15" hidden="false" customHeight="false" outlineLevel="0" collapsed="false">
      <c r="A93" s="8"/>
      <c r="B93" s="2" t="n">
        <v>89</v>
      </c>
      <c r="C93" s="12" t="n">
        <v>31799</v>
      </c>
      <c r="D93" s="13" t="n">
        <v>128201</v>
      </c>
      <c r="E93" s="14" t="n">
        <v>11</v>
      </c>
      <c r="F93" s="15" t="n">
        <v>159989</v>
      </c>
      <c r="G93" s="14" t="n">
        <v>31801</v>
      </c>
      <c r="H93" s="13" t="n">
        <v>128199</v>
      </c>
    </row>
    <row r="94" customFormat="false" ht="15" hidden="false" customHeight="false" outlineLevel="0" collapsed="false">
      <c r="A94" s="8"/>
      <c r="B94" s="2" t="n">
        <v>90</v>
      </c>
      <c r="C94" s="12" t="n">
        <v>31800</v>
      </c>
      <c r="D94" s="13" t="n">
        <v>128200</v>
      </c>
      <c r="E94" s="14" t="n">
        <v>544</v>
      </c>
      <c r="F94" s="15" t="n">
        <v>159456</v>
      </c>
      <c r="G94" s="14" t="n">
        <v>31802</v>
      </c>
      <c r="H94" s="13" t="n">
        <v>128198</v>
      </c>
    </row>
    <row r="95" customFormat="false" ht="15" hidden="false" customHeight="false" outlineLevel="0" collapsed="false">
      <c r="A95" s="8"/>
      <c r="B95" s="2" t="n">
        <v>91</v>
      </c>
      <c r="C95" s="12" t="n">
        <v>31957</v>
      </c>
      <c r="D95" s="13" t="n">
        <v>128043</v>
      </c>
      <c r="E95" s="14" t="n">
        <v>170</v>
      </c>
      <c r="F95" s="15" t="n">
        <v>159830</v>
      </c>
      <c r="G95" s="14" t="n">
        <v>31960</v>
      </c>
      <c r="H95" s="13" t="n">
        <v>128040</v>
      </c>
    </row>
    <row r="96" customFormat="false" ht="15" hidden="false" customHeight="false" outlineLevel="0" collapsed="false">
      <c r="A96" s="8"/>
      <c r="B96" s="2" t="n">
        <v>92</v>
      </c>
      <c r="C96" s="12" t="n">
        <v>31800</v>
      </c>
      <c r="D96" s="13" t="n">
        <v>128200</v>
      </c>
      <c r="E96" s="14" t="n">
        <v>2679</v>
      </c>
      <c r="F96" s="15" t="n">
        <v>157321</v>
      </c>
      <c r="G96" s="14" t="n">
        <v>31801</v>
      </c>
      <c r="H96" s="13" t="n">
        <v>128199</v>
      </c>
    </row>
    <row r="97" customFormat="false" ht="15" hidden="false" customHeight="false" outlineLevel="0" collapsed="false">
      <c r="A97" s="8"/>
      <c r="B97" s="2" t="n">
        <v>93</v>
      </c>
      <c r="C97" s="12" t="n">
        <v>31399</v>
      </c>
      <c r="D97" s="13" t="n">
        <v>128601</v>
      </c>
      <c r="E97" s="14" t="n">
        <v>36</v>
      </c>
      <c r="F97" s="15" t="n">
        <v>159964</v>
      </c>
      <c r="G97" s="14" t="n">
        <v>31399</v>
      </c>
      <c r="H97" s="13" t="n">
        <v>128601</v>
      </c>
    </row>
    <row r="98" customFormat="false" ht="15" hidden="false" customHeight="false" outlineLevel="0" collapsed="false">
      <c r="A98" s="8"/>
      <c r="B98" s="2" t="n">
        <v>94</v>
      </c>
      <c r="C98" s="12" t="n">
        <v>31400</v>
      </c>
      <c r="D98" s="13" t="n">
        <v>128600</v>
      </c>
      <c r="E98" s="14" t="n">
        <v>49</v>
      </c>
      <c r="F98" s="15" t="n">
        <v>159951</v>
      </c>
      <c r="G98" s="14" t="n">
        <v>31401</v>
      </c>
      <c r="H98" s="13" t="n">
        <v>128599</v>
      </c>
    </row>
    <row r="99" customFormat="false" ht="15" hidden="false" customHeight="false" outlineLevel="0" collapsed="false">
      <c r="A99" s="8"/>
      <c r="B99" s="2" t="n">
        <v>95</v>
      </c>
      <c r="C99" s="12" t="n">
        <v>31400</v>
      </c>
      <c r="D99" s="13" t="n">
        <v>128600</v>
      </c>
      <c r="E99" s="14" t="n">
        <v>18</v>
      </c>
      <c r="F99" s="15" t="n">
        <v>159982</v>
      </c>
      <c r="G99" s="14" t="n">
        <v>31401</v>
      </c>
      <c r="H99" s="13" t="n">
        <v>128599</v>
      </c>
    </row>
    <row r="100" customFormat="false" ht="15" hidden="false" customHeight="false" outlineLevel="0" collapsed="false">
      <c r="A100" s="8"/>
      <c r="B100" s="2" t="n">
        <v>96</v>
      </c>
      <c r="C100" s="12" t="n">
        <v>31399</v>
      </c>
      <c r="D100" s="13" t="n">
        <v>128601</v>
      </c>
      <c r="E100" s="14" t="n">
        <v>738</v>
      </c>
      <c r="F100" s="15" t="n">
        <v>159262</v>
      </c>
      <c r="G100" s="14" t="n">
        <v>31399</v>
      </c>
      <c r="H100" s="13" t="n">
        <v>128601</v>
      </c>
    </row>
    <row r="101" customFormat="false" ht="15" hidden="false" customHeight="false" outlineLevel="0" collapsed="false">
      <c r="A101" s="8"/>
      <c r="B101" s="2" t="n">
        <v>97</v>
      </c>
      <c r="C101" s="12" t="n">
        <v>31399</v>
      </c>
      <c r="D101" s="13" t="n">
        <v>128601</v>
      </c>
      <c r="E101" s="14" t="n">
        <v>36</v>
      </c>
      <c r="F101" s="15" t="n">
        <v>159964</v>
      </c>
      <c r="G101" s="14" t="n">
        <v>31400</v>
      </c>
      <c r="H101" s="13" t="n">
        <v>128600</v>
      </c>
    </row>
    <row r="102" customFormat="false" ht="15" hidden="false" customHeight="false" outlineLevel="0" collapsed="false">
      <c r="A102" s="8"/>
      <c r="B102" s="2" t="n">
        <v>98</v>
      </c>
      <c r="C102" s="12" t="n">
        <v>31000</v>
      </c>
      <c r="D102" s="13" t="n">
        <v>129000</v>
      </c>
      <c r="E102" s="14" t="n">
        <v>13</v>
      </c>
      <c r="F102" s="15" t="n">
        <v>159987</v>
      </c>
      <c r="G102" s="14" t="n">
        <v>31001</v>
      </c>
      <c r="H102" s="13" t="n">
        <v>128999</v>
      </c>
    </row>
    <row r="103" customFormat="false" ht="15" hidden="false" customHeight="false" outlineLevel="0" collapsed="false">
      <c r="A103" s="8"/>
      <c r="B103" s="2" t="n">
        <v>99</v>
      </c>
      <c r="C103" s="12" t="n">
        <v>31198</v>
      </c>
      <c r="D103" s="13" t="n">
        <v>128802</v>
      </c>
      <c r="E103" s="14" t="n">
        <v>42</v>
      </c>
      <c r="F103" s="15" t="n">
        <v>159958</v>
      </c>
      <c r="G103" s="14" t="n">
        <v>31200</v>
      </c>
      <c r="H103" s="13" t="n">
        <v>128800</v>
      </c>
    </row>
    <row r="104" customFormat="false" ht="15" hidden="false" customHeight="false" outlineLevel="0" collapsed="false">
      <c r="A104" s="8"/>
      <c r="B104" s="2" t="n">
        <v>100</v>
      </c>
      <c r="C104" s="12" t="n">
        <v>31000</v>
      </c>
      <c r="D104" s="13" t="n">
        <v>129000</v>
      </c>
      <c r="E104" s="14" t="n">
        <v>305</v>
      </c>
      <c r="F104" s="15" t="n">
        <v>159695</v>
      </c>
      <c r="G104" s="14" t="n">
        <v>31002</v>
      </c>
      <c r="H104" s="13" t="n">
        <v>128998</v>
      </c>
    </row>
    <row r="105" customFormat="false" ht="15" hidden="false" customHeight="false" outlineLevel="0" collapsed="false">
      <c r="A105" s="8"/>
      <c r="B105" s="2" t="n">
        <v>101</v>
      </c>
      <c r="C105" s="12" t="n">
        <v>30999</v>
      </c>
      <c r="D105" s="13" t="n">
        <v>129001</v>
      </c>
      <c r="E105" s="14" t="n">
        <v>99</v>
      </c>
      <c r="F105" s="15" t="n">
        <v>159901</v>
      </c>
      <c r="G105" s="14" t="n">
        <v>31001</v>
      </c>
      <c r="H105" s="13" t="n">
        <v>128999</v>
      </c>
    </row>
    <row r="106" customFormat="false" ht="15" hidden="false" customHeight="false" outlineLevel="0" collapsed="false">
      <c r="A106" s="8"/>
      <c r="B106" s="2" t="n">
        <v>102</v>
      </c>
      <c r="C106" s="12" t="n">
        <v>30600</v>
      </c>
      <c r="D106" s="13" t="n">
        <v>129400</v>
      </c>
      <c r="E106" s="14" t="n">
        <v>13</v>
      </c>
      <c r="F106" s="15" t="n">
        <v>159987</v>
      </c>
      <c r="G106" s="14" t="n">
        <v>30601</v>
      </c>
      <c r="H106" s="13" t="n">
        <v>129399</v>
      </c>
    </row>
    <row r="107" customFormat="false" ht="15" hidden="false" customHeight="false" outlineLevel="0" collapsed="false">
      <c r="A107" s="8"/>
      <c r="B107" s="2" t="n">
        <v>103</v>
      </c>
      <c r="C107" s="12" t="n">
        <v>30600</v>
      </c>
      <c r="D107" s="13" t="n">
        <v>129400</v>
      </c>
      <c r="E107" s="14" t="n">
        <v>133</v>
      </c>
      <c r="F107" s="15" t="n">
        <v>159867</v>
      </c>
      <c r="G107" s="14" t="n">
        <v>30602</v>
      </c>
      <c r="H107" s="13" t="n">
        <v>129398</v>
      </c>
    </row>
    <row r="108" customFormat="false" ht="15" hidden="false" customHeight="false" outlineLevel="0" collapsed="false">
      <c r="A108" s="8"/>
      <c r="B108" s="2" t="n">
        <v>104</v>
      </c>
      <c r="C108" s="12" t="n">
        <v>30600</v>
      </c>
      <c r="D108" s="13" t="n">
        <v>129400</v>
      </c>
      <c r="E108" s="14" t="n">
        <v>18</v>
      </c>
      <c r="F108" s="15" t="n">
        <v>159982</v>
      </c>
      <c r="G108" s="14" t="n">
        <v>30602</v>
      </c>
      <c r="H108" s="13" t="n">
        <v>129398</v>
      </c>
    </row>
    <row r="109" customFormat="false" ht="15" hidden="false" customHeight="false" outlineLevel="0" collapsed="false">
      <c r="A109" s="8"/>
      <c r="B109" s="2" t="n">
        <v>105</v>
      </c>
      <c r="C109" s="12" t="n">
        <v>30200</v>
      </c>
      <c r="D109" s="13" t="n">
        <v>129800</v>
      </c>
      <c r="E109" s="14" t="n">
        <v>6</v>
      </c>
      <c r="F109" s="15" t="n">
        <v>159994</v>
      </c>
      <c r="G109" s="14" t="n">
        <v>30202</v>
      </c>
      <c r="H109" s="13" t="n">
        <v>129798</v>
      </c>
    </row>
    <row r="110" customFormat="false" ht="15" hidden="false" customHeight="false" outlineLevel="0" collapsed="false">
      <c r="A110" s="8"/>
      <c r="B110" s="2" t="n">
        <v>106</v>
      </c>
      <c r="C110" s="12" t="n">
        <v>30199</v>
      </c>
      <c r="D110" s="13" t="n">
        <v>129801</v>
      </c>
      <c r="E110" s="14" t="n">
        <v>4</v>
      </c>
      <c r="F110" s="15" t="n">
        <v>159996</v>
      </c>
      <c r="G110" s="14" t="n">
        <v>30202</v>
      </c>
      <c r="H110" s="13" t="n">
        <v>129798</v>
      </c>
    </row>
    <row r="111" customFormat="false" ht="15" hidden="false" customHeight="false" outlineLevel="0" collapsed="false">
      <c r="A111" s="8"/>
      <c r="B111" s="2" t="n">
        <v>107</v>
      </c>
      <c r="C111" s="12" t="n">
        <v>30208</v>
      </c>
      <c r="D111" s="13" t="n">
        <v>129792</v>
      </c>
      <c r="E111" s="14" t="n">
        <v>1603</v>
      </c>
      <c r="F111" s="15" t="n">
        <v>158397</v>
      </c>
      <c r="G111" s="14" t="n">
        <v>30206</v>
      </c>
      <c r="H111" s="13" t="n">
        <v>129794</v>
      </c>
    </row>
    <row r="112" customFormat="false" ht="15" hidden="false" customHeight="false" outlineLevel="0" collapsed="false">
      <c r="A112" s="8"/>
      <c r="B112" s="2" t="n">
        <v>108</v>
      </c>
      <c r="C112" s="12" t="n">
        <v>29800</v>
      </c>
      <c r="D112" s="13" t="n">
        <v>130200</v>
      </c>
      <c r="E112" s="14" t="n">
        <v>671</v>
      </c>
      <c r="F112" s="15" t="n">
        <v>159329</v>
      </c>
      <c r="G112" s="14" t="n">
        <v>29802</v>
      </c>
      <c r="H112" s="13" t="n">
        <v>130198</v>
      </c>
    </row>
    <row r="113" customFormat="false" ht="15" hidden="false" customHeight="false" outlineLevel="0" collapsed="false">
      <c r="A113" s="8"/>
      <c r="B113" s="2" t="n">
        <v>109</v>
      </c>
      <c r="C113" s="12" t="n">
        <v>29800</v>
      </c>
      <c r="D113" s="13" t="n">
        <v>130200</v>
      </c>
      <c r="E113" s="14" t="n">
        <v>9</v>
      </c>
      <c r="F113" s="15" t="n">
        <v>159991</v>
      </c>
      <c r="G113" s="14" t="n">
        <v>29800</v>
      </c>
      <c r="H113" s="13" t="n">
        <v>130200</v>
      </c>
    </row>
    <row r="114" customFormat="false" ht="15" hidden="false" customHeight="false" outlineLevel="0" collapsed="false">
      <c r="A114" s="8"/>
      <c r="B114" s="2" t="n">
        <v>110</v>
      </c>
      <c r="C114" s="12" t="n">
        <v>29800</v>
      </c>
      <c r="D114" s="13" t="n">
        <v>130200</v>
      </c>
      <c r="E114" s="14" t="n">
        <v>13</v>
      </c>
      <c r="F114" s="15" t="n">
        <v>159987</v>
      </c>
      <c r="G114" s="14" t="n">
        <v>29800</v>
      </c>
      <c r="H114" s="13" t="n">
        <v>130200</v>
      </c>
    </row>
    <row r="115" customFormat="false" ht="15" hidden="false" customHeight="false" outlineLevel="0" collapsed="false">
      <c r="A115" s="8"/>
      <c r="B115" s="2" t="n">
        <v>111</v>
      </c>
      <c r="C115" s="12" t="n">
        <v>29420</v>
      </c>
      <c r="D115" s="13" t="n">
        <v>130580</v>
      </c>
      <c r="E115" s="14" t="n">
        <v>8</v>
      </c>
      <c r="F115" s="15" t="n">
        <v>159992</v>
      </c>
      <c r="G115" s="14" t="n">
        <v>29418</v>
      </c>
      <c r="H115" s="13" t="n">
        <v>130582</v>
      </c>
    </row>
    <row r="116" customFormat="false" ht="15" hidden="false" customHeight="false" outlineLevel="0" collapsed="false">
      <c r="A116" s="8"/>
      <c r="B116" s="2" t="n">
        <v>112</v>
      </c>
      <c r="C116" s="12" t="n">
        <v>29399</v>
      </c>
      <c r="D116" s="13" t="n">
        <v>130601</v>
      </c>
      <c r="E116" s="14" t="n">
        <v>1278</v>
      </c>
      <c r="F116" s="15" t="n">
        <v>158722</v>
      </c>
      <c r="G116" s="14" t="n">
        <v>29399</v>
      </c>
      <c r="H116" s="13" t="n">
        <v>130601</v>
      </c>
    </row>
    <row r="117" customFormat="false" ht="15" hidden="false" customHeight="false" outlineLevel="0" collapsed="false">
      <c r="A117" s="8"/>
      <c r="B117" s="2" t="n">
        <v>113</v>
      </c>
      <c r="C117" s="12" t="n">
        <v>28999</v>
      </c>
      <c r="D117" s="13" t="n">
        <v>131001</v>
      </c>
      <c r="E117" s="14" t="n">
        <v>28</v>
      </c>
      <c r="F117" s="15" t="n">
        <v>159972</v>
      </c>
      <c r="G117" s="14" t="n">
        <v>28999</v>
      </c>
      <c r="H117" s="13" t="n">
        <v>131001</v>
      </c>
    </row>
    <row r="118" customFormat="false" ht="15" hidden="false" customHeight="false" outlineLevel="0" collapsed="false">
      <c r="A118" s="8"/>
      <c r="B118" s="2" t="n">
        <v>114</v>
      </c>
      <c r="C118" s="12" t="n">
        <v>28999</v>
      </c>
      <c r="D118" s="13" t="n">
        <v>131001</v>
      </c>
      <c r="E118" s="14" t="n">
        <v>13</v>
      </c>
      <c r="F118" s="15" t="n">
        <v>159987</v>
      </c>
      <c r="G118" s="14" t="n">
        <v>28999</v>
      </c>
      <c r="H118" s="13" t="n">
        <v>131001</v>
      </c>
    </row>
    <row r="119" customFormat="false" ht="15" hidden="false" customHeight="false" outlineLevel="0" collapsed="false">
      <c r="A119" s="8"/>
      <c r="B119" s="2" t="n">
        <v>115</v>
      </c>
      <c r="C119" s="12" t="n">
        <v>28600</v>
      </c>
      <c r="D119" s="13" t="n">
        <v>131400</v>
      </c>
      <c r="E119" s="14" t="n">
        <v>744</v>
      </c>
      <c r="F119" s="15" t="n">
        <v>159256</v>
      </c>
      <c r="G119" s="14" t="n">
        <v>28600</v>
      </c>
      <c r="H119" s="13" t="n">
        <v>131400</v>
      </c>
    </row>
    <row r="120" customFormat="false" ht="15" hidden="false" customHeight="false" outlineLevel="0" collapsed="false">
      <c r="A120" s="8"/>
      <c r="B120" s="2" t="n">
        <v>116</v>
      </c>
      <c r="C120" s="12" t="n">
        <v>28600</v>
      </c>
      <c r="D120" s="13" t="n">
        <v>131400</v>
      </c>
      <c r="E120" s="14" t="n">
        <v>29</v>
      </c>
      <c r="F120" s="15" t="n">
        <v>159971</v>
      </c>
      <c r="G120" s="14" t="n">
        <v>28600</v>
      </c>
      <c r="H120" s="13" t="n">
        <v>131400</v>
      </c>
    </row>
    <row r="121" customFormat="false" ht="15" hidden="false" customHeight="false" outlineLevel="0" collapsed="false">
      <c r="A121" s="8"/>
      <c r="B121" s="2" t="n">
        <v>117</v>
      </c>
      <c r="C121" s="12" t="n">
        <v>28200</v>
      </c>
      <c r="D121" s="13" t="n">
        <v>131800</v>
      </c>
      <c r="E121" s="14" t="n">
        <v>16</v>
      </c>
      <c r="F121" s="15" t="n">
        <v>159984</v>
      </c>
      <c r="G121" s="14" t="n">
        <v>28200</v>
      </c>
      <c r="H121" s="13" t="n">
        <v>131800</v>
      </c>
    </row>
    <row r="122" customFormat="false" ht="15" hidden="false" customHeight="false" outlineLevel="0" collapsed="false">
      <c r="A122" s="8"/>
      <c r="B122" s="2" t="n">
        <v>118</v>
      </c>
      <c r="C122" s="12" t="n">
        <v>28199</v>
      </c>
      <c r="D122" s="13" t="n">
        <v>131801</v>
      </c>
      <c r="E122" s="14" t="n">
        <v>18</v>
      </c>
      <c r="F122" s="15" t="n">
        <v>159982</v>
      </c>
      <c r="G122" s="14" t="n">
        <v>28199</v>
      </c>
      <c r="H122" s="13" t="n">
        <v>131801</v>
      </c>
    </row>
    <row r="123" customFormat="false" ht="15" hidden="false" customHeight="false" outlineLevel="0" collapsed="false">
      <c r="A123" s="8"/>
      <c r="B123" s="2" t="n">
        <v>119</v>
      </c>
      <c r="C123" s="12" t="n">
        <v>27800</v>
      </c>
      <c r="D123" s="13" t="n">
        <v>132200</v>
      </c>
      <c r="E123" s="14" t="n">
        <v>22</v>
      </c>
      <c r="F123" s="15" t="n">
        <v>159978</v>
      </c>
      <c r="G123" s="14" t="n">
        <v>27800</v>
      </c>
      <c r="H123" s="13" t="n">
        <v>132200</v>
      </c>
    </row>
    <row r="124" customFormat="false" ht="15" hidden="false" customHeight="false" outlineLevel="0" collapsed="false">
      <c r="A124" s="8"/>
      <c r="B124" s="2" t="n">
        <v>120</v>
      </c>
      <c r="C124" s="12" t="n">
        <v>27799</v>
      </c>
      <c r="D124" s="13" t="n">
        <v>132201</v>
      </c>
      <c r="E124" s="14" t="n">
        <v>63</v>
      </c>
      <c r="F124" s="15" t="n">
        <v>159937</v>
      </c>
      <c r="G124" s="14" t="n">
        <v>27799</v>
      </c>
      <c r="H124" s="13" t="n">
        <v>132201</v>
      </c>
    </row>
    <row r="125" customFormat="false" ht="15" hidden="false" customHeight="false" outlineLevel="0" collapsed="false">
      <c r="A125" s="8"/>
      <c r="B125" s="2" t="n">
        <v>121</v>
      </c>
      <c r="C125" s="12" t="n">
        <v>27400</v>
      </c>
      <c r="D125" s="13" t="n">
        <v>132600</v>
      </c>
      <c r="E125" s="14" t="n">
        <v>98</v>
      </c>
      <c r="F125" s="15" t="n">
        <v>159902</v>
      </c>
      <c r="G125" s="14" t="n">
        <v>27400</v>
      </c>
      <c r="H125" s="13" t="n">
        <v>132600</v>
      </c>
    </row>
    <row r="126" customFormat="false" ht="15" hidden="false" customHeight="false" outlineLevel="0" collapsed="false">
      <c r="A126" s="8"/>
      <c r="B126" s="2" t="n">
        <v>122</v>
      </c>
      <c r="C126" s="12" t="n">
        <v>27399</v>
      </c>
      <c r="D126" s="13" t="n">
        <v>132601</v>
      </c>
      <c r="E126" s="14" t="n">
        <v>387</v>
      </c>
      <c r="F126" s="15" t="n">
        <v>159613</v>
      </c>
      <c r="G126" s="14" t="n">
        <v>27399</v>
      </c>
      <c r="H126" s="13" t="n">
        <v>132601</v>
      </c>
    </row>
    <row r="127" customFormat="false" ht="15" hidden="false" customHeight="false" outlineLevel="0" collapsed="false">
      <c r="A127" s="8"/>
      <c r="B127" s="2" t="n">
        <v>123</v>
      </c>
      <c r="C127" s="12" t="n">
        <v>27000</v>
      </c>
      <c r="D127" s="13" t="n">
        <v>133000</v>
      </c>
      <c r="E127" s="14" t="n">
        <v>13</v>
      </c>
      <c r="F127" s="15" t="n">
        <v>159987</v>
      </c>
      <c r="G127" s="14" t="n">
        <v>27000</v>
      </c>
      <c r="H127" s="13" t="n">
        <v>133000</v>
      </c>
    </row>
    <row r="128" customFormat="false" ht="15" hidden="false" customHeight="false" outlineLevel="0" collapsed="false">
      <c r="A128" s="8"/>
      <c r="B128" s="2" t="n">
        <v>124</v>
      </c>
      <c r="C128" s="12" t="n">
        <v>26600</v>
      </c>
      <c r="D128" s="13" t="n">
        <v>133400</v>
      </c>
      <c r="E128" s="14" t="n">
        <v>285</v>
      </c>
      <c r="F128" s="15" t="n">
        <v>159715</v>
      </c>
      <c r="G128" s="14" t="n">
        <v>26600</v>
      </c>
      <c r="H128" s="13" t="n">
        <v>133400</v>
      </c>
    </row>
    <row r="129" customFormat="false" ht="15" hidden="false" customHeight="false" outlineLevel="0" collapsed="false">
      <c r="A129" s="8"/>
      <c r="B129" s="2" t="n">
        <v>125</v>
      </c>
      <c r="C129" s="12" t="n">
        <v>26600</v>
      </c>
      <c r="D129" s="13" t="n">
        <v>133400</v>
      </c>
      <c r="E129" s="14" t="n">
        <v>338</v>
      </c>
      <c r="F129" s="15" t="n">
        <v>159662</v>
      </c>
      <c r="G129" s="14" t="n">
        <v>26600</v>
      </c>
      <c r="H129" s="13" t="n">
        <v>133400</v>
      </c>
    </row>
    <row r="130" customFormat="false" ht="15" hidden="false" customHeight="false" outlineLevel="0" collapsed="false">
      <c r="A130" s="8"/>
      <c r="B130" s="2" t="n">
        <v>126</v>
      </c>
      <c r="C130" s="12" t="n">
        <v>26200</v>
      </c>
      <c r="D130" s="13" t="n">
        <v>133800</v>
      </c>
      <c r="E130" s="14" t="n">
        <v>55</v>
      </c>
      <c r="F130" s="15" t="n">
        <v>159945</v>
      </c>
      <c r="G130" s="14" t="n">
        <v>26200</v>
      </c>
      <c r="H130" s="13" t="n">
        <v>133800</v>
      </c>
    </row>
    <row r="131" customFormat="false" ht="15" hidden="false" customHeight="false" outlineLevel="0" collapsed="false">
      <c r="A131" s="8"/>
      <c r="B131" s="2" t="n">
        <v>127</v>
      </c>
      <c r="C131" s="12" t="n">
        <v>25800</v>
      </c>
      <c r="D131" s="13" t="n">
        <v>134200</v>
      </c>
      <c r="E131" s="14" t="n">
        <v>79</v>
      </c>
      <c r="F131" s="15" t="n">
        <v>159921</v>
      </c>
      <c r="G131" s="14" t="n">
        <v>25800</v>
      </c>
      <c r="H131" s="13" t="n">
        <v>134200</v>
      </c>
    </row>
    <row r="132" customFormat="false" ht="15" hidden="false" customHeight="false" outlineLevel="0" collapsed="false">
      <c r="A132" s="8"/>
      <c r="B132" s="2" t="n">
        <v>128</v>
      </c>
      <c r="C132" s="12" t="n">
        <v>25800</v>
      </c>
      <c r="D132" s="13" t="n">
        <v>134200</v>
      </c>
      <c r="E132" s="14" t="n">
        <v>53</v>
      </c>
      <c r="F132" s="15" t="n">
        <v>159947</v>
      </c>
      <c r="G132" s="14" t="n">
        <v>25800</v>
      </c>
      <c r="H132" s="13" t="n">
        <v>134200</v>
      </c>
    </row>
    <row r="133" customFormat="false" ht="15" hidden="false" customHeight="false" outlineLevel="0" collapsed="false">
      <c r="A133" s="8"/>
      <c r="B133" s="2" t="n">
        <v>129</v>
      </c>
      <c r="C133" s="12" t="n">
        <v>25400</v>
      </c>
      <c r="D133" s="13" t="n">
        <v>134600</v>
      </c>
      <c r="E133" s="14" t="n">
        <v>73</v>
      </c>
      <c r="F133" s="15" t="n">
        <v>159927</v>
      </c>
      <c r="G133" s="14" t="n">
        <v>25400</v>
      </c>
      <c r="H133" s="13" t="n">
        <v>134600</v>
      </c>
    </row>
    <row r="134" customFormat="false" ht="15" hidden="false" customHeight="false" outlineLevel="0" collapsed="false">
      <c r="A134" s="8"/>
      <c r="B134" s="2" t="n">
        <v>130</v>
      </c>
      <c r="C134" s="12" t="n">
        <v>25123</v>
      </c>
      <c r="D134" s="13" t="n">
        <v>134877</v>
      </c>
      <c r="E134" s="14" t="n">
        <v>0</v>
      </c>
      <c r="F134" s="15" t="n">
        <v>160000</v>
      </c>
      <c r="G134" s="14" t="n">
        <v>25130</v>
      </c>
      <c r="H134" s="13" t="n">
        <v>134870</v>
      </c>
    </row>
    <row r="135" customFormat="false" ht="15" hidden="false" customHeight="false" outlineLevel="0" collapsed="false">
      <c r="A135" s="8"/>
      <c r="B135" s="2" t="n">
        <v>131</v>
      </c>
      <c r="C135" s="12" t="n">
        <v>24620</v>
      </c>
      <c r="D135" s="13" t="n">
        <v>135380</v>
      </c>
      <c r="E135" s="14" t="n">
        <v>72</v>
      </c>
      <c r="F135" s="15" t="n">
        <v>159928</v>
      </c>
      <c r="G135" s="14" t="n">
        <v>24620</v>
      </c>
      <c r="H135" s="13" t="n">
        <v>135380</v>
      </c>
    </row>
    <row r="136" customFormat="false" ht="15" hidden="false" customHeight="false" outlineLevel="0" collapsed="false">
      <c r="A136" s="8"/>
      <c r="B136" s="2" t="n">
        <v>132</v>
      </c>
      <c r="C136" s="12" t="n">
        <v>24200</v>
      </c>
      <c r="D136" s="13" t="n">
        <v>135800</v>
      </c>
      <c r="E136" s="14" t="n">
        <v>31</v>
      </c>
      <c r="F136" s="15" t="n">
        <v>159969</v>
      </c>
      <c r="G136" s="14" t="n">
        <v>24200</v>
      </c>
      <c r="H136" s="13" t="n">
        <v>135800</v>
      </c>
    </row>
    <row r="137" customFormat="false" ht="15" hidden="false" customHeight="false" outlineLevel="0" collapsed="false">
      <c r="A137" s="8"/>
      <c r="B137" s="2" t="n">
        <v>133</v>
      </c>
      <c r="C137" s="12" t="n">
        <v>23800</v>
      </c>
      <c r="D137" s="13" t="n">
        <v>136200</v>
      </c>
      <c r="E137" s="14" t="n">
        <v>60</v>
      </c>
      <c r="F137" s="15" t="n">
        <v>159940</v>
      </c>
      <c r="G137" s="14" t="n">
        <v>23800</v>
      </c>
      <c r="H137" s="13" t="n">
        <v>136200</v>
      </c>
    </row>
    <row r="138" customFormat="false" ht="15" hidden="false" customHeight="false" outlineLevel="0" collapsed="false">
      <c r="A138" s="8"/>
      <c r="B138" s="2" t="n">
        <v>134</v>
      </c>
      <c r="C138" s="12" t="n">
        <v>23800</v>
      </c>
      <c r="D138" s="13" t="n">
        <v>136200</v>
      </c>
      <c r="E138" s="14" t="n">
        <v>0</v>
      </c>
      <c r="F138" s="15" t="n">
        <v>160000</v>
      </c>
      <c r="G138" s="14" t="n">
        <v>23800</v>
      </c>
      <c r="H138" s="13" t="n">
        <v>136200</v>
      </c>
    </row>
    <row r="139" customFormat="false" ht="15" hidden="false" customHeight="false" outlineLevel="0" collapsed="false">
      <c r="A139" s="8"/>
      <c r="B139" s="2" t="n">
        <v>135</v>
      </c>
      <c r="C139" s="12" t="n">
        <v>23400</v>
      </c>
      <c r="D139" s="13" t="n">
        <v>136600</v>
      </c>
      <c r="E139" s="14" t="n">
        <v>0</v>
      </c>
      <c r="F139" s="15" t="n">
        <v>160000</v>
      </c>
      <c r="G139" s="14" t="n">
        <v>23400</v>
      </c>
      <c r="H139" s="13" t="n">
        <v>136600</v>
      </c>
    </row>
    <row r="140" customFormat="false" ht="15" hidden="false" customHeight="false" outlineLevel="0" collapsed="false">
      <c r="A140" s="8"/>
      <c r="B140" s="2" t="n">
        <v>136</v>
      </c>
      <c r="C140" s="12" t="n">
        <v>23007</v>
      </c>
      <c r="D140" s="13" t="n">
        <v>136993</v>
      </c>
      <c r="E140" s="14" t="n">
        <v>11</v>
      </c>
      <c r="F140" s="15" t="n">
        <v>159989</v>
      </c>
      <c r="G140" s="14" t="n">
        <v>23001</v>
      </c>
      <c r="H140" s="13" t="n">
        <v>136999</v>
      </c>
    </row>
    <row r="141" customFormat="false" ht="15" hidden="false" customHeight="false" outlineLevel="0" collapsed="false">
      <c r="A141" s="8"/>
      <c r="B141" s="2" t="n">
        <v>137</v>
      </c>
      <c r="C141" s="12" t="n">
        <v>22600</v>
      </c>
      <c r="D141" s="13" t="n">
        <v>137400</v>
      </c>
      <c r="E141" s="14" t="n">
        <v>0</v>
      </c>
      <c r="F141" s="15" t="n">
        <v>160000</v>
      </c>
      <c r="G141" s="14" t="n">
        <v>22600</v>
      </c>
      <c r="H141" s="13" t="n">
        <v>137400</v>
      </c>
    </row>
    <row r="142" customFormat="false" ht="15" hidden="false" customHeight="false" outlineLevel="0" collapsed="false">
      <c r="A142" s="8"/>
      <c r="B142" s="2" t="n">
        <v>138</v>
      </c>
      <c r="C142" s="12" t="n">
        <v>22200</v>
      </c>
      <c r="D142" s="13" t="n">
        <v>137800</v>
      </c>
      <c r="E142" s="14" t="n">
        <v>4</v>
      </c>
      <c r="F142" s="15" t="n">
        <v>159996</v>
      </c>
      <c r="G142" s="14" t="n">
        <v>22200</v>
      </c>
      <c r="H142" s="13" t="n">
        <v>137800</v>
      </c>
    </row>
    <row r="143" customFormat="false" ht="15" hidden="false" customHeight="false" outlineLevel="0" collapsed="false">
      <c r="A143" s="8"/>
      <c r="B143" s="2" t="n">
        <v>139</v>
      </c>
      <c r="C143" s="12" t="n">
        <v>21799</v>
      </c>
      <c r="D143" s="13" t="n">
        <v>138201</v>
      </c>
      <c r="E143" s="14" t="n">
        <v>71</v>
      </c>
      <c r="F143" s="15" t="n">
        <v>159929</v>
      </c>
      <c r="G143" s="14" t="n">
        <v>21799</v>
      </c>
      <c r="H143" s="13" t="n">
        <v>138201</v>
      </c>
    </row>
    <row r="144" customFormat="false" ht="15" hidden="false" customHeight="false" outlineLevel="0" collapsed="false">
      <c r="A144" s="8"/>
      <c r="B144" s="2" t="n">
        <v>140</v>
      </c>
      <c r="C144" s="12" t="n">
        <v>21000</v>
      </c>
      <c r="D144" s="13" t="n">
        <v>139000</v>
      </c>
      <c r="E144" s="14" t="n">
        <v>46</v>
      </c>
      <c r="F144" s="15" t="n">
        <v>159954</v>
      </c>
      <c r="G144" s="14" t="n">
        <v>21000</v>
      </c>
      <c r="H144" s="13" t="n">
        <v>139000</v>
      </c>
    </row>
    <row r="145" customFormat="false" ht="15" hidden="false" customHeight="false" outlineLevel="0" collapsed="false">
      <c r="A145" s="8"/>
      <c r="B145" s="2" t="n">
        <v>141</v>
      </c>
      <c r="C145" s="12" t="n">
        <v>20614</v>
      </c>
      <c r="D145" s="13" t="n">
        <v>139386</v>
      </c>
      <c r="E145" s="14" t="n">
        <v>908</v>
      </c>
      <c r="F145" s="15" t="n">
        <v>159092</v>
      </c>
      <c r="G145" s="14" t="n">
        <v>20615</v>
      </c>
      <c r="H145" s="13" t="n">
        <v>139385</v>
      </c>
    </row>
    <row r="146" customFormat="false" ht="15" hidden="false" customHeight="false" outlineLevel="0" collapsed="false">
      <c r="A146" s="8"/>
      <c r="B146" s="2" t="n">
        <v>142</v>
      </c>
      <c r="C146" s="12" t="n">
        <v>20200</v>
      </c>
      <c r="D146" s="13" t="n">
        <v>139800</v>
      </c>
      <c r="E146" s="14" t="n">
        <v>529</v>
      </c>
      <c r="F146" s="15" t="n">
        <v>159471</v>
      </c>
      <c r="G146" s="14" t="n">
        <v>20200</v>
      </c>
      <c r="H146" s="13" t="n">
        <v>139800</v>
      </c>
    </row>
    <row r="147" customFormat="false" ht="15" hidden="false" customHeight="false" outlineLevel="0" collapsed="false">
      <c r="A147" s="8"/>
      <c r="B147" s="2" t="n">
        <v>143</v>
      </c>
      <c r="C147" s="12" t="n">
        <v>19998</v>
      </c>
      <c r="D147" s="13" t="n">
        <v>140002</v>
      </c>
      <c r="E147" s="14" t="n">
        <v>281</v>
      </c>
      <c r="F147" s="15" t="n">
        <v>159719</v>
      </c>
      <c r="G147" s="14" t="n">
        <v>19998</v>
      </c>
      <c r="H147" s="13" t="n">
        <v>140002</v>
      </c>
    </row>
    <row r="148" customFormat="false" ht="15" hidden="false" customHeight="false" outlineLevel="0" collapsed="false">
      <c r="A148" s="8"/>
      <c r="B148" s="2" t="n">
        <v>144</v>
      </c>
      <c r="C148" s="12" t="n">
        <v>19400</v>
      </c>
      <c r="D148" s="13" t="n">
        <v>140600</v>
      </c>
      <c r="E148" s="14" t="n">
        <v>0</v>
      </c>
      <c r="F148" s="15" t="n">
        <v>160000</v>
      </c>
      <c r="G148" s="14" t="n">
        <v>19400</v>
      </c>
      <c r="H148" s="13" t="n">
        <v>140600</v>
      </c>
    </row>
    <row r="149" customFormat="false" ht="15" hidden="false" customHeight="false" outlineLevel="0" collapsed="false">
      <c r="A149" s="8"/>
      <c r="B149" s="2" t="n">
        <v>145</v>
      </c>
      <c r="C149" s="12" t="n">
        <v>18600</v>
      </c>
      <c r="D149" s="13" t="n">
        <v>141400</v>
      </c>
      <c r="E149" s="14" t="n">
        <v>49</v>
      </c>
      <c r="F149" s="15" t="n">
        <v>159951</v>
      </c>
      <c r="G149" s="14" t="n">
        <v>18607</v>
      </c>
      <c r="H149" s="13" t="n">
        <v>141393</v>
      </c>
    </row>
    <row r="150" customFormat="false" ht="15" hidden="false" customHeight="false" outlineLevel="0" collapsed="false">
      <c r="A150" s="8"/>
      <c r="B150" s="2" t="n">
        <v>146</v>
      </c>
      <c r="C150" s="12" t="n">
        <v>18200</v>
      </c>
      <c r="D150" s="13" t="n">
        <v>141800</v>
      </c>
      <c r="E150" s="14" t="n">
        <v>130</v>
      </c>
      <c r="F150" s="15" t="n">
        <v>159870</v>
      </c>
      <c r="G150" s="14" t="n">
        <v>18208</v>
      </c>
      <c r="H150" s="13" t="n">
        <v>141792</v>
      </c>
    </row>
    <row r="151" customFormat="false" ht="15" hidden="false" customHeight="false" outlineLevel="0" collapsed="false">
      <c r="A151" s="8"/>
      <c r="B151" s="2" t="n">
        <v>147</v>
      </c>
      <c r="C151" s="12" t="n">
        <v>17408</v>
      </c>
      <c r="D151" s="13" t="n">
        <v>142592</v>
      </c>
      <c r="E151" s="14" t="n">
        <v>25</v>
      </c>
      <c r="F151" s="15" t="n">
        <v>159975</v>
      </c>
      <c r="G151" s="14" t="n">
        <v>17408</v>
      </c>
      <c r="H151" s="13" t="n">
        <v>142592</v>
      </c>
    </row>
    <row r="152" customFormat="false" ht="15" hidden="false" customHeight="false" outlineLevel="0" collapsed="false">
      <c r="A152" s="8"/>
      <c r="B152" s="2" t="n">
        <v>148</v>
      </c>
      <c r="C152" s="12" t="n">
        <v>17000</v>
      </c>
      <c r="D152" s="13" t="n">
        <v>143000</v>
      </c>
      <c r="E152" s="14" t="n">
        <v>25</v>
      </c>
      <c r="F152" s="15" t="n">
        <v>159975</v>
      </c>
      <c r="G152" s="14" t="n">
        <v>17000</v>
      </c>
      <c r="H152" s="13" t="n">
        <v>143000</v>
      </c>
    </row>
    <row r="153" customFormat="false" ht="15" hidden="false" customHeight="false" outlineLevel="0" collapsed="false">
      <c r="A153" s="8"/>
      <c r="B153" s="2" t="n">
        <v>149</v>
      </c>
      <c r="C153" s="12" t="n">
        <v>16200</v>
      </c>
      <c r="D153" s="13" t="n">
        <v>143800</v>
      </c>
      <c r="E153" s="14" t="n">
        <v>127</v>
      </c>
      <c r="F153" s="15" t="n">
        <v>159873</v>
      </c>
      <c r="G153" s="14" t="n">
        <v>16200</v>
      </c>
      <c r="H153" s="13" t="n">
        <v>143800</v>
      </c>
    </row>
    <row r="154" customFormat="false" ht="15" hidden="false" customHeight="false" outlineLevel="0" collapsed="false">
      <c r="A154" s="8"/>
      <c r="B154" s="2" t="n">
        <v>150</v>
      </c>
      <c r="C154" s="12" t="n">
        <v>15400</v>
      </c>
      <c r="D154" s="13" t="n">
        <v>144600</v>
      </c>
      <c r="E154" s="14" t="n">
        <v>80</v>
      </c>
      <c r="F154" s="15" t="n">
        <v>159920</v>
      </c>
      <c r="G154" s="14" t="n">
        <v>15400</v>
      </c>
      <c r="H154" s="13" t="n">
        <v>144600</v>
      </c>
    </row>
    <row r="155" customFormat="false" ht="15" hidden="false" customHeight="false" outlineLevel="0" collapsed="false">
      <c r="A155" s="8"/>
      <c r="B155" s="2" t="n">
        <v>151</v>
      </c>
      <c r="C155" s="12" t="n">
        <v>14600</v>
      </c>
      <c r="D155" s="13" t="n">
        <v>145400</v>
      </c>
      <c r="E155" s="14" t="n">
        <v>189</v>
      </c>
      <c r="F155" s="15" t="n">
        <v>159811</v>
      </c>
      <c r="G155" s="14" t="n">
        <v>14610</v>
      </c>
      <c r="H155" s="13" t="n">
        <v>145390</v>
      </c>
    </row>
    <row r="156" customFormat="false" ht="15" hidden="false" customHeight="false" outlineLevel="0" collapsed="false">
      <c r="A156" s="8"/>
      <c r="B156" s="2" t="n">
        <v>152</v>
      </c>
      <c r="C156" s="12" t="n">
        <v>13813</v>
      </c>
      <c r="D156" s="13" t="n">
        <v>146187</v>
      </c>
      <c r="E156" s="14" t="n">
        <v>9</v>
      </c>
      <c r="F156" s="15" t="n">
        <v>159991</v>
      </c>
      <c r="G156" s="14" t="n">
        <v>13819</v>
      </c>
      <c r="H156" s="13" t="n">
        <v>146181</v>
      </c>
    </row>
    <row r="157" customFormat="false" ht="15" hidden="false" customHeight="false" outlineLevel="0" collapsed="false">
      <c r="A157" s="8"/>
      <c r="B157" s="2" t="n">
        <v>153</v>
      </c>
      <c r="C157" s="12" t="n">
        <v>13000</v>
      </c>
      <c r="D157" s="13" t="n">
        <v>147000</v>
      </c>
      <c r="E157" s="14" t="n">
        <v>0</v>
      </c>
      <c r="F157" s="15" t="n">
        <v>160000</v>
      </c>
      <c r="G157" s="14" t="n">
        <v>13000</v>
      </c>
      <c r="H157" s="13" t="n">
        <v>147000</v>
      </c>
    </row>
    <row r="158" customFormat="false" ht="15" hidden="false" customHeight="false" outlineLevel="0" collapsed="false">
      <c r="A158" s="8"/>
      <c r="B158" s="2" t="n">
        <v>154</v>
      </c>
      <c r="C158" s="12" t="n">
        <v>12200</v>
      </c>
      <c r="D158" s="13" t="n">
        <v>147800</v>
      </c>
      <c r="E158" s="14" t="n">
        <v>46</v>
      </c>
      <c r="F158" s="15" t="n">
        <v>159954</v>
      </c>
      <c r="G158" s="14" t="n">
        <v>12200</v>
      </c>
      <c r="H158" s="13" t="n">
        <v>147800</v>
      </c>
    </row>
    <row r="159" customFormat="false" ht="15" hidden="false" customHeight="false" outlineLevel="0" collapsed="false">
      <c r="A159" s="8"/>
      <c r="B159" s="2" t="n">
        <v>155</v>
      </c>
      <c r="C159" s="12" t="n">
        <v>11008</v>
      </c>
      <c r="D159" s="13" t="n">
        <v>148992</v>
      </c>
      <c r="E159" s="14" t="n">
        <v>26</v>
      </c>
      <c r="F159" s="15" t="n">
        <v>159974</v>
      </c>
      <c r="G159" s="14" t="n">
        <v>11007</v>
      </c>
      <c r="H159" s="13" t="n">
        <v>148993</v>
      </c>
    </row>
    <row r="160" customFormat="false" ht="15" hidden="false" customHeight="false" outlineLevel="0" collapsed="false">
      <c r="A160" s="8"/>
      <c r="B160" s="2" t="n">
        <v>156</v>
      </c>
      <c r="C160" s="12" t="n">
        <v>9800</v>
      </c>
      <c r="D160" s="13" t="n">
        <v>150200</v>
      </c>
      <c r="E160" s="14" t="n">
        <v>199</v>
      </c>
      <c r="F160" s="15" t="n">
        <v>159801</v>
      </c>
      <c r="G160" s="14" t="n">
        <v>9800</v>
      </c>
      <c r="H160" s="13" t="n">
        <v>150200</v>
      </c>
    </row>
    <row r="161" customFormat="false" ht="15" hidden="false" customHeight="false" outlineLevel="0" collapsed="false">
      <c r="A161" s="8"/>
      <c r="B161" s="2" t="n">
        <v>157</v>
      </c>
      <c r="C161" s="12" t="n">
        <v>8600</v>
      </c>
      <c r="D161" s="13" t="n">
        <v>151400</v>
      </c>
      <c r="E161" s="14" t="n">
        <v>854</v>
      </c>
      <c r="F161" s="15" t="n">
        <v>159146</v>
      </c>
      <c r="G161" s="14" t="n">
        <v>8600</v>
      </c>
      <c r="H161" s="13" t="n">
        <v>151400</v>
      </c>
    </row>
    <row r="162" customFormat="false" ht="15" hidden="false" customHeight="false" outlineLevel="0" collapsed="false">
      <c r="A162" s="8"/>
      <c r="B162" s="2" t="n">
        <v>158</v>
      </c>
      <c r="C162" s="12" t="n">
        <v>7000</v>
      </c>
      <c r="D162" s="13" t="n">
        <v>153000</v>
      </c>
      <c r="E162" s="14" t="n">
        <v>0</v>
      </c>
      <c r="F162" s="15" t="n">
        <v>160000</v>
      </c>
      <c r="G162" s="14" t="n">
        <v>7000</v>
      </c>
      <c r="H162" s="13" t="n">
        <v>153000</v>
      </c>
    </row>
    <row r="163" customFormat="false" ht="15" hidden="false" customHeight="false" outlineLevel="0" collapsed="false">
      <c r="A163" s="8"/>
      <c r="B163" s="2" t="n">
        <v>159</v>
      </c>
      <c r="C163" s="12" t="n">
        <v>5000</v>
      </c>
      <c r="D163" s="13" t="n">
        <v>155000</v>
      </c>
      <c r="E163" s="14" t="n">
        <v>207</v>
      </c>
      <c r="F163" s="15" t="n">
        <v>159793</v>
      </c>
      <c r="G163" s="14" t="n">
        <v>5000</v>
      </c>
      <c r="H163" s="13" t="n">
        <v>155000</v>
      </c>
    </row>
    <row r="164" customFormat="false" ht="15" hidden="false" customHeight="false" outlineLevel="0" collapsed="false">
      <c r="A164" s="8"/>
      <c r="B164" s="2" t="n">
        <v>160</v>
      </c>
      <c r="C164" s="12" t="n">
        <v>200</v>
      </c>
      <c r="D164" s="13" t="n">
        <v>159800</v>
      </c>
      <c r="E164" s="14" t="n">
        <v>4</v>
      </c>
      <c r="F164" s="15" t="n">
        <v>159996</v>
      </c>
      <c r="G164" s="14" t="n">
        <v>199</v>
      </c>
      <c r="H164" s="13" t="n">
        <v>159801</v>
      </c>
    </row>
    <row r="165" customFormat="false" ht="15" hidden="false" customHeight="false" outlineLevel="0" collapsed="false">
      <c r="A165" s="8"/>
      <c r="B165" s="16" t="s">
        <v>8</v>
      </c>
      <c r="C165" s="17" t="n">
        <f aca="false">SUM(C4:C164)</f>
        <v>4017614</v>
      </c>
      <c r="D165" s="18" t="n">
        <f aca="false">SUM(D4:D164)</f>
        <v>21742386</v>
      </c>
      <c r="E165" s="19" t="n">
        <f aca="false">SUM(E4:E164)</f>
        <v>28799</v>
      </c>
      <c r="F165" s="20" t="n">
        <f aca="false">SUM(F4:F164)</f>
        <v>25731201</v>
      </c>
      <c r="G165" s="19" t="n">
        <f aca="false">SUM(G4:G164)</f>
        <v>4017828</v>
      </c>
      <c r="H165" s="18" t="n">
        <f aca="false">SUM(H4:H164)</f>
        <v>21742172</v>
      </c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</row>
    <row r="170" customFormat="false" ht="15" hidden="false" customHeight="false" outlineLevel="0" collapsed="false">
      <c r="A170" s="2"/>
      <c r="B170" s="3" t="s">
        <v>0</v>
      </c>
      <c r="C170" s="21" t="s">
        <v>9</v>
      </c>
      <c r="D170" s="21"/>
      <c r="E170" s="21"/>
      <c r="F170" s="21"/>
      <c r="G170" s="21"/>
      <c r="H170" s="21"/>
    </row>
    <row r="171" customFormat="false" ht="15" hidden="false" customHeight="false" outlineLevel="0" collapsed="false">
      <c r="A171" s="2"/>
      <c r="B171" s="3"/>
      <c r="C171" s="21" t="s">
        <v>3</v>
      </c>
      <c r="D171" s="21"/>
      <c r="E171" s="21"/>
      <c r="F171" s="7" t="s">
        <v>4</v>
      </c>
      <c r="G171" s="7"/>
      <c r="H171" s="7"/>
    </row>
    <row r="172" customFormat="false" ht="15" hidden="false" customHeight="false" outlineLevel="0" collapsed="false">
      <c r="A172" s="8" t="s">
        <v>10</v>
      </c>
      <c r="B172" s="3"/>
      <c r="C172" s="9" t="s">
        <v>6</v>
      </c>
      <c r="D172" s="22" t="str">
        <f aca="false">'Comparison with original'!F3</f>
        <v>#ffffff</v>
      </c>
      <c r="E172" s="23"/>
      <c r="F172" s="9" t="str">
        <f aca="false">G3</f>
        <v>#e65a4a</v>
      </c>
      <c r="G172" s="22" t="str">
        <f aca="false">H3</f>
        <v>#ffffff</v>
      </c>
      <c r="H172" s="23"/>
    </row>
    <row r="173" customFormat="false" ht="15" hidden="false" customHeight="false" outlineLevel="0" collapsed="false">
      <c r="A173" s="8"/>
      <c r="B173" s="14" t="n">
        <v>0</v>
      </c>
      <c r="C173" s="12" t="n">
        <f aca="false">(ABS(C4-E4)/C4)*100</f>
        <v>0</v>
      </c>
      <c r="D173" s="14" t="n">
        <f aca="false">(ABS(D4-F4)/D4)*100</f>
        <v>0</v>
      </c>
      <c r="E173" s="23"/>
      <c r="F173" s="14" t="n">
        <f aca="false">(ABS(C4-G4)/C4)*100</f>
        <v>0</v>
      </c>
      <c r="G173" s="14" t="n">
        <f aca="false">(ABS(D4-H4)/D4)*100</f>
        <v>0</v>
      </c>
      <c r="H173" s="23"/>
    </row>
    <row r="174" customFormat="false" ht="15" hidden="false" customHeight="false" outlineLevel="0" collapsed="false">
      <c r="A174" s="8"/>
      <c r="B174" s="14" t="n">
        <v>1</v>
      </c>
      <c r="C174" s="12" t="n">
        <f aca="false">(ABS(C5-E5)/C5)*100</f>
        <v>100</v>
      </c>
      <c r="D174" s="14" t="n">
        <f aca="false">(ABS(D5-F5)/D5)*100</f>
        <v>3.2258064516129</v>
      </c>
      <c r="E174" s="23"/>
      <c r="F174" s="14" t="n">
        <f aca="false">(ABS(C5-G5)/C5)*100</f>
        <v>0.02</v>
      </c>
      <c r="G174" s="14" t="n">
        <f aca="false">(ABS(D5-H5)/D5)*100</f>
        <v>0.000645161290322581</v>
      </c>
      <c r="H174" s="23"/>
    </row>
    <row r="175" customFormat="false" ht="15" hidden="false" customHeight="false" outlineLevel="0" collapsed="false">
      <c r="A175" s="8"/>
      <c r="B175" s="14" t="n">
        <v>2</v>
      </c>
      <c r="C175" s="12" t="n">
        <f aca="false">(ABS(C6-E6)/C6)*100</f>
        <v>100</v>
      </c>
      <c r="D175" s="14" t="n">
        <f aca="false">(ABS(D6-F6)/D6)*100</f>
        <v>4.57516339869281</v>
      </c>
      <c r="E175" s="23"/>
      <c r="F175" s="14" t="n">
        <f aca="false">(ABS(C6-G6)/C6)*100</f>
        <v>0.2</v>
      </c>
      <c r="G175" s="14" t="n">
        <f aca="false">(ABS(D6-H6)/D6)*100</f>
        <v>0.00915032679738562</v>
      </c>
      <c r="H175" s="23"/>
    </row>
    <row r="176" customFormat="false" ht="15" hidden="false" customHeight="false" outlineLevel="0" collapsed="false">
      <c r="A176" s="8"/>
      <c r="B176" s="14" t="n">
        <v>3</v>
      </c>
      <c r="C176" s="12" t="n">
        <f aca="false">(ABS(C7-E7)/C7)*100</f>
        <v>100</v>
      </c>
      <c r="D176" s="14" t="n">
        <f aca="false">(ABS(D7-F7)/D7)*100</f>
        <v>5.68031704095112</v>
      </c>
      <c r="E176" s="23"/>
      <c r="F176" s="14" t="n">
        <f aca="false">(ABS(C7-G7)/C7)*100</f>
        <v>0.0116279069767442</v>
      </c>
      <c r="G176" s="14" t="n">
        <f aca="false">(ABS(D7-H7)/D7)*100</f>
        <v>0.000660501981505945</v>
      </c>
      <c r="H176" s="23"/>
    </row>
    <row r="177" customFormat="false" ht="15" hidden="false" customHeight="false" outlineLevel="0" collapsed="false">
      <c r="A177" s="8"/>
      <c r="B177" s="14" t="n">
        <v>4</v>
      </c>
      <c r="C177" s="12" t="n">
        <f aca="false">(ABS(C8-E8)/C8)*100</f>
        <v>99.9898063200816</v>
      </c>
      <c r="D177" s="14" t="n">
        <f aca="false">(ABS(D8-F8)/D8)*100</f>
        <v>6.53106065650177</v>
      </c>
      <c r="E177" s="23"/>
      <c r="F177" s="14" t="n">
        <f aca="false">(ABS(C8-G8)/C8)*100</f>
        <v>0</v>
      </c>
      <c r="G177" s="14" t="n">
        <f aca="false">(ABS(D8-H8)/D8)*100</f>
        <v>0</v>
      </c>
      <c r="H177" s="23"/>
    </row>
    <row r="178" customFormat="false" ht="15" hidden="false" customHeight="false" outlineLevel="0" collapsed="false">
      <c r="A178" s="8"/>
      <c r="B178" s="14" t="n">
        <v>5</v>
      </c>
      <c r="C178" s="12" t="n">
        <f aca="false">(ABS(C9-E9)/C9)*100</f>
        <v>99.9818181818182</v>
      </c>
      <c r="D178" s="14" t="n">
        <f aca="false">(ABS(D9-F9)/D9)*100</f>
        <v>7.38120805369128</v>
      </c>
      <c r="E178" s="23"/>
      <c r="F178" s="14" t="n">
        <f aca="false">(ABS(C9-G9)/C9)*100</f>
        <v>0.0181818181818182</v>
      </c>
      <c r="G178" s="14" t="n">
        <f aca="false">(ABS(D9-H9)/D9)*100</f>
        <v>0.00134228187919463</v>
      </c>
      <c r="H178" s="23"/>
    </row>
    <row r="179" customFormat="false" ht="15" hidden="false" customHeight="false" outlineLevel="0" collapsed="false">
      <c r="A179" s="8"/>
      <c r="B179" s="14" t="n">
        <v>6</v>
      </c>
      <c r="C179" s="12" t="n">
        <f aca="false">(ABS(C10-E10)/C10)*100</f>
        <v>99.327868852459</v>
      </c>
      <c r="D179" s="14" t="n">
        <f aca="false">(ABS(D10-F10)/D10)*100</f>
        <v>8.19891745602165</v>
      </c>
      <c r="E179" s="23"/>
      <c r="F179" s="14" t="n">
        <f aca="false">(ABS(C10-G10)/C10)*100</f>
        <v>0.00819672131147541</v>
      </c>
      <c r="G179" s="14" t="n">
        <f aca="false">(ABS(D10-H10)/D10)*100</f>
        <v>0.0006765899864682</v>
      </c>
      <c r="H179" s="23"/>
    </row>
    <row r="180" customFormat="false" ht="15" hidden="false" customHeight="false" outlineLevel="0" collapsed="false">
      <c r="A180" s="8"/>
      <c r="B180" s="14" t="n">
        <v>7</v>
      </c>
      <c r="C180" s="12" t="n">
        <f aca="false">(ABS(C11-E11)/C11)*100</f>
        <v>99.9846142010924</v>
      </c>
      <c r="D180" s="14" t="n">
        <f aca="false">(ABS(D11-F11)/D11)*100</f>
        <v>8.84143645281325</v>
      </c>
      <c r="E180" s="23"/>
      <c r="F180" s="14" t="n">
        <f aca="false">(ABS(C11-G11)/C11)*100</f>
        <v>0.0153857989076083</v>
      </c>
      <c r="G180" s="14" t="n">
        <f aca="false">(ABS(D11-H11)/D11)*100</f>
        <v>0.00136053496234719</v>
      </c>
      <c r="H180" s="23"/>
    </row>
    <row r="181" customFormat="false" ht="15" hidden="false" customHeight="false" outlineLevel="0" collapsed="false">
      <c r="A181" s="8"/>
      <c r="B181" s="14" t="n">
        <v>8</v>
      </c>
      <c r="C181" s="12" t="n">
        <f aca="false">(ABS(C12-E12)/C12)*100</f>
        <v>99.9492753623188</v>
      </c>
      <c r="D181" s="14" t="n">
        <f aca="false">(ABS(D12-F12)/D12)*100</f>
        <v>9.4343365253078</v>
      </c>
      <c r="E181" s="23"/>
      <c r="F181" s="14" t="n">
        <f aca="false">(ABS(C12-G12)/C12)*100</f>
        <v>0.0144927536231884</v>
      </c>
      <c r="G181" s="14" t="n">
        <f aca="false">(ABS(D12-H12)/D12)*100</f>
        <v>0.00136798905608755</v>
      </c>
      <c r="H181" s="23"/>
    </row>
    <row r="182" customFormat="false" ht="15" hidden="false" customHeight="false" outlineLevel="0" collapsed="false">
      <c r="A182" s="8"/>
      <c r="B182" s="14" t="n">
        <v>9</v>
      </c>
      <c r="C182" s="12" t="n">
        <f aca="false">(ABS(C13-E13)/C13)*100</f>
        <v>99.8630136986301</v>
      </c>
      <c r="D182" s="14" t="n">
        <f aca="false">(ABS(D13-F13)/D13)*100</f>
        <v>10.0275103163686</v>
      </c>
      <c r="E182" s="23"/>
      <c r="F182" s="14" t="n">
        <f aca="false">(ABS(C13-G13)/C13)*100</f>
        <v>0.00684931506849315</v>
      </c>
      <c r="G182" s="14" t="n">
        <f aca="false">(ABS(D13-H13)/D13)*100</f>
        <v>0.000687757909215956</v>
      </c>
      <c r="H182" s="23"/>
    </row>
    <row r="183" customFormat="false" ht="15" hidden="false" customHeight="false" outlineLevel="0" collapsed="false">
      <c r="A183" s="8"/>
      <c r="B183" s="14" t="n">
        <v>10</v>
      </c>
      <c r="C183" s="12" t="n">
        <f aca="false">(ABS(C14-E14)/C14)*100</f>
        <v>99.948051948052</v>
      </c>
      <c r="D183" s="14" t="n">
        <f aca="false">(ABS(D14-F14)/D14)*100</f>
        <v>10.6445366528354</v>
      </c>
      <c r="E183" s="23"/>
      <c r="F183" s="14" t="n">
        <f aca="false">(ABS(C14-G14)/C14)*100</f>
        <v>0.012987012987013</v>
      </c>
      <c r="G183" s="14" t="n">
        <f aca="false">(ABS(D14-H14)/D14)*100</f>
        <v>0.00138312586445367</v>
      </c>
      <c r="H183" s="23"/>
    </row>
    <row r="184" customFormat="false" ht="15" hidden="false" customHeight="false" outlineLevel="0" collapsed="false">
      <c r="A184" s="8"/>
      <c r="B184" s="14" t="n">
        <v>11</v>
      </c>
      <c r="C184" s="12" t="n">
        <f aca="false">(ABS(C15-E15)/C15)*100</f>
        <v>99.9567901234568</v>
      </c>
      <c r="D184" s="14" t="n">
        <f aca="false">(ABS(D15-F15)/D15)*100</f>
        <v>11.2607788595271</v>
      </c>
      <c r="E184" s="23"/>
      <c r="F184" s="14" t="n">
        <f aca="false">(ABS(C15-G15)/C15)*100</f>
        <v>0.00617283950617284</v>
      </c>
      <c r="G184" s="14" t="n">
        <f aca="false">(ABS(D15-H15)/D15)*100</f>
        <v>0.000695410292072323</v>
      </c>
      <c r="H184" s="23"/>
    </row>
    <row r="185" customFormat="false" ht="15" hidden="false" customHeight="false" outlineLevel="0" collapsed="false">
      <c r="A185" s="8"/>
      <c r="B185" s="14" t="n">
        <v>12</v>
      </c>
      <c r="C185" s="12" t="n">
        <f aca="false">(ABS(C16-E16)/C16)*100</f>
        <v>99.9647038061062</v>
      </c>
      <c r="D185" s="14" t="n">
        <f aca="false">(ABS(D16-F16)/D16)*100</f>
        <v>11.8831336843798</v>
      </c>
      <c r="E185" s="23"/>
      <c r="F185" s="14" t="n">
        <f aca="false">(ABS(C16-G16)/C16)*100</f>
        <v>0.0117653979645862</v>
      </c>
      <c r="G185" s="14" t="n">
        <f aca="false">(ABS(D16-H16)/D16)*100</f>
        <v>0.00139859161824043</v>
      </c>
      <c r="H185" s="23"/>
    </row>
    <row r="186" customFormat="false" ht="15" hidden="false" customHeight="false" outlineLevel="0" collapsed="false">
      <c r="A186" s="8"/>
      <c r="B186" s="14" t="n">
        <v>13</v>
      </c>
      <c r="C186" s="12" t="n">
        <f aca="false">(ABS(C17-E17)/C17)*100</f>
        <v>99.9195956811394</v>
      </c>
      <c r="D186" s="14" t="n">
        <f aca="false">(ABS(D17-F17)/D17)*100</f>
        <v>12.201587791399</v>
      </c>
      <c r="E186" s="23"/>
      <c r="F186" s="14" t="n">
        <f aca="false">(ABS(C17-G17)/C17)*100</f>
        <v>0.0114863312657937</v>
      </c>
      <c r="G186" s="14" t="n">
        <f aca="false">(ABS(D17-H17)/D17)*100</f>
        <v>0.00140264257861812</v>
      </c>
      <c r="H186" s="23"/>
    </row>
    <row r="187" customFormat="false" ht="15" hidden="false" customHeight="false" outlineLevel="0" collapsed="false">
      <c r="A187" s="8"/>
      <c r="B187" s="14" t="n">
        <v>14</v>
      </c>
      <c r="C187" s="12" t="n">
        <f aca="false">(ABS(C18-E18)/C18)*100</f>
        <v>99.989010989011</v>
      </c>
      <c r="D187" s="14" t="n">
        <f aca="false">(ABS(D18-F18)/D18)*100</f>
        <v>12.8335684062059</v>
      </c>
      <c r="E187" s="23"/>
      <c r="F187" s="14" t="n">
        <f aca="false">(ABS(C18-G18)/C18)*100</f>
        <v>0.00549450549450549</v>
      </c>
      <c r="G187" s="14" t="n">
        <f aca="false">(ABS(D18-H18)/D18)*100</f>
        <v>0.000705218617771509</v>
      </c>
      <c r="H187" s="23"/>
    </row>
    <row r="188" customFormat="false" ht="15" hidden="false" customHeight="false" outlineLevel="0" collapsed="false">
      <c r="A188" s="8"/>
      <c r="B188" s="14" t="n">
        <v>15</v>
      </c>
      <c r="C188" s="12" t="n">
        <f aca="false">(ABS(C19-E19)/C19)*100</f>
        <v>99.989247311828</v>
      </c>
      <c r="D188" s="14" t="n">
        <f aca="false">(ABS(D19-F19)/D19)*100</f>
        <v>13.1527581329562</v>
      </c>
      <c r="E188" s="23"/>
      <c r="F188" s="14" t="n">
        <f aca="false">(ABS(C19-G19)/C19)*100</f>
        <v>0.00537634408602151</v>
      </c>
      <c r="G188" s="14" t="n">
        <f aca="false">(ABS(D19-H19)/D19)*100</f>
        <v>0.000707213578500707</v>
      </c>
      <c r="H188" s="23"/>
    </row>
    <row r="189" customFormat="false" ht="15" hidden="false" customHeight="false" outlineLevel="0" collapsed="false">
      <c r="A189" s="8"/>
      <c r="B189" s="14" t="n">
        <v>16</v>
      </c>
      <c r="C189" s="12" t="n">
        <f aca="false">(ABS(C20-E20)/C20)*100</f>
        <v>95.6030927835052</v>
      </c>
      <c r="D189" s="14" t="n">
        <f aca="false">(ABS(D20-F20)/D20)*100</f>
        <v>13.1913229018492</v>
      </c>
      <c r="E189" s="23"/>
      <c r="F189" s="14" t="n">
        <f aca="false">(ABS(C20-G20)/C20)*100</f>
        <v>0.0103092783505155</v>
      </c>
      <c r="G189" s="14" t="n">
        <f aca="false">(ABS(D20-H20)/D20)*100</f>
        <v>0.00142247510668563</v>
      </c>
      <c r="H189" s="23"/>
    </row>
    <row r="190" customFormat="false" ht="15" hidden="false" customHeight="false" outlineLevel="0" collapsed="false">
      <c r="A190" s="8"/>
      <c r="B190" s="14" t="n">
        <v>17</v>
      </c>
      <c r="C190" s="12" t="n">
        <f aca="false">(ABS(C21-E21)/C21)*100</f>
        <v>99.8787878787879</v>
      </c>
      <c r="D190" s="14" t="n">
        <f aca="false">(ABS(D21-F21)/D21)*100</f>
        <v>14.1055634807418</v>
      </c>
      <c r="E190" s="23"/>
      <c r="F190" s="14" t="n">
        <f aca="false">(ABS(C21-G21)/C21)*100</f>
        <v>0.0151515151515152</v>
      </c>
      <c r="G190" s="14" t="n">
        <f aca="false">(ABS(D21-H21)/D21)*100</f>
        <v>0.0021398002853067</v>
      </c>
      <c r="H190" s="23"/>
    </row>
    <row r="191" customFormat="false" ht="15" hidden="false" customHeight="false" outlineLevel="0" collapsed="false">
      <c r="A191" s="8"/>
      <c r="B191" s="14" t="n">
        <v>18</v>
      </c>
      <c r="C191" s="12" t="n">
        <f aca="false">(ABS(C22-E22)/C22)*100</f>
        <v>99.9455445544555</v>
      </c>
      <c r="D191" s="14" t="n">
        <f aca="false">(ABS(D22-F22)/D22)*100</f>
        <v>14.4413447782547</v>
      </c>
      <c r="E191" s="23"/>
      <c r="F191" s="14" t="n">
        <f aca="false">(ABS(C22-G22)/C22)*100</f>
        <v>0.0099009900990099</v>
      </c>
      <c r="G191" s="14" t="n">
        <f aca="false">(ABS(D22-H22)/D22)*100</f>
        <v>0.00143061516452074</v>
      </c>
      <c r="H191" s="23"/>
    </row>
    <row r="192" customFormat="false" ht="15" hidden="false" customHeight="false" outlineLevel="0" collapsed="false">
      <c r="A192" s="8"/>
      <c r="B192" s="14" t="n">
        <v>19</v>
      </c>
      <c r="C192" s="12" t="n">
        <f aca="false">(ABS(C23-E23)/C23)*100</f>
        <v>99.9611650485437</v>
      </c>
      <c r="D192" s="14" t="n">
        <f aca="false">(ABS(D23-F23)/D23)*100</f>
        <v>14.7718794835007</v>
      </c>
      <c r="E192" s="23"/>
      <c r="F192" s="14" t="n">
        <f aca="false">(ABS(C23-G23)/C23)*100</f>
        <v>0.0145631067961165</v>
      </c>
      <c r="G192" s="14" t="n">
        <f aca="false">(ABS(D23-H23)/D23)*100</f>
        <v>0.00215208034433286</v>
      </c>
      <c r="H192" s="23"/>
    </row>
    <row r="193" customFormat="false" ht="15" hidden="false" customHeight="false" outlineLevel="0" collapsed="false">
      <c r="A193" s="8"/>
      <c r="B193" s="14" t="n">
        <v>20</v>
      </c>
      <c r="C193" s="12" t="n">
        <f aca="false">(ABS(C24-E24)/C24)*100</f>
        <v>99.9619047619048</v>
      </c>
      <c r="D193" s="14" t="n">
        <f aca="false">(ABS(D24-F24)/D24)*100</f>
        <v>15.1021582733813</v>
      </c>
      <c r="E193" s="23"/>
      <c r="F193" s="14" t="n">
        <f aca="false">(ABS(C24-G24)/C24)*100</f>
        <v>0.00476190476190476</v>
      </c>
      <c r="G193" s="14" t="n">
        <f aca="false">(ABS(D24-H24)/D24)*100</f>
        <v>0.000719424460431655</v>
      </c>
      <c r="H193" s="23"/>
    </row>
    <row r="194" customFormat="false" ht="15" hidden="false" customHeight="false" outlineLevel="0" collapsed="false">
      <c r="A194" s="8"/>
      <c r="B194" s="14" t="n">
        <v>21</v>
      </c>
      <c r="C194" s="12" t="n">
        <f aca="false">(ABS(C25-E25)/C25)*100</f>
        <v>95.0089453644663</v>
      </c>
      <c r="D194" s="14" t="n">
        <f aca="false">(ABS(D25-F25)/D25)*100</f>
        <v>14.9861433708873</v>
      </c>
      <c r="E194" s="23"/>
      <c r="F194" s="14" t="n">
        <f aca="false">(ABS(C25-G25)/C25)*100</f>
        <v>0</v>
      </c>
      <c r="G194" s="14" t="n">
        <f aca="false">(ABS(D25-H25)/D25)*100</f>
        <v>0</v>
      </c>
      <c r="H194" s="23"/>
    </row>
    <row r="195" customFormat="false" ht="15" hidden="false" customHeight="false" outlineLevel="0" collapsed="false">
      <c r="A195" s="8"/>
      <c r="B195" s="14" t="n">
        <v>22</v>
      </c>
      <c r="C195" s="12" t="n">
        <f aca="false">(ABS(C26-E26)/C26)*100</f>
        <v>99.9099099099099</v>
      </c>
      <c r="D195" s="14" t="n">
        <f aca="false">(ABS(D26-F26)/D26)*100</f>
        <v>16.0957910014514</v>
      </c>
      <c r="E195" s="23"/>
      <c r="F195" s="14" t="n">
        <f aca="false">(ABS(C26-G26)/C26)*100</f>
        <v>0</v>
      </c>
      <c r="G195" s="14" t="n">
        <f aca="false">(ABS(D26-H26)/D26)*100</f>
        <v>0</v>
      </c>
      <c r="H195" s="23"/>
    </row>
    <row r="196" customFormat="false" ht="15" hidden="false" customHeight="false" outlineLevel="0" collapsed="false">
      <c r="A196" s="8"/>
      <c r="B196" s="14" t="n">
        <v>23</v>
      </c>
      <c r="C196" s="12" t="n">
        <f aca="false">(ABS(C27-E27)/C27)*100</f>
        <v>99.712389380531</v>
      </c>
      <c r="D196" s="14" t="n">
        <f aca="false">(ABS(D27-F27)/D27)*100</f>
        <v>16.401018922853</v>
      </c>
      <c r="E196" s="23"/>
      <c r="F196" s="14" t="n">
        <f aca="false">(ABS(C27-G27)/C27)*100</f>
        <v>0.00442477876106195</v>
      </c>
      <c r="G196" s="14" t="n">
        <f aca="false">(ABS(D27-H27)/D27)*100</f>
        <v>0.000727802037845706</v>
      </c>
      <c r="H196" s="23"/>
    </row>
    <row r="197" customFormat="false" ht="15" hidden="false" customHeight="false" outlineLevel="0" collapsed="false">
      <c r="A197" s="8"/>
      <c r="B197" s="14" t="n">
        <v>24</v>
      </c>
      <c r="C197" s="12" t="n">
        <f aca="false">(ABS(C28-E28)/C28)*100</f>
        <v>92.1260869565217</v>
      </c>
      <c r="D197" s="14" t="n">
        <f aca="false">(ABS(D28-F28)/D28)*100</f>
        <v>15.4664233576642</v>
      </c>
      <c r="E197" s="23"/>
      <c r="F197" s="14" t="n">
        <f aca="false">(ABS(C28-G28)/C28)*100</f>
        <v>0.00434782608695652</v>
      </c>
      <c r="G197" s="14" t="n">
        <f aca="false">(ABS(D28-H28)/D28)*100</f>
        <v>0.00072992700729927</v>
      </c>
      <c r="H197" s="23"/>
    </row>
    <row r="198" customFormat="false" ht="15" hidden="false" customHeight="false" outlineLevel="0" collapsed="false">
      <c r="A198" s="8"/>
      <c r="B198" s="14" t="n">
        <v>25</v>
      </c>
      <c r="C198" s="12" t="n">
        <f aca="false">(ABS(C29-E29)/C29)*100</f>
        <v>99.8076923076923</v>
      </c>
      <c r="D198" s="14" t="n">
        <f aca="false">(ABS(D29-F29)/D29)*100</f>
        <v>17.097364568082</v>
      </c>
      <c r="E198" s="23"/>
      <c r="F198" s="14" t="n">
        <f aca="false">(ABS(C29-G29)/C29)*100</f>
        <v>0</v>
      </c>
      <c r="G198" s="14" t="n">
        <f aca="false">(ABS(D29-H29)/D29)*100</f>
        <v>0</v>
      </c>
      <c r="H198" s="23"/>
    </row>
    <row r="199" customFormat="false" ht="15" hidden="false" customHeight="false" outlineLevel="0" collapsed="false">
      <c r="A199" s="8"/>
      <c r="B199" s="14" t="n">
        <v>26</v>
      </c>
      <c r="C199" s="12" t="n">
        <f aca="false">(ABS(C30-E30)/C30)*100</f>
        <v>95.3991596638656</v>
      </c>
      <c r="D199" s="14" t="n">
        <f aca="false">(ABS(D30-F30)/D30)*100</f>
        <v>16.6703377386197</v>
      </c>
      <c r="E199" s="23"/>
      <c r="F199" s="14" t="n">
        <f aca="false">(ABS(C30-G30)/C30)*100</f>
        <v>0.00840336134453782</v>
      </c>
      <c r="G199" s="14" t="n">
        <f aca="false">(ABS(D30-H30)/D30)*100</f>
        <v>0.00146842878120411</v>
      </c>
      <c r="H199" s="23"/>
    </row>
    <row r="200" customFormat="false" ht="15" hidden="false" customHeight="false" outlineLevel="0" collapsed="false">
      <c r="A200" s="8"/>
      <c r="B200" s="14" t="n">
        <v>27</v>
      </c>
      <c r="C200" s="12" t="n">
        <f aca="false">(ABS(C31-E31)/C31)*100</f>
        <v>95.9957983193277</v>
      </c>
      <c r="D200" s="14" t="n">
        <f aca="false">(ABS(D31-F31)/D31)*100</f>
        <v>16.7745961820852</v>
      </c>
      <c r="E200" s="23"/>
      <c r="F200" s="14" t="n">
        <f aca="false">(ABS(C31-G31)/C31)*100</f>
        <v>0.00420168067226891</v>
      </c>
      <c r="G200" s="14" t="n">
        <f aca="false">(ABS(D31-H31)/D31)*100</f>
        <v>0.000734214390602056</v>
      </c>
      <c r="H200" s="23"/>
    </row>
    <row r="201" customFormat="false" ht="15" hidden="false" customHeight="false" outlineLevel="0" collapsed="false">
      <c r="A201" s="8"/>
      <c r="B201" s="14" t="n">
        <v>28</v>
      </c>
      <c r="C201" s="12" t="n">
        <f aca="false">(ABS(C32-E32)/C32)*100</f>
        <v>99.8760279350386</v>
      </c>
      <c r="D201" s="14" t="n">
        <f aca="false">(ABS(D32-F32)/D32)*100</f>
        <v>17.797365262406</v>
      </c>
      <c r="E201" s="23"/>
      <c r="F201" s="14" t="n">
        <f aca="false">(ABS(C32-G32)/C32)*100</f>
        <v>0</v>
      </c>
      <c r="G201" s="14" t="n">
        <f aca="false">(ABS(D32-H32)/D32)*100</f>
        <v>0</v>
      </c>
      <c r="H201" s="23"/>
    </row>
    <row r="202" customFormat="false" ht="15" hidden="false" customHeight="false" outlineLevel="0" collapsed="false">
      <c r="A202" s="8"/>
      <c r="B202" s="14" t="n">
        <v>29</v>
      </c>
      <c r="C202" s="12" t="n">
        <f aca="false">(ABS(C33-E33)/C33)*100</f>
        <v>99.9715447154472</v>
      </c>
      <c r="D202" s="14" t="n">
        <f aca="false">(ABS(D33-F33)/D33)*100</f>
        <v>18.1632200886263</v>
      </c>
      <c r="E202" s="23"/>
      <c r="F202" s="14" t="n">
        <f aca="false">(ABS(C33-G33)/C33)*100</f>
        <v>0.0040650406504065</v>
      </c>
      <c r="G202" s="14" t="n">
        <f aca="false">(ABS(D33-H33)/D33)*100</f>
        <v>0.000738552437223043</v>
      </c>
      <c r="H202" s="23"/>
    </row>
    <row r="203" customFormat="false" ht="15" hidden="false" customHeight="false" outlineLevel="0" collapsed="false">
      <c r="A203" s="8"/>
      <c r="B203" s="14" t="n">
        <v>30</v>
      </c>
      <c r="C203" s="12" t="n">
        <f aca="false">(ABS(C34-E34)/C34)*100</f>
        <v>99.9840089549852</v>
      </c>
      <c r="D203" s="14" t="n">
        <f aca="false">(ABS(D34-F34)/D34)*100</f>
        <v>18.5278473323159</v>
      </c>
      <c r="E203" s="23"/>
      <c r="F203" s="14" t="n">
        <f aca="false">(ABS(C34-G34)/C34)*100</f>
        <v>0.00799552250739586</v>
      </c>
      <c r="G203" s="14" t="n">
        <f aca="false">(ABS(D34-H34)/D34)*100</f>
        <v>0.00148163513253226</v>
      </c>
      <c r="H203" s="23"/>
    </row>
    <row r="204" customFormat="false" ht="15" hidden="false" customHeight="false" outlineLevel="0" collapsed="false">
      <c r="A204" s="8"/>
      <c r="B204" s="14" t="n">
        <v>31</v>
      </c>
      <c r="C204" s="12" t="n">
        <f aca="false">(ABS(C35-E35)/C35)*100</f>
        <v>96.8267716535433</v>
      </c>
      <c r="D204" s="14" t="n">
        <f aca="false">(ABS(D35-F35)/D35)*100</f>
        <v>18.2719167904903</v>
      </c>
      <c r="E204" s="23"/>
      <c r="F204" s="14" t="n">
        <f aca="false">(ABS(C35-G35)/C35)*100</f>
        <v>0.00393700787401575</v>
      </c>
      <c r="G204" s="14" t="n">
        <f aca="false">(ABS(D35-H35)/D35)*100</f>
        <v>0.000742942050520059</v>
      </c>
      <c r="H204" s="23"/>
    </row>
    <row r="205" customFormat="false" ht="15" hidden="false" customHeight="false" outlineLevel="0" collapsed="false">
      <c r="A205" s="8"/>
      <c r="B205" s="14" t="n">
        <v>32</v>
      </c>
      <c r="C205" s="12" t="n">
        <f aca="false">(ABS(C36-E36)/C36)*100</f>
        <v>98.7906976744186</v>
      </c>
      <c r="D205" s="14" t="n">
        <f aca="false">(ABS(D36-F36)/D36)*100</f>
        <v>18.9925484351714</v>
      </c>
      <c r="E205" s="23"/>
      <c r="F205" s="14" t="n">
        <f aca="false">(ABS(C36-G36)/C36)*100</f>
        <v>0.00387596899224806</v>
      </c>
      <c r="G205" s="14" t="n">
        <f aca="false">(ABS(D36-H36)/D36)*100</f>
        <v>0.000745156482861401</v>
      </c>
      <c r="H205" s="23"/>
    </row>
    <row r="206" customFormat="false" ht="15" hidden="false" customHeight="false" outlineLevel="0" collapsed="false">
      <c r="A206" s="8"/>
      <c r="B206" s="14" t="n">
        <v>33</v>
      </c>
      <c r="C206" s="12" t="n">
        <f aca="false">(ABS(C37-E37)/C37)*100</f>
        <v>98.1821705426357</v>
      </c>
      <c r="D206" s="14" t="n">
        <f aca="false">(ABS(D37-F37)/D37)*100</f>
        <v>18.8755588673621</v>
      </c>
      <c r="E206" s="23"/>
      <c r="F206" s="14" t="n">
        <f aca="false">(ABS(C37-G37)/C37)*100</f>
        <v>0.00387596899224806</v>
      </c>
      <c r="G206" s="14" t="n">
        <f aca="false">(ABS(D37-H37)/D37)*100</f>
        <v>0.000745156482861401</v>
      </c>
      <c r="H206" s="23"/>
    </row>
    <row r="207" customFormat="false" ht="15" hidden="false" customHeight="false" outlineLevel="0" collapsed="false">
      <c r="A207" s="8"/>
      <c r="B207" s="14" t="n">
        <v>34</v>
      </c>
      <c r="C207" s="12" t="n">
        <f aca="false">(ABS(C38-E38)/C38)*100</f>
        <v>99.9160305343511</v>
      </c>
      <c r="D207" s="14" t="n">
        <f aca="false">(ABS(D38-F38)/D38)*100</f>
        <v>19.5650224215247</v>
      </c>
      <c r="E207" s="23"/>
      <c r="F207" s="14" t="n">
        <f aca="false">(ABS(C38-G38)/C38)*100</f>
        <v>0</v>
      </c>
      <c r="G207" s="14" t="n">
        <f aca="false">(ABS(D38-H38)/D38)*100</f>
        <v>0</v>
      </c>
      <c r="H207" s="23"/>
    </row>
    <row r="208" customFormat="false" ht="15" hidden="false" customHeight="false" outlineLevel="0" collapsed="false">
      <c r="A208" s="8"/>
      <c r="B208" s="14" t="n">
        <v>35</v>
      </c>
      <c r="C208" s="12" t="n">
        <f aca="false">(ABS(C39-E39)/C39)*100</f>
        <v>99.7406015037594</v>
      </c>
      <c r="D208" s="14" t="n">
        <f aca="false">(ABS(D39-F39)/D39)*100</f>
        <v>19.8883058470765</v>
      </c>
      <c r="E208" s="23"/>
      <c r="F208" s="14" t="n">
        <f aca="false">(ABS(C39-G39)/C39)*100</f>
        <v>0.0075187969924812</v>
      </c>
      <c r="G208" s="14" t="n">
        <f aca="false">(ABS(D39-H39)/D39)*100</f>
        <v>0.00149925037481259</v>
      </c>
      <c r="H208" s="23"/>
    </row>
    <row r="209" customFormat="false" ht="15" hidden="false" customHeight="false" outlineLevel="0" collapsed="false">
      <c r="A209" s="8"/>
      <c r="B209" s="14" t="n">
        <v>36</v>
      </c>
      <c r="C209" s="12" t="n">
        <f aca="false">(ABS(C40-E40)/C40)*100</f>
        <v>99.9548872180451</v>
      </c>
      <c r="D209" s="14" t="n">
        <f aca="false">(ABS(D40-F40)/D40)*100</f>
        <v>19.9310344827586</v>
      </c>
      <c r="E209" s="23"/>
      <c r="F209" s="14" t="n">
        <f aca="false">(ABS(C40-G40)/C40)*100</f>
        <v>0.0075187969924812</v>
      </c>
      <c r="G209" s="14" t="n">
        <f aca="false">(ABS(D40-H40)/D40)*100</f>
        <v>0.00149925037481259</v>
      </c>
      <c r="H209" s="23"/>
    </row>
    <row r="210" customFormat="false" ht="15" hidden="false" customHeight="false" outlineLevel="0" collapsed="false">
      <c r="A210" s="8"/>
      <c r="B210" s="14" t="n">
        <v>37</v>
      </c>
      <c r="C210" s="12" t="n">
        <f aca="false">(ABS(C41-E41)/C41)*100</f>
        <v>99.7741493576215</v>
      </c>
      <c r="D210" s="14" t="n">
        <f aca="false">(ABS(D41-F41)/D41)*100</f>
        <v>20.2630253175027</v>
      </c>
      <c r="E210" s="23"/>
      <c r="F210" s="14" t="n">
        <f aca="false">(ABS(C41-G41)/C41)*100</f>
        <v>0.00370246954718797</v>
      </c>
      <c r="G210" s="14" t="n">
        <f aca="false">(ABS(D41-H41)/D41)*100</f>
        <v>0.000751930581768691</v>
      </c>
      <c r="H210" s="23"/>
    </row>
    <row r="211" customFormat="false" ht="15" hidden="false" customHeight="false" outlineLevel="0" collapsed="false">
      <c r="A211" s="8"/>
      <c r="B211" s="14" t="n">
        <v>38</v>
      </c>
      <c r="C211" s="12" t="n">
        <f aca="false">(ABS(C42-E42)/C42)*100</f>
        <v>97.7225446184167</v>
      </c>
      <c r="D211" s="14" t="n">
        <f aca="false">(ABS(D42-F42)/D42)*100</f>
        <v>20.1921554136093</v>
      </c>
      <c r="E211" s="23"/>
      <c r="F211" s="14" t="n">
        <f aca="false">(ABS(C42-G42)/C42)*100</f>
        <v>0.00729953647943356</v>
      </c>
      <c r="G211" s="14" t="n">
        <f aca="false">(ABS(D42-H42)/D42)*100</f>
        <v>0.00150828425124999</v>
      </c>
      <c r="H211" s="23"/>
    </row>
    <row r="212" customFormat="false" ht="15" hidden="false" customHeight="false" outlineLevel="0" collapsed="false">
      <c r="A212" s="8"/>
      <c r="B212" s="14" t="n">
        <v>39</v>
      </c>
      <c r="C212" s="12" t="n">
        <f aca="false">(ABS(C43-E43)/C43)*100</f>
        <v>99.8357664233577</v>
      </c>
      <c r="D212" s="14" t="n">
        <f aca="false">(ABS(D43-F43)/D43)*100</f>
        <v>20.6297134238311</v>
      </c>
      <c r="E212" s="23"/>
      <c r="F212" s="14" t="n">
        <f aca="false">(ABS(C43-G43)/C43)*100</f>
        <v>0.00364963503649635</v>
      </c>
      <c r="G212" s="14" t="n">
        <f aca="false">(ABS(D43-H43)/D43)*100</f>
        <v>0.000754147812971342</v>
      </c>
      <c r="H212" s="23"/>
    </row>
    <row r="213" customFormat="false" ht="15" hidden="false" customHeight="false" outlineLevel="0" collapsed="false">
      <c r="A213" s="8"/>
      <c r="B213" s="14" t="n">
        <v>40</v>
      </c>
      <c r="C213" s="12" t="n">
        <f aca="false">(ABS(C44-E44)/C44)*100</f>
        <v>99.9136690647482</v>
      </c>
      <c r="D213" s="14" t="n">
        <f aca="false">(ABS(D44-F44)/D44)*100</f>
        <v>21.0105900151286</v>
      </c>
      <c r="E213" s="23"/>
      <c r="F213" s="14" t="n">
        <f aca="false">(ABS(C44-G44)/C44)*100</f>
        <v>0.00719424460431655</v>
      </c>
      <c r="G213" s="14" t="n">
        <f aca="false">(ABS(D44-H44)/D44)*100</f>
        <v>0.00151285930408472</v>
      </c>
      <c r="H213" s="23"/>
    </row>
    <row r="214" customFormat="false" ht="15" hidden="false" customHeight="false" outlineLevel="0" collapsed="false">
      <c r="A214" s="8"/>
      <c r="B214" s="14" t="n">
        <v>41</v>
      </c>
      <c r="C214" s="12" t="n">
        <f aca="false">(ABS(C45-E45)/C45)*100</f>
        <v>99.8309352517986</v>
      </c>
      <c r="D214" s="14" t="n">
        <f aca="false">(ABS(D45-F45)/D45)*100</f>
        <v>20.9931921331316</v>
      </c>
      <c r="E214" s="23"/>
      <c r="F214" s="14" t="n">
        <f aca="false">(ABS(C45-G45)/C45)*100</f>
        <v>0.00719424460431655</v>
      </c>
      <c r="G214" s="14" t="n">
        <f aca="false">(ABS(D45-H45)/D45)*100</f>
        <v>0.00151285930408472</v>
      </c>
      <c r="H214" s="23"/>
    </row>
    <row r="215" customFormat="false" ht="15" hidden="false" customHeight="false" outlineLevel="0" collapsed="false">
      <c r="A215" s="8"/>
      <c r="B215" s="14" t="n">
        <v>42</v>
      </c>
      <c r="C215" s="12" t="n">
        <f aca="false">(ABS(C46-E46)/C46)*100</f>
        <v>99.9609929078014</v>
      </c>
      <c r="D215" s="14" t="n">
        <f aca="false">(ABS(D46-F46)/D46)*100</f>
        <v>21.3877086494689</v>
      </c>
      <c r="E215" s="23"/>
      <c r="F215" s="14" t="n">
        <f aca="false">(ABS(C46-G46)/C46)*100</f>
        <v>0.00709219858156028</v>
      </c>
      <c r="G215" s="14" t="n">
        <f aca="false">(ABS(D46-H46)/D46)*100</f>
        <v>0.00151745068285281</v>
      </c>
      <c r="H215" s="23"/>
    </row>
    <row r="216" customFormat="false" ht="15" hidden="false" customHeight="false" outlineLevel="0" collapsed="false">
      <c r="A216" s="8"/>
      <c r="B216" s="14" t="n">
        <v>43</v>
      </c>
      <c r="C216" s="12" t="n">
        <f aca="false">(ABS(C47-E47)/C47)*100</f>
        <v>99.9255319148936</v>
      </c>
      <c r="D216" s="14" t="n">
        <f aca="false">(ABS(D47-F47)/D47)*100</f>
        <v>21.3801213960546</v>
      </c>
      <c r="E216" s="23"/>
      <c r="F216" s="14" t="n">
        <f aca="false">(ABS(C47-G47)/C47)*100</f>
        <v>0.00709219858156028</v>
      </c>
      <c r="G216" s="14" t="n">
        <f aca="false">(ABS(D47-H47)/D47)*100</f>
        <v>0.00151745068285281</v>
      </c>
      <c r="H216" s="23"/>
    </row>
    <row r="217" customFormat="false" ht="15" hidden="false" customHeight="false" outlineLevel="0" collapsed="false">
      <c r="A217" s="8"/>
      <c r="B217" s="14" t="n">
        <v>44</v>
      </c>
      <c r="C217" s="12" t="n">
        <f aca="false">(ABS(C48-E48)/C48)*100</f>
        <v>99.986013986014</v>
      </c>
      <c r="D217" s="14" t="n">
        <f aca="false">(ABS(D48-F48)/D48)*100</f>
        <v>21.7625570776256</v>
      </c>
      <c r="E217" s="23"/>
      <c r="F217" s="14" t="n">
        <f aca="false">(ABS(C48-G48)/C48)*100</f>
        <v>0.0034965034965035</v>
      </c>
      <c r="G217" s="14" t="n">
        <f aca="false">(ABS(D48-H48)/D48)*100</f>
        <v>0.00076103500761035</v>
      </c>
      <c r="H217" s="23"/>
    </row>
    <row r="218" customFormat="false" ht="15" hidden="false" customHeight="false" outlineLevel="0" collapsed="false">
      <c r="A218" s="8"/>
      <c r="B218" s="14" t="n">
        <v>45</v>
      </c>
      <c r="C218" s="12" t="n">
        <f aca="false">(ABS(C49-E49)/C49)*100</f>
        <v>99.9580404909263</v>
      </c>
      <c r="D218" s="14" t="n">
        <f aca="false">(ABS(D49-F49)/D49)*100</f>
        <v>21.7555421952649</v>
      </c>
      <c r="E218" s="23"/>
      <c r="F218" s="14" t="n">
        <f aca="false">(ABS(C49-G49)/C49)*100</f>
        <v>0.00699325151229064</v>
      </c>
      <c r="G218" s="14" t="n">
        <f aca="false">(ABS(D49-H49)/D49)*100</f>
        <v>0.0015220584318232</v>
      </c>
      <c r="H218" s="23"/>
    </row>
    <row r="219" customFormat="false" ht="15" hidden="false" customHeight="false" outlineLevel="0" collapsed="false">
      <c r="A219" s="8"/>
      <c r="B219" s="14" t="n">
        <v>46</v>
      </c>
      <c r="C219" s="12" t="n">
        <f aca="false">(ABS(C50-E50)/C50)*100</f>
        <v>99.9758620689655</v>
      </c>
      <c r="D219" s="14" t="n">
        <f aca="false">(ABS(D50-F50)/D50)*100</f>
        <v>22.1320610687023</v>
      </c>
      <c r="E219" s="23"/>
      <c r="F219" s="14" t="n">
        <f aca="false">(ABS(C50-G50)/C50)*100</f>
        <v>0.00689655172413793</v>
      </c>
      <c r="G219" s="14" t="n">
        <f aca="false">(ABS(D50-H50)/D50)*100</f>
        <v>0.00152671755725191</v>
      </c>
      <c r="H219" s="23"/>
    </row>
    <row r="220" customFormat="false" ht="15" hidden="false" customHeight="false" outlineLevel="0" collapsed="false">
      <c r="A220" s="8"/>
      <c r="B220" s="14" t="n">
        <v>47</v>
      </c>
      <c r="C220" s="12" t="n">
        <f aca="false">(ABS(C51-E51)/C51)*100</f>
        <v>99.9793103448276</v>
      </c>
      <c r="D220" s="14" t="n">
        <f aca="false">(ABS(D51-F51)/D51)*100</f>
        <v>22.1328244274809</v>
      </c>
      <c r="E220" s="23"/>
      <c r="F220" s="14" t="n">
        <f aca="false">(ABS(C51-G51)/C51)*100</f>
        <v>0.00689655172413793</v>
      </c>
      <c r="G220" s="14" t="n">
        <f aca="false">(ABS(D51-H51)/D51)*100</f>
        <v>0.00152671755725191</v>
      </c>
      <c r="H220" s="23"/>
    </row>
    <row r="221" customFormat="false" ht="15" hidden="false" customHeight="false" outlineLevel="0" collapsed="false">
      <c r="A221" s="8"/>
      <c r="B221" s="14" t="n">
        <v>48</v>
      </c>
      <c r="C221" s="12" t="n">
        <f aca="false">(ABS(C52-E52)/C52)*100</f>
        <v>99.9931972789116</v>
      </c>
      <c r="D221" s="14" t="n">
        <f aca="false">(ABS(D52-F52)/D52)*100</f>
        <v>22.509954058193</v>
      </c>
      <c r="E221" s="23"/>
      <c r="F221" s="14" t="n">
        <f aca="false">(ABS(C52-G52)/C52)*100</f>
        <v>0.00680272108843537</v>
      </c>
      <c r="G221" s="14" t="n">
        <f aca="false">(ABS(D52-H52)/D52)*100</f>
        <v>0.00153139356814701</v>
      </c>
      <c r="H221" s="23"/>
    </row>
    <row r="222" customFormat="false" ht="15" hidden="false" customHeight="false" outlineLevel="0" collapsed="false">
      <c r="A222" s="8"/>
      <c r="B222" s="14" t="n">
        <v>49</v>
      </c>
      <c r="C222" s="12" t="n">
        <f aca="false">(ABS(C53-E53)/C53)*100</f>
        <v>98.3061224489796</v>
      </c>
      <c r="D222" s="14" t="n">
        <f aca="false">(ABS(D53-F53)/D53)*100</f>
        <v>22.1301684532925</v>
      </c>
      <c r="E222" s="23"/>
      <c r="F222" s="14" t="n">
        <f aca="false">(ABS(C53-G53)/C53)*100</f>
        <v>0.00680272108843537</v>
      </c>
      <c r="G222" s="14" t="n">
        <f aca="false">(ABS(D53-H53)/D53)*100</f>
        <v>0.00153139356814701</v>
      </c>
      <c r="H222" s="23"/>
    </row>
    <row r="223" customFormat="false" ht="15" hidden="false" customHeight="false" outlineLevel="0" collapsed="false">
      <c r="A223" s="8"/>
      <c r="B223" s="14" t="n">
        <v>50</v>
      </c>
      <c r="C223" s="12" t="n">
        <f aca="false">(ABS(C54-E54)/C54)*100</f>
        <v>99.9798657718121</v>
      </c>
      <c r="D223" s="14" t="n">
        <f aca="false">(ABS(D54-F54)/D54)*100</f>
        <v>22.8832565284178</v>
      </c>
      <c r="E223" s="23"/>
      <c r="F223" s="14" t="n">
        <f aca="false">(ABS(C54-G54)/C54)*100</f>
        <v>0.00335570469798658</v>
      </c>
      <c r="G223" s="14" t="n">
        <f aca="false">(ABS(D54-H54)/D54)*100</f>
        <v>0.000768049155145929</v>
      </c>
      <c r="H223" s="23"/>
    </row>
    <row r="224" customFormat="false" ht="15" hidden="false" customHeight="false" outlineLevel="0" collapsed="false">
      <c r="A224" s="8"/>
      <c r="B224" s="14" t="n">
        <v>51</v>
      </c>
      <c r="C224" s="12" t="n">
        <f aca="false">(ABS(C55-E55)/C55)*100</f>
        <v>99.6442953020134</v>
      </c>
      <c r="D224" s="14" t="n">
        <f aca="false">(ABS(D55-F55)/D55)*100</f>
        <v>22.8064516129032</v>
      </c>
      <c r="E224" s="23"/>
      <c r="F224" s="14" t="n">
        <f aca="false">(ABS(C55-G55)/C55)*100</f>
        <v>0.00671140939597315</v>
      </c>
      <c r="G224" s="14" t="n">
        <f aca="false">(ABS(D55-H55)/D55)*100</f>
        <v>0.00153609831029186</v>
      </c>
      <c r="H224" s="23"/>
    </row>
    <row r="225" customFormat="false" ht="15" hidden="false" customHeight="false" outlineLevel="0" collapsed="false">
      <c r="A225" s="8"/>
      <c r="B225" s="14" t="n">
        <v>52</v>
      </c>
      <c r="C225" s="12" t="n">
        <f aca="false">(ABS(C56-E56)/C56)*100</f>
        <v>99.6066404426962</v>
      </c>
      <c r="D225" s="14" t="n">
        <f aca="false">(ABS(D56-F56)/D56)*100</f>
        <v>22.984261780588</v>
      </c>
      <c r="E225" s="23"/>
      <c r="F225" s="14" t="n">
        <f aca="false">(ABS(C56-G56)/C56)*100</f>
        <v>0</v>
      </c>
      <c r="G225" s="14" t="n">
        <f aca="false">(ABS(D56-H56)/D56)*100</f>
        <v>0</v>
      </c>
      <c r="H225" s="23"/>
    </row>
    <row r="226" customFormat="false" ht="15" hidden="false" customHeight="false" outlineLevel="0" collapsed="false">
      <c r="A226" s="8"/>
      <c r="B226" s="14" t="n">
        <v>53</v>
      </c>
      <c r="C226" s="12" t="n">
        <f aca="false">(ABS(C57-E57)/C57)*100</f>
        <v>99.9867549668874</v>
      </c>
      <c r="D226" s="14" t="n">
        <f aca="false">(ABS(D57-F57)/D57)*100</f>
        <v>23.2634822804314</v>
      </c>
      <c r="E226" s="23"/>
      <c r="F226" s="14" t="n">
        <f aca="false">(ABS(C57-G57)/C57)*100</f>
        <v>0.0033112582781457</v>
      </c>
      <c r="G226" s="14" t="n">
        <f aca="false">(ABS(D57-H57)/D57)*100</f>
        <v>0.000770416024653313</v>
      </c>
      <c r="H226" s="23"/>
    </row>
    <row r="227" customFormat="false" ht="15" hidden="false" customHeight="false" outlineLevel="0" collapsed="false">
      <c r="A227" s="8"/>
      <c r="B227" s="14" t="n">
        <v>54</v>
      </c>
      <c r="C227" s="12" t="n">
        <f aca="false">(ABS(C58-E58)/C58)*100</f>
        <v>99.8345247550966</v>
      </c>
      <c r="D227" s="14" t="n">
        <f aca="false">(ABS(D58-F58)/D58)*100</f>
        <v>23.2432349133946</v>
      </c>
      <c r="E227" s="23"/>
      <c r="F227" s="14" t="n">
        <f aca="false">(ABS(C58-G58)/C58)*100</f>
        <v>0.00992851469420175</v>
      </c>
      <c r="G227" s="14" t="n">
        <f aca="false">(ABS(D58-H58)/D58)*100</f>
        <v>0.00231153300869136</v>
      </c>
      <c r="H227" s="23"/>
    </row>
    <row r="228" customFormat="false" ht="15" hidden="false" customHeight="false" outlineLevel="0" collapsed="false">
      <c r="A228" s="8"/>
      <c r="B228" s="14" t="n">
        <v>55</v>
      </c>
      <c r="C228" s="12" t="n">
        <f aca="false">(ABS(C59-E59)/C59)*100</f>
        <v>99.2582781456954</v>
      </c>
      <c r="D228" s="14" t="n">
        <f aca="false">(ABS(D59-F59)/D59)*100</f>
        <v>23.0939907550077</v>
      </c>
      <c r="E228" s="23"/>
      <c r="F228" s="14" t="n">
        <f aca="false">(ABS(C59-G59)/C59)*100</f>
        <v>0.00662251655629139</v>
      </c>
      <c r="G228" s="14" t="n">
        <f aca="false">(ABS(D59-H59)/D59)*100</f>
        <v>0.00154083204930663</v>
      </c>
      <c r="H228" s="23"/>
    </row>
    <row r="229" customFormat="false" ht="15" hidden="false" customHeight="false" outlineLevel="0" collapsed="false">
      <c r="A229" s="8"/>
      <c r="B229" s="14" t="n">
        <v>56</v>
      </c>
      <c r="C229" s="12" t="n">
        <f aca="false">(ABS(C60-E60)/C60)*100</f>
        <v>99.9803921568627</v>
      </c>
      <c r="D229" s="14" t="n">
        <f aca="false">(ABS(D60-F60)/D60)*100</f>
        <v>23.6429675425039</v>
      </c>
      <c r="E229" s="23"/>
      <c r="F229" s="14" t="n">
        <f aca="false">(ABS(C60-G60)/C60)*100</f>
        <v>0.0065359477124183</v>
      </c>
      <c r="G229" s="14" t="n">
        <f aca="false">(ABS(D60-H60)/D60)*100</f>
        <v>0.00154559505409583</v>
      </c>
      <c r="H229" s="23"/>
    </row>
    <row r="230" customFormat="false" ht="15" hidden="false" customHeight="false" outlineLevel="0" collapsed="false">
      <c r="A230" s="8"/>
      <c r="B230" s="14" t="n">
        <v>57</v>
      </c>
      <c r="C230" s="12" t="n">
        <f aca="false">(ABS(C61-E61)/C61)*100</f>
        <v>99.9444426288441</v>
      </c>
      <c r="D230" s="14" t="n">
        <f aca="false">(ABS(D61-F61)/D61)*100</f>
        <v>23.6335113329882</v>
      </c>
      <c r="E230" s="23"/>
      <c r="F230" s="14" t="n">
        <f aca="false">(ABS(C61-G61)/C61)*100</f>
        <v>0.00653616131246119</v>
      </c>
      <c r="G230" s="14" t="n">
        <f aca="false">(ABS(D61-H61)/D61)*100</f>
        <v>0.00154558310986778</v>
      </c>
      <c r="H230" s="23"/>
    </row>
    <row r="231" customFormat="false" ht="15" hidden="false" customHeight="false" outlineLevel="0" collapsed="false">
      <c r="A231" s="8"/>
      <c r="B231" s="14" t="n">
        <v>58</v>
      </c>
      <c r="C231" s="12" t="n">
        <f aca="false">(ABS(C62-E62)/C62)*100</f>
        <v>99.9411764705882</v>
      </c>
      <c r="D231" s="14" t="n">
        <f aca="false">(ABS(D62-F62)/D62)*100</f>
        <v>23.6336939721793</v>
      </c>
      <c r="E231" s="23"/>
      <c r="F231" s="14" t="n">
        <f aca="false">(ABS(C62-G62)/C62)*100</f>
        <v>0.0065359477124183</v>
      </c>
      <c r="G231" s="14" t="n">
        <f aca="false">(ABS(D62-H62)/D62)*100</f>
        <v>0.00154559505409583</v>
      </c>
      <c r="H231" s="23"/>
    </row>
    <row r="232" customFormat="false" ht="15" hidden="false" customHeight="false" outlineLevel="0" collapsed="false">
      <c r="A232" s="8"/>
      <c r="B232" s="14" t="n">
        <v>59</v>
      </c>
      <c r="C232" s="12" t="n">
        <f aca="false">(ABS(C63-E63)/C63)*100</f>
        <v>99.9870967741936</v>
      </c>
      <c r="D232" s="14" t="n">
        <f aca="false">(ABS(D63-F63)/D63)*100</f>
        <v>24.0279069767442</v>
      </c>
      <c r="E232" s="23"/>
      <c r="F232" s="14" t="n">
        <f aca="false">(ABS(C63-G63)/C63)*100</f>
        <v>0.00645161290322581</v>
      </c>
      <c r="G232" s="14" t="n">
        <f aca="false">(ABS(D63-H63)/D63)*100</f>
        <v>0.00155038759689922</v>
      </c>
      <c r="H232" s="23"/>
    </row>
    <row r="233" customFormat="false" ht="15" hidden="false" customHeight="false" outlineLevel="0" collapsed="false">
      <c r="A233" s="8"/>
      <c r="B233" s="14" t="n">
        <v>60</v>
      </c>
      <c r="C233" s="12" t="n">
        <f aca="false">(ABS(C64-E64)/C64)*100</f>
        <v>99.9548387096774</v>
      </c>
      <c r="D233" s="14" t="n">
        <f aca="false">(ABS(D64-F64)/D64)*100</f>
        <v>24.0201550387597</v>
      </c>
      <c r="E233" s="23"/>
      <c r="F233" s="14" t="n">
        <f aca="false">(ABS(C64-G64)/C64)*100</f>
        <v>0.00645161290322581</v>
      </c>
      <c r="G233" s="14" t="n">
        <f aca="false">(ABS(D64-H64)/D64)*100</f>
        <v>0.00155038759689922</v>
      </c>
      <c r="H233" s="23"/>
    </row>
    <row r="234" customFormat="false" ht="15" hidden="false" customHeight="false" outlineLevel="0" collapsed="false">
      <c r="A234" s="8"/>
      <c r="B234" s="14" t="n">
        <v>61</v>
      </c>
      <c r="C234" s="12" t="n">
        <f aca="false">(ABS(C65-E65)/C65)*100</f>
        <v>99.8516129032258</v>
      </c>
      <c r="D234" s="14" t="n">
        <f aca="false">(ABS(D65-F65)/D65)*100</f>
        <v>23.9953488372093</v>
      </c>
      <c r="E234" s="23"/>
      <c r="F234" s="14" t="n">
        <f aca="false">(ABS(C65-G65)/C65)*100</f>
        <v>0.00645161290322581</v>
      </c>
      <c r="G234" s="14" t="n">
        <f aca="false">(ABS(D65-H65)/D65)*100</f>
        <v>0.00155038759689922</v>
      </c>
      <c r="H234" s="23"/>
    </row>
    <row r="235" customFormat="false" ht="15" hidden="false" customHeight="false" outlineLevel="0" collapsed="false">
      <c r="A235" s="8"/>
      <c r="B235" s="14" t="n">
        <v>62</v>
      </c>
      <c r="C235" s="12" t="n">
        <f aca="false">(ABS(C66-E66)/C66)*100</f>
        <v>99.9613053011737</v>
      </c>
      <c r="D235" s="14" t="n">
        <f aca="false">(ABS(D66-F66)/D66)*100</f>
        <v>24.0332434024871</v>
      </c>
      <c r="E235" s="23"/>
      <c r="F235" s="14" t="n">
        <f aca="false">(ABS(C66-G66)/C66)*100</f>
        <v>0.00644911647104347</v>
      </c>
      <c r="G235" s="14" t="n">
        <f aca="false">(ABS(D66-H66)/D66)*100</f>
        <v>0.00155053183241852</v>
      </c>
      <c r="H235" s="23"/>
    </row>
    <row r="236" customFormat="false" ht="15" hidden="false" customHeight="false" outlineLevel="0" collapsed="false">
      <c r="A236" s="8"/>
      <c r="B236" s="14" t="n">
        <v>63</v>
      </c>
      <c r="C236" s="12" t="n">
        <f aca="false">(ABS(C67-E67)/C67)*100</f>
        <v>99.8407643312102</v>
      </c>
      <c r="D236" s="14" t="n">
        <f aca="false">(ABS(D67-F67)/D67)*100</f>
        <v>24.3779160186625</v>
      </c>
      <c r="E236" s="23"/>
      <c r="F236" s="14" t="n">
        <f aca="false">(ABS(C67-G67)/C67)*100</f>
        <v>0.00636942675159236</v>
      </c>
      <c r="G236" s="14" t="n">
        <f aca="false">(ABS(D67-H67)/D67)*100</f>
        <v>0.0015552099533437</v>
      </c>
      <c r="H236" s="23"/>
    </row>
    <row r="237" customFormat="false" ht="15" hidden="false" customHeight="false" outlineLevel="0" collapsed="false">
      <c r="A237" s="8"/>
      <c r="B237" s="14" t="n">
        <v>64</v>
      </c>
      <c r="C237" s="12" t="n">
        <f aca="false">(ABS(C68-E68)/C68)*100</f>
        <v>99.2197203732603</v>
      </c>
      <c r="D237" s="14" t="n">
        <f aca="false">(ABS(D68-F68)/D68)*100</f>
        <v>24.2253170659637</v>
      </c>
      <c r="E237" s="23"/>
      <c r="F237" s="14" t="n">
        <f aca="false">(ABS(C68-G68)/C68)*100</f>
        <v>0.00636962960603841</v>
      </c>
      <c r="G237" s="14" t="n">
        <f aca="false">(ABS(D68-H68)/D68)*100</f>
        <v>0.00155519786004774</v>
      </c>
      <c r="H237" s="23"/>
    </row>
    <row r="238" customFormat="false" ht="15" hidden="false" customHeight="false" outlineLevel="0" collapsed="false">
      <c r="A238" s="8"/>
      <c r="B238" s="14" t="n">
        <v>65</v>
      </c>
      <c r="C238" s="12" t="n">
        <f aca="false">(ABS(C69-E69)/C69)*100</f>
        <v>100</v>
      </c>
      <c r="D238" s="14" t="n">
        <f aca="false">(ABS(D69-F69)/D69)*100</f>
        <v>24.5669352641208</v>
      </c>
      <c r="E238" s="23"/>
      <c r="F238" s="14" t="n">
        <f aca="false">(ABS(C69-G69)/C69)*100</f>
        <v>0.00950720963397243</v>
      </c>
      <c r="G238" s="14" t="n">
        <f aca="false">(ABS(D69-H69)/D69)*100</f>
        <v>0.00233563003620227</v>
      </c>
      <c r="H238" s="23"/>
    </row>
    <row r="239" customFormat="false" ht="15" hidden="false" customHeight="false" outlineLevel="0" collapsed="false">
      <c r="A239" s="8"/>
      <c r="B239" s="14" t="n">
        <v>66</v>
      </c>
      <c r="C239" s="12" t="n">
        <f aca="false">(ABS(C70-E70)/C70)*100</f>
        <v>99.7324840764331</v>
      </c>
      <c r="D239" s="14" t="n">
        <f aca="false">(ABS(D70-F70)/D70)*100</f>
        <v>24.3514774494557</v>
      </c>
      <c r="E239" s="23"/>
      <c r="F239" s="14" t="n">
        <f aca="false">(ABS(C70-G70)/C70)*100</f>
        <v>0.00636942675159236</v>
      </c>
      <c r="G239" s="14" t="n">
        <f aca="false">(ABS(D70-H70)/D70)*100</f>
        <v>0.0015552099533437</v>
      </c>
      <c r="H239" s="23"/>
    </row>
    <row r="240" customFormat="false" ht="15" hidden="false" customHeight="false" outlineLevel="0" collapsed="false">
      <c r="A240" s="8"/>
      <c r="B240" s="14" t="n">
        <v>67</v>
      </c>
      <c r="C240" s="12" t="n">
        <f aca="false">(ABS(C71-E71)/C71)*100</f>
        <v>99.57976505046</v>
      </c>
      <c r="D240" s="14" t="n">
        <f aca="false">(ABS(D71-F71)/D71)*100</f>
        <v>24.3247867235922</v>
      </c>
      <c r="E240" s="23"/>
      <c r="F240" s="14" t="n">
        <f aca="false">(ABS(C71-G71)/C71)*100</f>
        <v>0.0127343924103021</v>
      </c>
      <c r="G240" s="14" t="n">
        <f aca="false">(ABS(D71-H71)/D71)*100</f>
        <v>0.00311068598402663</v>
      </c>
      <c r="H240" s="23"/>
    </row>
    <row r="241" customFormat="false" ht="15" hidden="false" customHeight="false" outlineLevel="0" collapsed="false">
      <c r="A241" s="8"/>
      <c r="B241" s="14" t="n">
        <v>68</v>
      </c>
      <c r="C241" s="12" t="n">
        <f aca="false">(ABS(C72-E72)/C72)*100</f>
        <v>99.9842767295598</v>
      </c>
      <c r="D241" s="14" t="n">
        <f aca="false">(ABS(D72-F72)/D72)*100</f>
        <v>24.8010920436817</v>
      </c>
      <c r="E241" s="23"/>
      <c r="F241" s="14" t="n">
        <f aca="false">(ABS(C72-G72)/C72)*100</f>
        <v>0.00628930817610063</v>
      </c>
      <c r="G241" s="14" t="n">
        <f aca="false">(ABS(D72-H72)/D72)*100</f>
        <v>0.0015600624024961</v>
      </c>
      <c r="H241" s="23"/>
    </row>
    <row r="242" customFormat="false" ht="15" hidden="false" customHeight="false" outlineLevel="0" collapsed="false">
      <c r="A242" s="8"/>
      <c r="B242" s="14" t="n">
        <v>69</v>
      </c>
      <c r="C242" s="12" t="n">
        <f aca="false">(ABS(C73-E73)/C73)*100</f>
        <v>97.5816849586465</v>
      </c>
      <c r="D242" s="14" t="n">
        <f aca="false">(ABS(D73-F73)/D73)*100</f>
        <v>24.2041793745759</v>
      </c>
      <c r="E242" s="23"/>
      <c r="F242" s="14" t="n">
        <f aca="false">(ABS(C73-G73)/C73)*100</f>
        <v>0.0062895059593069</v>
      </c>
      <c r="G242" s="14" t="n">
        <f aca="false">(ABS(D73-H73)/D73)*100</f>
        <v>0.00156005023361752</v>
      </c>
      <c r="H242" s="23"/>
    </row>
    <row r="243" customFormat="false" ht="15" hidden="false" customHeight="false" outlineLevel="0" collapsed="false">
      <c r="A243" s="8"/>
      <c r="B243" s="14" t="n">
        <v>70</v>
      </c>
      <c r="C243" s="12" t="n">
        <f aca="false">(ABS(C74-E74)/C74)*100</f>
        <v>99.6635220125786</v>
      </c>
      <c r="D243" s="14" t="n">
        <f aca="false">(ABS(D74-F74)/D74)*100</f>
        <v>24.7215288611544</v>
      </c>
      <c r="E243" s="23"/>
      <c r="F243" s="14" t="n">
        <f aca="false">(ABS(C74-G74)/C74)*100</f>
        <v>0.00628930817610063</v>
      </c>
      <c r="G243" s="14" t="n">
        <f aca="false">(ABS(D74-H74)/D74)*100</f>
        <v>0.0015600624024961</v>
      </c>
      <c r="H243" s="23"/>
    </row>
    <row r="244" customFormat="false" ht="15" hidden="false" customHeight="false" outlineLevel="0" collapsed="false">
      <c r="A244" s="8"/>
      <c r="B244" s="14" t="n">
        <v>71</v>
      </c>
      <c r="C244" s="12" t="n">
        <f aca="false">(ABS(C75-E75)/C75)*100</f>
        <v>99.9496855345912</v>
      </c>
      <c r="D244" s="14" t="n">
        <f aca="false">(ABS(D75-F75)/D75)*100</f>
        <v>24.792511700468</v>
      </c>
      <c r="E244" s="23"/>
      <c r="F244" s="14" t="n">
        <f aca="false">(ABS(C75-G75)/C75)*100</f>
        <v>0.00628930817610063</v>
      </c>
      <c r="G244" s="14" t="n">
        <f aca="false">(ABS(D75-H75)/D75)*100</f>
        <v>0.0015600624024961</v>
      </c>
      <c r="H244" s="23"/>
    </row>
    <row r="245" customFormat="false" ht="15" hidden="false" customHeight="false" outlineLevel="0" collapsed="false">
      <c r="A245" s="8"/>
      <c r="B245" s="14" t="n">
        <v>72</v>
      </c>
      <c r="C245" s="12" t="n">
        <f aca="false">(ABS(C76-E76)/C76)*100</f>
        <v>99.9842767295598</v>
      </c>
      <c r="D245" s="14" t="n">
        <f aca="false">(ABS(D76-F76)/D76)*100</f>
        <v>24.8010920436817</v>
      </c>
      <c r="E245" s="23"/>
      <c r="F245" s="14" t="n">
        <f aca="false">(ABS(C76-G76)/C76)*100</f>
        <v>0.00628930817610063</v>
      </c>
      <c r="G245" s="14" t="n">
        <f aca="false">(ABS(D76-H76)/D76)*100</f>
        <v>0.0015600624024961</v>
      </c>
      <c r="H245" s="23"/>
    </row>
    <row r="246" customFormat="false" ht="15" hidden="false" customHeight="false" outlineLevel="0" collapsed="false">
      <c r="A246" s="8"/>
      <c r="B246" s="14" t="n">
        <v>73</v>
      </c>
      <c r="C246" s="12" t="n">
        <f aca="false">(ABS(C77-E77)/C77)*100</f>
        <v>96.4119496855346</v>
      </c>
      <c r="D246" s="14" t="n">
        <f aca="false">(ABS(D77-F77)/D77)*100</f>
        <v>23.914976599064</v>
      </c>
      <c r="E246" s="23"/>
      <c r="F246" s="14" t="n">
        <f aca="false">(ABS(C77-G77)/C77)*100</f>
        <v>0.00628930817610063</v>
      </c>
      <c r="G246" s="14" t="n">
        <f aca="false">(ABS(D77-H77)/D77)*100</f>
        <v>0.0015600624024961</v>
      </c>
      <c r="H246" s="23"/>
    </row>
    <row r="247" customFormat="false" ht="15" hidden="false" customHeight="false" outlineLevel="0" collapsed="false">
      <c r="A247" s="8"/>
      <c r="B247" s="14" t="n">
        <v>74</v>
      </c>
      <c r="C247" s="12" t="n">
        <f aca="false">(ABS(C78-E78)/C78)*100</f>
        <v>99.9779874213837</v>
      </c>
      <c r="D247" s="14" t="n">
        <f aca="false">(ABS(D78-F78)/D78)*100</f>
        <v>24.7995319812793</v>
      </c>
      <c r="E247" s="23"/>
      <c r="F247" s="14" t="n">
        <f aca="false">(ABS(C78-G78)/C78)*100</f>
        <v>0.00314465408805031</v>
      </c>
      <c r="G247" s="14" t="n">
        <f aca="false">(ABS(D78-H78)/D78)*100</f>
        <v>0.00078003120124805</v>
      </c>
      <c r="H247" s="23"/>
    </row>
    <row r="248" customFormat="false" ht="15" hidden="false" customHeight="false" outlineLevel="0" collapsed="false">
      <c r="A248" s="8"/>
      <c r="B248" s="14" t="n">
        <v>75</v>
      </c>
      <c r="C248" s="12" t="n">
        <f aca="false">(ABS(C79-E79)/C79)*100</f>
        <v>99.9779984913251</v>
      </c>
      <c r="D248" s="14" t="n">
        <f aca="false">(ABS(D79-F79)/D79)*100</f>
        <v>24.8151095300506</v>
      </c>
      <c r="E248" s="23"/>
      <c r="F248" s="14" t="n">
        <f aca="false">(ABS(C79-G79)/C79)*100</f>
        <v>0.00942921800352024</v>
      </c>
      <c r="G248" s="14" t="n">
        <f aca="false">(ABS(D79-H79)/D79)*100</f>
        <v>0.00234038569556263</v>
      </c>
      <c r="H248" s="23"/>
    </row>
    <row r="249" customFormat="false" ht="15" hidden="false" customHeight="false" outlineLevel="0" collapsed="false">
      <c r="A249" s="8"/>
      <c r="B249" s="14" t="n">
        <v>76</v>
      </c>
      <c r="C249" s="12" t="n">
        <f aca="false">(ABS(C80-E80)/C80)*100</f>
        <v>99.7389937106918</v>
      </c>
      <c r="D249" s="14" t="n">
        <f aca="false">(ABS(D80-F80)/D80)*100</f>
        <v>24.7402496099844</v>
      </c>
      <c r="E249" s="23"/>
      <c r="F249" s="14" t="n">
        <f aca="false">(ABS(C80-G80)/C80)*100</f>
        <v>0.00628930817610063</v>
      </c>
      <c r="G249" s="14" t="n">
        <f aca="false">(ABS(D80-H80)/D80)*100</f>
        <v>0.0015600624024961</v>
      </c>
      <c r="H249" s="23"/>
    </row>
    <row r="250" customFormat="false" ht="15" hidden="false" customHeight="false" outlineLevel="0" collapsed="false">
      <c r="A250" s="8"/>
      <c r="B250" s="14" t="n">
        <v>77</v>
      </c>
      <c r="C250" s="12" t="n">
        <f aca="false">(ABS(C81-E81)/C81)*100</f>
        <v>99.9528301886792</v>
      </c>
      <c r="D250" s="14" t="n">
        <f aca="false">(ABS(D81-F81)/D81)*100</f>
        <v>24.7932917316693</v>
      </c>
      <c r="E250" s="23"/>
      <c r="F250" s="14" t="n">
        <f aca="false">(ABS(C81-G81)/C81)*100</f>
        <v>0.00628930817610063</v>
      </c>
      <c r="G250" s="14" t="n">
        <f aca="false">(ABS(D81-H81)/D81)*100</f>
        <v>0.0015600624024961</v>
      </c>
      <c r="H250" s="23"/>
    </row>
    <row r="251" customFormat="false" ht="15" hidden="false" customHeight="false" outlineLevel="0" collapsed="false">
      <c r="A251" s="8"/>
      <c r="B251" s="14" t="n">
        <v>78</v>
      </c>
      <c r="C251" s="12" t="n">
        <f aca="false">(ABS(C82-E82)/C82)*100</f>
        <v>99.9276729559748</v>
      </c>
      <c r="D251" s="14" t="n">
        <f aca="false">(ABS(D82-F82)/D82)*100</f>
        <v>24.7870514820593</v>
      </c>
      <c r="E251" s="23"/>
      <c r="F251" s="14" t="n">
        <f aca="false">(ABS(C82-G82)/C82)*100</f>
        <v>0.00628930817610063</v>
      </c>
      <c r="G251" s="14" t="n">
        <f aca="false">(ABS(D82-H82)/D82)*100</f>
        <v>0.0015600624024961</v>
      </c>
      <c r="H251" s="23"/>
    </row>
    <row r="252" customFormat="false" ht="15" hidden="false" customHeight="false" outlineLevel="0" collapsed="false">
      <c r="A252" s="8"/>
      <c r="B252" s="14" t="n">
        <v>79</v>
      </c>
      <c r="C252" s="12" t="n">
        <f aca="false">(ABS(C83-E83)/C83)*100</f>
        <v>99.6289308176101</v>
      </c>
      <c r="D252" s="14" t="n">
        <f aca="false">(ABS(D83-F83)/D83)*100</f>
        <v>24.7129485179407</v>
      </c>
      <c r="E252" s="23"/>
      <c r="F252" s="14" t="n">
        <f aca="false">(ABS(C83-G83)/C83)*100</f>
        <v>0.00628930817610063</v>
      </c>
      <c r="G252" s="14" t="n">
        <f aca="false">(ABS(D83-H83)/D83)*100</f>
        <v>0.0015600624024961</v>
      </c>
      <c r="H252" s="23"/>
    </row>
    <row r="253" customFormat="false" ht="15" hidden="false" customHeight="false" outlineLevel="0" collapsed="false">
      <c r="A253" s="8"/>
      <c r="B253" s="14" t="n">
        <v>80</v>
      </c>
      <c r="C253" s="12" t="n">
        <f aca="false">(ABS(C84-E84)/C84)*100</f>
        <v>99.9782689680864</v>
      </c>
      <c r="D253" s="14" t="n">
        <f aca="false">(ABS(D84-F84)/D84)*100</f>
        <v>25.2018968917269</v>
      </c>
      <c r="E253" s="23"/>
      <c r="F253" s="14" t="n">
        <f aca="false">(ABS(C84-G84)/C84)*100</f>
        <v>0.0124177325220415</v>
      </c>
      <c r="G253" s="14" t="n">
        <f aca="false">(ABS(D84-H84)/D84)*100</f>
        <v>0.00313018436785927</v>
      </c>
      <c r="H253" s="23"/>
    </row>
    <row r="254" customFormat="false" ht="15" hidden="false" customHeight="false" outlineLevel="0" collapsed="false">
      <c r="A254" s="8"/>
      <c r="B254" s="14" t="n">
        <v>81</v>
      </c>
      <c r="C254" s="12" t="n">
        <f aca="false">(ABS(C85-E85)/C85)*100</f>
        <v>99.7812431638489</v>
      </c>
      <c r="D254" s="14" t="n">
        <f aca="false">(ABS(D85-F85)/D85)*100</f>
        <v>24.9443363723721</v>
      </c>
      <c r="E254" s="23"/>
      <c r="F254" s="14" t="n">
        <f aca="false">(ABS(C85-G85)/C85)*100</f>
        <v>0.00312509765930185</v>
      </c>
      <c r="G254" s="14" t="n">
        <f aca="false">(ABS(D85-H85)/D85)*100</f>
        <v>0.000781243896532058</v>
      </c>
      <c r="H254" s="23"/>
    </row>
    <row r="255" customFormat="false" ht="15" hidden="false" customHeight="false" outlineLevel="0" collapsed="false">
      <c r="A255" s="8"/>
      <c r="B255" s="14" t="n">
        <v>82</v>
      </c>
      <c r="C255" s="12" t="n">
        <f aca="false">(ABS(C86-E86)/C86)*100</f>
        <v>99.9779874213837</v>
      </c>
      <c r="D255" s="14" t="n">
        <f aca="false">(ABS(D86-F86)/D86)*100</f>
        <v>24.7995319812793</v>
      </c>
      <c r="E255" s="23"/>
      <c r="F255" s="14" t="n">
        <f aca="false">(ABS(C86-G86)/C86)*100</f>
        <v>0.00628930817610063</v>
      </c>
      <c r="G255" s="14" t="n">
        <f aca="false">(ABS(D86-H86)/D86)*100</f>
        <v>0.0015600624024961</v>
      </c>
      <c r="H255" s="23"/>
    </row>
    <row r="256" customFormat="false" ht="15" hidden="false" customHeight="false" outlineLevel="0" collapsed="false">
      <c r="A256" s="8"/>
      <c r="B256" s="14" t="n">
        <v>83</v>
      </c>
      <c r="C256" s="12" t="n">
        <f aca="false">(ABS(C87-E87)/C87)*100</f>
        <v>96.9716981132076</v>
      </c>
      <c r="D256" s="14" t="n">
        <f aca="false">(ABS(D87-F87)/D87)*100</f>
        <v>24.0538221528861</v>
      </c>
      <c r="E256" s="23"/>
      <c r="F256" s="14" t="n">
        <f aca="false">(ABS(C87-G87)/C87)*100</f>
        <v>0.00628930817610063</v>
      </c>
      <c r="G256" s="14" t="n">
        <f aca="false">(ABS(D87-H87)/D87)*100</f>
        <v>0.0015600624024961</v>
      </c>
      <c r="H256" s="23"/>
    </row>
    <row r="257" customFormat="false" ht="15" hidden="false" customHeight="false" outlineLevel="0" collapsed="false">
      <c r="A257" s="8"/>
      <c r="B257" s="14" t="n">
        <v>84</v>
      </c>
      <c r="C257" s="12" t="n">
        <f aca="false">(ABS(C88-E88)/C88)*100</f>
        <v>99.9496855345912</v>
      </c>
      <c r="D257" s="14" t="n">
        <f aca="false">(ABS(D88-F88)/D88)*100</f>
        <v>24.792511700468</v>
      </c>
      <c r="E257" s="23"/>
      <c r="F257" s="14" t="n">
        <f aca="false">(ABS(C88-G88)/C88)*100</f>
        <v>0.00628930817610063</v>
      </c>
      <c r="G257" s="14" t="n">
        <f aca="false">(ABS(D88-H88)/D88)*100</f>
        <v>0.0015600624024961</v>
      </c>
      <c r="H257" s="23"/>
    </row>
    <row r="258" customFormat="false" ht="15" hidden="false" customHeight="false" outlineLevel="0" collapsed="false">
      <c r="A258" s="8"/>
      <c r="B258" s="14" t="n">
        <v>85</v>
      </c>
      <c r="C258" s="12" t="n">
        <f aca="false">(ABS(C89-E89)/C89)*100</f>
        <v>99.8804993867732</v>
      </c>
      <c r="D258" s="14" t="n">
        <f aca="false">(ABS(D89-F89)/D89)*100</f>
        <v>24.7743777349631</v>
      </c>
      <c r="E258" s="23"/>
      <c r="F258" s="14" t="n">
        <f aca="false">(ABS(C89-G89)/C89)*100</f>
        <v>0.0062895059593069</v>
      </c>
      <c r="G258" s="14" t="n">
        <f aca="false">(ABS(D89-H89)/D89)*100</f>
        <v>0.00156005023361752</v>
      </c>
      <c r="H258" s="23"/>
    </row>
    <row r="259" customFormat="false" ht="15" hidden="false" customHeight="false" outlineLevel="0" collapsed="false">
      <c r="A259" s="8"/>
      <c r="B259" s="14" t="n">
        <v>86</v>
      </c>
      <c r="C259" s="12" t="n">
        <f aca="false">(ABS(C90-E90)/C90)*100</f>
        <v>99.9496839523255</v>
      </c>
      <c r="D259" s="14" t="n">
        <f aca="false">(ABS(D90-F90)/D90)*100</f>
        <v>24.7915382875329</v>
      </c>
      <c r="E259" s="23"/>
      <c r="F259" s="14" t="n">
        <f aca="false">(ABS(C90-G90)/C90)*100</f>
        <v>0.0062895059593069</v>
      </c>
      <c r="G259" s="14" t="n">
        <f aca="false">(ABS(D90-H90)/D90)*100</f>
        <v>0.00156005023361752</v>
      </c>
      <c r="H259" s="23"/>
    </row>
    <row r="260" customFormat="false" ht="15" hidden="false" customHeight="false" outlineLevel="0" collapsed="false">
      <c r="A260" s="8"/>
      <c r="B260" s="14" t="n">
        <v>87</v>
      </c>
      <c r="C260" s="12" t="n">
        <f aca="false">(ABS(C91-E91)/C91)*100</f>
        <v>99.9591194968553</v>
      </c>
      <c r="D260" s="14" t="n">
        <f aca="false">(ABS(D91-F91)/D91)*100</f>
        <v>24.7948517940718</v>
      </c>
      <c r="E260" s="23"/>
      <c r="F260" s="14" t="n">
        <f aca="false">(ABS(C91-G91)/C91)*100</f>
        <v>0.00628930817610063</v>
      </c>
      <c r="G260" s="14" t="n">
        <f aca="false">(ABS(D91-H91)/D91)*100</f>
        <v>0.0015600624024961</v>
      </c>
      <c r="H260" s="23"/>
    </row>
    <row r="261" customFormat="false" ht="15" hidden="false" customHeight="false" outlineLevel="0" collapsed="false">
      <c r="A261" s="8"/>
      <c r="B261" s="14" t="n">
        <v>88</v>
      </c>
      <c r="C261" s="12" t="n">
        <f aca="false">(ABS(C92-E92)/C92)*100</f>
        <v>99.9465408805031</v>
      </c>
      <c r="D261" s="14" t="n">
        <f aca="false">(ABS(D92-F92)/D92)*100</f>
        <v>24.7917316692668</v>
      </c>
      <c r="E261" s="23"/>
      <c r="F261" s="14" t="n">
        <f aca="false">(ABS(C92-G92)/C92)*100</f>
        <v>0.00628930817610063</v>
      </c>
      <c r="G261" s="14" t="n">
        <f aca="false">(ABS(D92-H92)/D92)*100</f>
        <v>0.0015600624024961</v>
      </c>
      <c r="H261" s="23"/>
    </row>
    <row r="262" customFormat="false" ht="15" hidden="false" customHeight="false" outlineLevel="0" collapsed="false">
      <c r="A262" s="8"/>
      <c r="B262" s="14" t="n">
        <v>89</v>
      </c>
      <c r="C262" s="12" t="n">
        <f aca="false">(ABS(C93-E93)/C93)*100</f>
        <v>99.9654077172238</v>
      </c>
      <c r="D262" s="14" t="n">
        <f aca="false">(ABS(D93-F93)/D93)*100</f>
        <v>24.7954384131169</v>
      </c>
      <c r="E262" s="23"/>
      <c r="F262" s="14" t="n">
        <f aca="false">(ABS(C93-G93)/C93)*100</f>
        <v>0.0062895059593069</v>
      </c>
      <c r="G262" s="14" t="n">
        <f aca="false">(ABS(D93-H93)/D93)*100</f>
        <v>0.00156005023361752</v>
      </c>
      <c r="H262" s="23"/>
    </row>
    <row r="263" customFormat="false" ht="15" hidden="false" customHeight="false" outlineLevel="0" collapsed="false">
      <c r="A263" s="8"/>
      <c r="B263" s="14" t="n">
        <v>90</v>
      </c>
      <c r="C263" s="12" t="n">
        <f aca="false">(ABS(C94-E94)/C94)*100</f>
        <v>98.2893081761006</v>
      </c>
      <c r="D263" s="14" t="n">
        <f aca="false">(ABS(D94-F94)/D94)*100</f>
        <v>24.380655226209</v>
      </c>
      <c r="E263" s="23"/>
      <c r="F263" s="14" t="n">
        <f aca="false">(ABS(C94-G94)/C94)*100</f>
        <v>0.00628930817610063</v>
      </c>
      <c r="G263" s="14" t="n">
        <f aca="false">(ABS(D94-H94)/D94)*100</f>
        <v>0.0015600624024961</v>
      </c>
      <c r="H263" s="23"/>
    </row>
    <row r="264" customFormat="false" ht="15" hidden="false" customHeight="false" outlineLevel="0" collapsed="false">
      <c r="A264" s="8"/>
      <c r="B264" s="14" t="n">
        <v>91</v>
      </c>
      <c r="C264" s="12" t="n">
        <f aca="false">(ABS(C95-E95)/C95)*100</f>
        <v>99.4680351722627</v>
      </c>
      <c r="D264" s="14" t="n">
        <f aca="false">(ABS(D95-F95)/D95)*100</f>
        <v>24.8252540162289</v>
      </c>
      <c r="E264" s="23"/>
      <c r="F264" s="14" t="n">
        <f aca="false">(ABS(C95-G95)/C95)*100</f>
        <v>0.00938761460712833</v>
      </c>
      <c r="G264" s="14" t="n">
        <f aca="false">(ABS(D95-H95)/D95)*100</f>
        <v>0.00234296291089712</v>
      </c>
      <c r="H264" s="23"/>
    </row>
    <row r="265" customFormat="false" ht="15" hidden="false" customHeight="false" outlineLevel="0" collapsed="false">
      <c r="A265" s="8"/>
      <c r="B265" s="14" t="n">
        <v>92</v>
      </c>
      <c r="C265" s="12" t="n">
        <f aca="false">(ABS(C96-E96)/C96)*100</f>
        <v>91.5754716981132</v>
      </c>
      <c r="D265" s="14" t="n">
        <f aca="false">(ABS(D96-F96)/D96)*100</f>
        <v>22.7152886115445</v>
      </c>
      <c r="E265" s="23"/>
      <c r="F265" s="14" t="n">
        <f aca="false">(ABS(C96-G96)/C96)*100</f>
        <v>0.00314465408805031</v>
      </c>
      <c r="G265" s="14" t="n">
        <f aca="false">(ABS(D96-H96)/D96)*100</f>
        <v>0.00078003120124805</v>
      </c>
      <c r="H265" s="23"/>
    </row>
    <row r="266" customFormat="false" ht="15" hidden="false" customHeight="false" outlineLevel="0" collapsed="false">
      <c r="A266" s="8"/>
      <c r="B266" s="14" t="n">
        <v>93</v>
      </c>
      <c r="C266" s="12" t="n">
        <f aca="false">(ABS(C97-E97)/C97)*100</f>
        <v>99.8853466670913</v>
      </c>
      <c r="D266" s="14" t="n">
        <f aca="false">(ABS(D97-F97)/D97)*100</f>
        <v>24.3878352423387</v>
      </c>
      <c r="E266" s="23"/>
      <c r="F266" s="14" t="n">
        <f aca="false">(ABS(C97-G97)/C97)*100</f>
        <v>0</v>
      </c>
      <c r="G266" s="14" t="n">
        <f aca="false">(ABS(D97-H97)/D97)*100</f>
        <v>0</v>
      </c>
      <c r="H266" s="23"/>
    </row>
    <row r="267" customFormat="false" ht="15" hidden="false" customHeight="false" outlineLevel="0" collapsed="false">
      <c r="A267" s="8"/>
      <c r="B267" s="14" t="n">
        <v>94</v>
      </c>
      <c r="C267" s="12" t="n">
        <f aca="false">(ABS(C98-E98)/C98)*100</f>
        <v>99.843949044586</v>
      </c>
      <c r="D267" s="14" t="n">
        <f aca="false">(ABS(D98-F98)/D98)*100</f>
        <v>24.3786936236392</v>
      </c>
      <c r="E267" s="23"/>
      <c r="F267" s="14" t="n">
        <f aca="false">(ABS(C98-G98)/C98)*100</f>
        <v>0.00318471337579618</v>
      </c>
      <c r="G267" s="14" t="n">
        <f aca="false">(ABS(D98-H98)/D98)*100</f>
        <v>0.000777604976671851</v>
      </c>
      <c r="H267" s="23"/>
    </row>
    <row r="268" customFormat="false" ht="15" hidden="false" customHeight="false" outlineLevel="0" collapsed="false">
      <c r="A268" s="8"/>
      <c r="B268" s="14" t="n">
        <v>95</v>
      </c>
      <c r="C268" s="12" t="n">
        <f aca="false">(ABS(C99-E99)/C99)*100</f>
        <v>99.9426751592357</v>
      </c>
      <c r="D268" s="14" t="n">
        <f aca="false">(ABS(D99-F99)/D99)*100</f>
        <v>24.402799377916</v>
      </c>
      <c r="E268" s="23"/>
      <c r="F268" s="14" t="n">
        <f aca="false">(ABS(C99-G99)/C99)*100</f>
        <v>0.00318471337579618</v>
      </c>
      <c r="G268" s="14" t="n">
        <f aca="false">(ABS(D99-H99)/D99)*100</f>
        <v>0.000777604976671851</v>
      </c>
      <c r="H268" s="23"/>
    </row>
    <row r="269" customFormat="false" ht="15" hidden="false" customHeight="false" outlineLevel="0" collapsed="false">
      <c r="A269" s="8"/>
      <c r="B269" s="14" t="n">
        <v>96</v>
      </c>
      <c r="C269" s="12" t="n">
        <f aca="false">(ABS(C100-E100)/C100)*100</f>
        <v>97.6496066753718</v>
      </c>
      <c r="D269" s="14" t="n">
        <f aca="false">(ABS(D100-F100)/D100)*100</f>
        <v>23.8419607934619</v>
      </c>
      <c r="E269" s="23"/>
      <c r="F269" s="14" t="n">
        <f aca="false">(ABS(C100-G100)/C100)*100</f>
        <v>0</v>
      </c>
      <c r="G269" s="14" t="n">
        <f aca="false">(ABS(D100-H100)/D100)*100</f>
        <v>0</v>
      </c>
      <c r="H269" s="23"/>
    </row>
    <row r="270" customFormat="false" ht="15" hidden="false" customHeight="false" outlineLevel="0" collapsed="false">
      <c r="A270" s="8"/>
      <c r="B270" s="14" t="n">
        <v>97</v>
      </c>
      <c r="C270" s="12" t="n">
        <f aca="false">(ABS(C101-E101)/C101)*100</f>
        <v>99.8853466670913</v>
      </c>
      <c r="D270" s="14" t="n">
        <f aca="false">(ABS(D101-F101)/D101)*100</f>
        <v>24.3878352423387</v>
      </c>
      <c r="E270" s="23"/>
      <c r="F270" s="14" t="n">
        <f aca="false">(ABS(C101-G101)/C101)*100</f>
        <v>0.0031848148030192</v>
      </c>
      <c r="G270" s="14" t="n">
        <f aca="false">(ABS(D101-H101)/D101)*100</f>
        <v>0.000777598930023872</v>
      </c>
      <c r="H270" s="23"/>
    </row>
    <row r="271" customFormat="false" ht="15" hidden="false" customHeight="false" outlineLevel="0" collapsed="false">
      <c r="A271" s="8"/>
      <c r="B271" s="14" t="n">
        <v>98</v>
      </c>
      <c r="C271" s="12" t="n">
        <f aca="false">(ABS(C102-E102)/C102)*100</f>
        <v>99.958064516129</v>
      </c>
      <c r="D271" s="14" t="n">
        <f aca="false">(ABS(D102-F102)/D102)*100</f>
        <v>24.0209302325581</v>
      </c>
      <c r="E271" s="23"/>
      <c r="F271" s="14" t="n">
        <f aca="false">(ABS(C102-G102)/C102)*100</f>
        <v>0.0032258064516129</v>
      </c>
      <c r="G271" s="14" t="n">
        <f aca="false">(ABS(D102-H102)/D102)*100</f>
        <v>0.000775193798449612</v>
      </c>
      <c r="H271" s="23"/>
    </row>
    <row r="272" customFormat="false" ht="15" hidden="false" customHeight="false" outlineLevel="0" collapsed="false">
      <c r="A272" s="8"/>
      <c r="B272" s="14" t="n">
        <v>99</v>
      </c>
      <c r="C272" s="12" t="n">
        <f aca="false">(ABS(C103-E103)/C103)*100</f>
        <v>99.8653759856401</v>
      </c>
      <c r="D272" s="14" t="n">
        <f aca="false">(ABS(D103-F103)/D103)*100</f>
        <v>24.1890653871834</v>
      </c>
      <c r="E272" s="23"/>
      <c r="F272" s="14" t="n">
        <f aca="false">(ABS(C103-G103)/C103)*100</f>
        <v>0.00641066735047118</v>
      </c>
      <c r="G272" s="14" t="n">
        <f aca="false">(ABS(D103-H103)/D103)*100</f>
        <v>0.00155277091970622</v>
      </c>
      <c r="H272" s="23"/>
    </row>
    <row r="273" customFormat="false" ht="15" hidden="false" customHeight="false" outlineLevel="0" collapsed="false">
      <c r="A273" s="8"/>
      <c r="B273" s="14" t="n">
        <v>100</v>
      </c>
      <c r="C273" s="12" t="n">
        <f aca="false">(ABS(C104-E104)/C104)*100</f>
        <v>99.0161290322581</v>
      </c>
      <c r="D273" s="14" t="n">
        <f aca="false">(ABS(D104-F104)/D104)*100</f>
        <v>23.7945736434109</v>
      </c>
      <c r="E273" s="23"/>
      <c r="F273" s="14" t="n">
        <f aca="false">(ABS(C104-G104)/C104)*100</f>
        <v>0.00645161290322581</v>
      </c>
      <c r="G273" s="14" t="n">
        <f aca="false">(ABS(D104-H104)/D104)*100</f>
        <v>0.00155038759689922</v>
      </c>
      <c r="H273" s="23"/>
    </row>
    <row r="274" customFormat="false" ht="15" hidden="false" customHeight="false" outlineLevel="0" collapsed="false">
      <c r="A274" s="8"/>
      <c r="B274" s="14" t="n">
        <v>101</v>
      </c>
      <c r="C274" s="12" t="n">
        <f aca="false">(ABS(C105-E105)/C105)*100</f>
        <v>99.680634859189</v>
      </c>
      <c r="D274" s="14" t="n">
        <f aca="false">(ABS(D105-F105)/D105)*100</f>
        <v>23.9533026875761</v>
      </c>
      <c r="E274" s="23"/>
      <c r="F274" s="14" t="n">
        <f aca="false">(ABS(C105-G105)/C105)*100</f>
        <v>0.00645182102648473</v>
      </c>
      <c r="G274" s="14" t="n">
        <f aca="false">(ABS(D105-H105)/D105)*100</f>
        <v>0.00155037557848389</v>
      </c>
      <c r="H274" s="23"/>
    </row>
    <row r="275" customFormat="false" ht="15" hidden="false" customHeight="false" outlineLevel="0" collapsed="false">
      <c r="A275" s="8"/>
      <c r="B275" s="14" t="n">
        <v>102</v>
      </c>
      <c r="C275" s="12" t="n">
        <f aca="false">(ABS(C106-E106)/C106)*100</f>
        <v>99.9575163398693</v>
      </c>
      <c r="D275" s="14" t="n">
        <f aca="false">(ABS(D106-F106)/D106)*100</f>
        <v>23.6375579598145</v>
      </c>
      <c r="E275" s="23"/>
      <c r="F275" s="14" t="n">
        <f aca="false">(ABS(C106-G106)/C106)*100</f>
        <v>0.00326797385620915</v>
      </c>
      <c r="G275" s="14" t="n">
        <f aca="false">(ABS(D106-H106)/D106)*100</f>
        <v>0.000772797527047913</v>
      </c>
      <c r="H275" s="23"/>
    </row>
    <row r="276" customFormat="false" ht="15" hidden="false" customHeight="false" outlineLevel="0" collapsed="false">
      <c r="A276" s="8"/>
      <c r="B276" s="14" t="n">
        <v>103</v>
      </c>
      <c r="C276" s="12" t="n">
        <f aca="false">(ABS(C107-E107)/C107)*100</f>
        <v>99.5653594771242</v>
      </c>
      <c r="D276" s="14" t="n">
        <f aca="false">(ABS(D107-F107)/D107)*100</f>
        <v>23.5448222565688</v>
      </c>
      <c r="E276" s="23"/>
      <c r="F276" s="14" t="n">
        <f aca="false">(ABS(C107-G107)/C107)*100</f>
        <v>0.0065359477124183</v>
      </c>
      <c r="G276" s="14" t="n">
        <f aca="false">(ABS(D107-H107)/D107)*100</f>
        <v>0.00154559505409583</v>
      </c>
      <c r="H276" s="23"/>
    </row>
    <row r="277" customFormat="false" ht="15" hidden="false" customHeight="false" outlineLevel="0" collapsed="false">
      <c r="A277" s="8"/>
      <c r="B277" s="14" t="n">
        <v>104</v>
      </c>
      <c r="C277" s="12" t="n">
        <f aca="false">(ABS(C108-E108)/C108)*100</f>
        <v>99.9411764705882</v>
      </c>
      <c r="D277" s="14" t="n">
        <f aca="false">(ABS(D108-F108)/D108)*100</f>
        <v>23.6336939721793</v>
      </c>
      <c r="E277" s="23"/>
      <c r="F277" s="14" t="n">
        <f aca="false">(ABS(C108-G108)/C108)*100</f>
        <v>0.0065359477124183</v>
      </c>
      <c r="G277" s="14" t="n">
        <f aca="false">(ABS(D108-H108)/D108)*100</f>
        <v>0.00154559505409583</v>
      </c>
      <c r="H277" s="23"/>
    </row>
    <row r="278" customFormat="false" ht="15" hidden="false" customHeight="false" outlineLevel="0" collapsed="false">
      <c r="A278" s="8"/>
      <c r="B278" s="14" t="n">
        <v>105</v>
      </c>
      <c r="C278" s="12" t="n">
        <f aca="false">(ABS(C109-E109)/C109)*100</f>
        <v>99.9801324503311</v>
      </c>
      <c r="D278" s="14" t="n">
        <f aca="false">(ABS(D109-F109)/D109)*100</f>
        <v>23.2619414483821</v>
      </c>
      <c r="E278" s="23"/>
      <c r="F278" s="14" t="n">
        <f aca="false">(ABS(C109-G109)/C109)*100</f>
        <v>0.00662251655629139</v>
      </c>
      <c r="G278" s="14" t="n">
        <f aca="false">(ABS(D109-H109)/D109)*100</f>
        <v>0.00154083204930663</v>
      </c>
      <c r="H278" s="23"/>
    </row>
    <row r="279" customFormat="false" ht="15" hidden="false" customHeight="false" outlineLevel="0" collapsed="false">
      <c r="A279" s="8"/>
      <c r="B279" s="14" t="n">
        <v>106</v>
      </c>
      <c r="C279" s="12" t="n">
        <f aca="false">(ABS(C110-E110)/C110)*100</f>
        <v>99.9867545282956</v>
      </c>
      <c r="D279" s="14" t="n">
        <f aca="false">(ABS(D110-F110)/D110)*100</f>
        <v>23.2625326461275</v>
      </c>
      <c r="E279" s="23"/>
      <c r="F279" s="14" t="n">
        <f aca="false">(ABS(C110-G110)/C110)*100</f>
        <v>0.00993410377827081</v>
      </c>
      <c r="G279" s="14" t="n">
        <f aca="false">(ABS(D110-H110)/D110)*100</f>
        <v>0.00231123026787159</v>
      </c>
      <c r="H279" s="23"/>
    </row>
    <row r="280" customFormat="false" ht="15" hidden="false" customHeight="false" outlineLevel="0" collapsed="false">
      <c r="A280" s="8"/>
      <c r="B280" s="14" t="n">
        <v>107</v>
      </c>
      <c r="C280" s="12" t="n">
        <f aca="false">(ABS(C111-E111)/C111)*100</f>
        <v>94.6934586864407</v>
      </c>
      <c r="D280" s="14" t="n">
        <f aca="false">(ABS(D111-F111)/D111)*100</f>
        <v>22.0391087278107</v>
      </c>
      <c r="E280" s="23"/>
      <c r="F280" s="14" t="n">
        <f aca="false">(ABS(C111-G111)/C111)*100</f>
        <v>0.00662076271186441</v>
      </c>
      <c r="G280" s="14" t="n">
        <f aca="false">(ABS(D111-H111)/D111)*100</f>
        <v>0.00154092702169625</v>
      </c>
      <c r="H280" s="23"/>
    </row>
    <row r="281" customFormat="false" ht="15" hidden="false" customHeight="false" outlineLevel="0" collapsed="false">
      <c r="A281" s="8"/>
      <c r="B281" s="14" t="n">
        <v>108</v>
      </c>
      <c r="C281" s="12" t="n">
        <f aca="false">(ABS(C112-E112)/C112)*100</f>
        <v>97.748322147651</v>
      </c>
      <c r="D281" s="14" t="n">
        <f aca="false">(ABS(D112-F112)/D112)*100</f>
        <v>22.3725038402458</v>
      </c>
      <c r="E281" s="23"/>
      <c r="F281" s="14" t="n">
        <f aca="false">(ABS(C112-G112)/C112)*100</f>
        <v>0.00671140939597315</v>
      </c>
      <c r="G281" s="14" t="n">
        <f aca="false">(ABS(D112-H112)/D112)*100</f>
        <v>0.00153609831029186</v>
      </c>
      <c r="H281" s="23"/>
    </row>
    <row r="282" customFormat="false" ht="15" hidden="false" customHeight="false" outlineLevel="0" collapsed="false">
      <c r="A282" s="8"/>
      <c r="B282" s="14" t="n">
        <v>109</v>
      </c>
      <c r="C282" s="12" t="n">
        <f aca="false">(ABS(C113-E113)/C113)*100</f>
        <v>99.9697986577181</v>
      </c>
      <c r="D282" s="14" t="n">
        <f aca="false">(ABS(D113-F113)/D113)*100</f>
        <v>22.8809523809524</v>
      </c>
      <c r="E282" s="23"/>
      <c r="F282" s="14" t="n">
        <f aca="false">(ABS(C113-G113)/C113)*100</f>
        <v>0</v>
      </c>
      <c r="G282" s="14" t="n">
        <f aca="false">(ABS(D113-H113)/D113)*100</f>
        <v>0</v>
      </c>
      <c r="H282" s="23"/>
    </row>
    <row r="283" customFormat="false" ht="15" hidden="false" customHeight="false" outlineLevel="0" collapsed="false">
      <c r="A283" s="8"/>
      <c r="B283" s="14" t="n">
        <v>110</v>
      </c>
      <c r="C283" s="12" t="n">
        <f aca="false">(ABS(C114-E114)/C114)*100</f>
        <v>99.9563758389262</v>
      </c>
      <c r="D283" s="14" t="n">
        <f aca="false">(ABS(D114-F114)/D114)*100</f>
        <v>22.8778801843318</v>
      </c>
      <c r="E283" s="23"/>
      <c r="F283" s="14" t="n">
        <f aca="false">(ABS(C114-G114)/C114)*100</f>
        <v>0</v>
      </c>
      <c r="G283" s="14" t="n">
        <f aca="false">(ABS(D114-H114)/D114)*100</f>
        <v>0</v>
      </c>
      <c r="H283" s="23"/>
    </row>
    <row r="284" customFormat="false" ht="15" hidden="false" customHeight="false" outlineLevel="0" collapsed="false">
      <c r="A284" s="8"/>
      <c r="B284" s="14" t="n">
        <v>111</v>
      </c>
      <c r="C284" s="12" t="n">
        <f aca="false">(ABS(C115-E115)/C115)*100</f>
        <v>99.9728076138681</v>
      </c>
      <c r="D284" s="14" t="n">
        <f aca="false">(ABS(D115-F115)/D115)*100</f>
        <v>22.5241231429009</v>
      </c>
      <c r="E284" s="23"/>
      <c r="F284" s="14" t="n">
        <f aca="false">(ABS(C115-G115)/C115)*100</f>
        <v>0.00679809653297077</v>
      </c>
      <c r="G284" s="14" t="n">
        <f aca="false">(ABS(D115-H115)/D115)*100</f>
        <v>0.0015316281206923</v>
      </c>
      <c r="H284" s="23"/>
    </row>
    <row r="285" customFormat="false" ht="15" hidden="false" customHeight="false" outlineLevel="0" collapsed="false">
      <c r="A285" s="8"/>
      <c r="B285" s="14" t="n">
        <v>112</v>
      </c>
      <c r="C285" s="12" t="n">
        <f aca="false">(ABS(C116-E116)/C116)*100</f>
        <v>95.6529133644002</v>
      </c>
      <c r="D285" s="14" t="n">
        <f aca="false">(ABS(D116-F116)/D116)*100</f>
        <v>21.5319943951425</v>
      </c>
      <c r="E285" s="23"/>
      <c r="F285" s="14" t="n">
        <f aca="false">(ABS(C116-G116)/C116)*100</f>
        <v>0</v>
      </c>
      <c r="G285" s="14" t="n">
        <f aca="false">(ABS(D116-H116)/D116)*100</f>
        <v>0</v>
      </c>
      <c r="H285" s="23"/>
    </row>
    <row r="286" customFormat="false" ht="15" hidden="false" customHeight="false" outlineLevel="0" collapsed="false">
      <c r="A286" s="8"/>
      <c r="B286" s="14" t="n">
        <v>113</v>
      </c>
      <c r="C286" s="12" t="n">
        <f aca="false">(ABS(C117-E117)/C117)*100</f>
        <v>99.9034449463775</v>
      </c>
      <c r="D286" s="14" t="n">
        <f aca="false">(ABS(D117-F117)/D117)*100</f>
        <v>22.1150983580278</v>
      </c>
      <c r="E286" s="23"/>
      <c r="F286" s="14" t="n">
        <f aca="false">(ABS(C117-G117)/C117)*100</f>
        <v>0</v>
      </c>
      <c r="G286" s="14" t="n">
        <f aca="false">(ABS(D117-H117)/D117)*100</f>
        <v>0</v>
      </c>
      <c r="H286" s="23"/>
    </row>
    <row r="287" customFormat="false" ht="15" hidden="false" customHeight="false" outlineLevel="0" collapsed="false">
      <c r="A287" s="8"/>
      <c r="B287" s="14" t="n">
        <v>114</v>
      </c>
      <c r="C287" s="12" t="n">
        <f aca="false">(ABS(C118-E118)/C118)*100</f>
        <v>99.955170867961</v>
      </c>
      <c r="D287" s="14" t="n">
        <f aca="false">(ABS(D118-F118)/D118)*100</f>
        <v>22.1265486523004</v>
      </c>
      <c r="E287" s="23"/>
      <c r="F287" s="14" t="n">
        <f aca="false">(ABS(C118-G118)/C118)*100</f>
        <v>0</v>
      </c>
      <c r="G287" s="14" t="n">
        <f aca="false">(ABS(D118-H118)/D118)*100</f>
        <v>0</v>
      </c>
      <c r="H287" s="23"/>
    </row>
    <row r="288" customFormat="false" ht="15" hidden="false" customHeight="false" outlineLevel="0" collapsed="false">
      <c r="A288" s="8"/>
      <c r="B288" s="14" t="n">
        <v>115</v>
      </c>
      <c r="C288" s="12" t="n">
        <f aca="false">(ABS(C119-E119)/C119)*100</f>
        <v>97.3986013986014</v>
      </c>
      <c r="D288" s="14" t="n">
        <f aca="false">(ABS(D119-F119)/D119)*100</f>
        <v>21.1993911719939</v>
      </c>
      <c r="E288" s="23"/>
      <c r="F288" s="14" t="n">
        <f aca="false">(ABS(C119-G119)/C119)*100</f>
        <v>0</v>
      </c>
      <c r="G288" s="14" t="n">
        <f aca="false">(ABS(D119-H119)/D119)*100</f>
        <v>0</v>
      </c>
      <c r="H288" s="23"/>
    </row>
    <row r="289" customFormat="false" ht="15" hidden="false" customHeight="false" outlineLevel="0" collapsed="false">
      <c r="A289" s="8"/>
      <c r="B289" s="14" t="n">
        <v>116</v>
      </c>
      <c r="C289" s="12" t="n">
        <f aca="false">(ABS(C120-E120)/C120)*100</f>
        <v>99.8986013986014</v>
      </c>
      <c r="D289" s="14" t="n">
        <f aca="false">(ABS(D120-F120)/D120)*100</f>
        <v>21.7435312024353</v>
      </c>
      <c r="E289" s="23"/>
      <c r="F289" s="14" t="n">
        <f aca="false">(ABS(C120-G120)/C120)*100</f>
        <v>0</v>
      </c>
      <c r="G289" s="14" t="n">
        <f aca="false">(ABS(D120-H120)/D120)*100</f>
        <v>0</v>
      </c>
      <c r="H289" s="23"/>
    </row>
    <row r="290" customFormat="false" ht="15" hidden="false" customHeight="false" outlineLevel="0" collapsed="false">
      <c r="A290" s="8"/>
      <c r="B290" s="14" t="n">
        <v>117</v>
      </c>
      <c r="C290" s="12" t="n">
        <f aca="false">(ABS(C121-E121)/C121)*100</f>
        <v>99.9432624113475</v>
      </c>
      <c r="D290" s="14" t="n">
        <f aca="false">(ABS(D121-F121)/D121)*100</f>
        <v>21.3839150227618</v>
      </c>
      <c r="E290" s="23"/>
      <c r="F290" s="14" t="n">
        <f aca="false">(ABS(C121-G121)/C121)*100</f>
        <v>0</v>
      </c>
      <c r="G290" s="14" t="n">
        <f aca="false">(ABS(D121-H121)/D121)*100</f>
        <v>0</v>
      </c>
      <c r="H290" s="23"/>
    </row>
    <row r="291" customFormat="false" ht="15" hidden="false" customHeight="false" outlineLevel="0" collapsed="false">
      <c r="A291" s="8"/>
      <c r="B291" s="14" t="n">
        <v>118</v>
      </c>
      <c r="C291" s="12" t="n">
        <f aca="false">(ABS(C122-E122)/C122)*100</f>
        <v>99.9361679492181</v>
      </c>
      <c r="D291" s="14" t="n">
        <f aca="false">(ABS(D122-F122)/D122)*100</f>
        <v>21.381476620056</v>
      </c>
      <c r="E291" s="23"/>
      <c r="F291" s="14" t="n">
        <f aca="false">(ABS(C122-G122)/C122)*100</f>
        <v>0</v>
      </c>
      <c r="G291" s="14" t="n">
        <f aca="false">(ABS(D122-H122)/D122)*100</f>
        <v>0</v>
      </c>
      <c r="H291" s="23"/>
    </row>
    <row r="292" customFormat="false" ht="15" hidden="false" customHeight="false" outlineLevel="0" collapsed="false">
      <c r="A292" s="8"/>
      <c r="B292" s="14" t="n">
        <v>119</v>
      </c>
      <c r="C292" s="12" t="n">
        <f aca="false">(ABS(C123-E123)/C123)*100</f>
        <v>99.9208633093525</v>
      </c>
      <c r="D292" s="14" t="n">
        <f aca="false">(ABS(D123-F123)/D123)*100</f>
        <v>21.0121028744327</v>
      </c>
      <c r="E292" s="23"/>
      <c r="F292" s="14" t="n">
        <f aca="false">(ABS(C123-G123)/C123)*100</f>
        <v>0</v>
      </c>
      <c r="G292" s="14" t="n">
        <f aca="false">(ABS(D123-H123)/D123)*100</f>
        <v>0</v>
      </c>
      <c r="H292" s="23"/>
    </row>
    <row r="293" customFormat="false" ht="15" hidden="false" customHeight="false" outlineLevel="0" collapsed="false">
      <c r="A293" s="8"/>
      <c r="B293" s="14" t="n">
        <v>120</v>
      </c>
      <c r="C293" s="12" t="n">
        <f aca="false">(ABS(C124-E124)/C124)*100</f>
        <v>99.7733731429188</v>
      </c>
      <c r="D293" s="14" t="n">
        <f aca="false">(ABS(D124-F124)/D124)*100</f>
        <v>20.9801741287887</v>
      </c>
      <c r="E293" s="23"/>
      <c r="F293" s="14" t="n">
        <f aca="false">(ABS(C124-G124)/C124)*100</f>
        <v>0</v>
      </c>
      <c r="G293" s="14" t="n">
        <f aca="false">(ABS(D124-H124)/D124)*100</f>
        <v>0</v>
      </c>
      <c r="H293" s="23"/>
    </row>
    <row r="294" customFormat="false" ht="15" hidden="false" customHeight="false" outlineLevel="0" collapsed="false">
      <c r="A294" s="8"/>
      <c r="B294" s="14" t="n">
        <v>121</v>
      </c>
      <c r="C294" s="12" t="n">
        <f aca="false">(ABS(C125-E125)/C125)*100</f>
        <v>99.6423357664234</v>
      </c>
      <c r="D294" s="14" t="n">
        <f aca="false">(ABS(D125-F125)/D125)*100</f>
        <v>20.5897435897436</v>
      </c>
      <c r="E294" s="23"/>
      <c r="F294" s="14" t="n">
        <f aca="false">(ABS(C125-G125)/C125)*100</f>
        <v>0</v>
      </c>
      <c r="G294" s="14" t="n">
        <f aca="false">(ABS(D125-H125)/D125)*100</f>
        <v>0</v>
      </c>
      <c r="H294" s="23"/>
    </row>
    <row r="295" customFormat="false" ht="15" hidden="false" customHeight="false" outlineLevel="0" collapsed="false">
      <c r="A295" s="8"/>
      <c r="B295" s="14" t="n">
        <v>122</v>
      </c>
      <c r="C295" s="12" t="n">
        <f aca="false">(ABS(C126-E126)/C126)*100</f>
        <v>98.5875396912296</v>
      </c>
      <c r="D295" s="14" t="n">
        <f aca="false">(ABS(D126-F126)/D126)*100</f>
        <v>20.3708870973824</v>
      </c>
      <c r="E295" s="23"/>
      <c r="F295" s="14" t="n">
        <f aca="false">(ABS(C126-G126)/C126)*100</f>
        <v>0</v>
      </c>
      <c r="G295" s="14" t="n">
        <f aca="false">(ABS(D126-H126)/D126)*100</f>
        <v>0</v>
      </c>
      <c r="H295" s="23"/>
    </row>
    <row r="296" customFormat="false" ht="15" hidden="false" customHeight="false" outlineLevel="0" collapsed="false">
      <c r="A296" s="8"/>
      <c r="B296" s="14" t="n">
        <v>123</v>
      </c>
      <c r="C296" s="12" t="n">
        <f aca="false">(ABS(C127-E127)/C127)*100</f>
        <v>99.9518518518518</v>
      </c>
      <c r="D296" s="14" t="n">
        <f aca="false">(ABS(D127-F127)/D127)*100</f>
        <v>20.290977443609</v>
      </c>
      <c r="E296" s="23"/>
      <c r="F296" s="14" t="n">
        <f aca="false">(ABS(C127-G127)/C127)*100</f>
        <v>0</v>
      </c>
      <c r="G296" s="14" t="n">
        <f aca="false">(ABS(D127-H127)/D127)*100</f>
        <v>0</v>
      </c>
      <c r="H296" s="23"/>
    </row>
    <row r="297" customFormat="false" ht="15" hidden="false" customHeight="false" outlineLevel="0" collapsed="false">
      <c r="A297" s="8"/>
      <c r="B297" s="14" t="n">
        <v>124</v>
      </c>
      <c r="C297" s="12" t="n">
        <f aca="false">(ABS(C128-E128)/C128)*100</f>
        <v>98.9285714285714</v>
      </c>
      <c r="D297" s="14" t="n">
        <f aca="false">(ABS(D128-F128)/D128)*100</f>
        <v>19.7263868065967</v>
      </c>
      <c r="E297" s="23"/>
      <c r="F297" s="14" t="n">
        <f aca="false">(ABS(C128-G128)/C128)*100</f>
        <v>0</v>
      </c>
      <c r="G297" s="14" t="n">
        <f aca="false">(ABS(D128-H128)/D128)*100</f>
        <v>0</v>
      </c>
      <c r="H297" s="23"/>
    </row>
    <row r="298" customFormat="false" ht="15" hidden="false" customHeight="false" outlineLevel="0" collapsed="false">
      <c r="A298" s="8"/>
      <c r="B298" s="14" t="n">
        <v>125</v>
      </c>
      <c r="C298" s="12" t="n">
        <f aca="false">(ABS(C129-E129)/C129)*100</f>
        <v>98.7293233082707</v>
      </c>
      <c r="D298" s="14" t="n">
        <f aca="false">(ABS(D129-F129)/D129)*100</f>
        <v>19.6866566716642</v>
      </c>
      <c r="E298" s="23"/>
      <c r="F298" s="14" t="n">
        <f aca="false">(ABS(C129-G129)/C129)*100</f>
        <v>0</v>
      </c>
      <c r="G298" s="14" t="n">
        <f aca="false">(ABS(D129-H129)/D129)*100</f>
        <v>0</v>
      </c>
      <c r="H298" s="23"/>
    </row>
    <row r="299" customFormat="false" ht="15" hidden="false" customHeight="false" outlineLevel="0" collapsed="false">
      <c r="A299" s="8"/>
      <c r="B299" s="14" t="n">
        <v>126</v>
      </c>
      <c r="C299" s="12" t="n">
        <f aca="false">(ABS(C130-E130)/C130)*100</f>
        <v>99.7900763358779</v>
      </c>
      <c r="D299" s="14" t="n">
        <f aca="false">(ABS(D130-F130)/D130)*100</f>
        <v>19.5403587443946</v>
      </c>
      <c r="E299" s="23"/>
      <c r="F299" s="14" t="n">
        <f aca="false">(ABS(C130-G130)/C130)*100</f>
        <v>0</v>
      </c>
      <c r="G299" s="14" t="n">
        <f aca="false">(ABS(D130-H130)/D130)*100</f>
        <v>0</v>
      </c>
      <c r="H299" s="23"/>
    </row>
    <row r="300" customFormat="false" ht="15" hidden="false" customHeight="false" outlineLevel="0" collapsed="false">
      <c r="A300" s="8"/>
      <c r="B300" s="14" t="n">
        <v>127</v>
      </c>
      <c r="C300" s="12" t="n">
        <f aca="false">(ABS(C131-E131)/C131)*100</f>
        <v>99.6937984496124</v>
      </c>
      <c r="D300" s="14" t="n">
        <f aca="false">(ABS(D131-F131)/D131)*100</f>
        <v>19.1661698956781</v>
      </c>
      <c r="E300" s="23"/>
      <c r="F300" s="14" t="n">
        <f aca="false">(ABS(C131-G131)/C131)*100</f>
        <v>0</v>
      </c>
      <c r="G300" s="14" t="n">
        <f aca="false">(ABS(D131-H131)/D131)*100</f>
        <v>0</v>
      </c>
      <c r="H300" s="23"/>
    </row>
    <row r="301" customFormat="false" ht="15" hidden="false" customHeight="false" outlineLevel="0" collapsed="false">
      <c r="A301" s="8"/>
      <c r="B301" s="14" t="n">
        <v>128</v>
      </c>
      <c r="C301" s="12" t="n">
        <f aca="false">(ABS(C132-E132)/C132)*100</f>
        <v>99.7945736434109</v>
      </c>
      <c r="D301" s="14" t="n">
        <f aca="false">(ABS(D132-F132)/D132)*100</f>
        <v>19.1855439642325</v>
      </c>
      <c r="E301" s="23"/>
      <c r="F301" s="14" t="n">
        <f aca="false">(ABS(C132-G132)/C132)*100</f>
        <v>0</v>
      </c>
      <c r="G301" s="14" t="n">
        <f aca="false">(ABS(D132-H132)/D132)*100</f>
        <v>0</v>
      </c>
      <c r="H301" s="23"/>
    </row>
    <row r="302" customFormat="false" ht="15" hidden="false" customHeight="false" outlineLevel="0" collapsed="false">
      <c r="A302" s="8"/>
      <c r="B302" s="14" t="n">
        <v>129</v>
      </c>
      <c r="C302" s="12" t="n">
        <f aca="false">(ABS(C133-E133)/C133)*100</f>
        <v>99.7125984251969</v>
      </c>
      <c r="D302" s="14" t="n">
        <f aca="false">(ABS(D133-F133)/D133)*100</f>
        <v>18.8164933135215</v>
      </c>
      <c r="E302" s="23"/>
      <c r="F302" s="14" t="n">
        <f aca="false">(ABS(C133-G133)/C133)*100</f>
        <v>0</v>
      </c>
      <c r="G302" s="14" t="n">
        <f aca="false">(ABS(D133-H133)/D133)*100</f>
        <v>0</v>
      </c>
      <c r="H302" s="23"/>
    </row>
    <row r="303" customFormat="false" ht="15" hidden="false" customHeight="false" outlineLevel="0" collapsed="false">
      <c r="A303" s="8"/>
      <c r="B303" s="14" t="n">
        <v>130</v>
      </c>
      <c r="C303" s="12" t="n">
        <f aca="false">(ABS(C134-E134)/C134)*100</f>
        <v>100</v>
      </c>
      <c r="D303" s="14" t="n">
        <f aca="false">(ABS(D134-F134)/D134)*100</f>
        <v>18.6266005323369</v>
      </c>
      <c r="E303" s="23"/>
      <c r="F303" s="14" t="n">
        <f aca="false">(ABS(C134-G134)/C134)*100</f>
        <v>0.0278629144608526</v>
      </c>
      <c r="G303" s="14" t="n">
        <f aca="false">(ABS(D134-H134)/D134)*100</f>
        <v>0.00518991377328974</v>
      </c>
      <c r="H303" s="23"/>
    </row>
    <row r="304" customFormat="false" ht="15" hidden="false" customHeight="false" outlineLevel="0" collapsed="false">
      <c r="A304" s="8"/>
      <c r="B304" s="14" t="n">
        <v>131</v>
      </c>
      <c r="C304" s="12" t="n">
        <f aca="false">(ABS(C135-E135)/C135)*100</f>
        <v>99.7075548334687</v>
      </c>
      <c r="D304" s="14" t="n">
        <f aca="false">(ABS(D135-F135)/D135)*100</f>
        <v>18.1326636135323</v>
      </c>
      <c r="E304" s="23"/>
      <c r="F304" s="14" t="n">
        <f aca="false">(ABS(C135-G135)/C135)*100</f>
        <v>0</v>
      </c>
      <c r="G304" s="14" t="n">
        <f aca="false">(ABS(D135-H135)/D135)*100</f>
        <v>0</v>
      </c>
      <c r="H304" s="23"/>
    </row>
    <row r="305" customFormat="false" ht="15" hidden="false" customHeight="false" outlineLevel="0" collapsed="false">
      <c r="A305" s="8"/>
      <c r="B305" s="14" t="n">
        <v>132</v>
      </c>
      <c r="C305" s="12" t="n">
        <f aca="false">(ABS(C136-E136)/C136)*100</f>
        <v>99.8719008264463</v>
      </c>
      <c r="D305" s="14" t="n">
        <f aca="false">(ABS(D136-F136)/D136)*100</f>
        <v>17.7974963181149</v>
      </c>
      <c r="E305" s="23"/>
      <c r="F305" s="14" t="n">
        <f aca="false">(ABS(C136-G136)/C136)*100</f>
        <v>0</v>
      </c>
      <c r="G305" s="14" t="n">
        <f aca="false">(ABS(D136-H136)/D136)*100</f>
        <v>0</v>
      </c>
      <c r="H305" s="23"/>
    </row>
    <row r="306" customFormat="false" ht="15" hidden="false" customHeight="false" outlineLevel="0" collapsed="false">
      <c r="A306" s="8"/>
      <c r="B306" s="14" t="n">
        <v>133</v>
      </c>
      <c r="C306" s="12" t="n">
        <f aca="false">(ABS(C137-E137)/C137)*100</f>
        <v>99.7478991596639</v>
      </c>
      <c r="D306" s="14" t="n">
        <f aca="false">(ABS(D137-F137)/D137)*100</f>
        <v>17.4302496328928</v>
      </c>
      <c r="E306" s="23"/>
      <c r="F306" s="14" t="n">
        <f aca="false">(ABS(C137-G137)/C137)*100</f>
        <v>0</v>
      </c>
      <c r="G306" s="14" t="n">
        <f aca="false">(ABS(D137-H137)/D137)*100</f>
        <v>0</v>
      </c>
      <c r="H306" s="23"/>
    </row>
    <row r="307" customFormat="false" ht="15" hidden="false" customHeight="false" outlineLevel="0" collapsed="false">
      <c r="A307" s="8"/>
      <c r="B307" s="14" t="n">
        <v>134</v>
      </c>
      <c r="C307" s="12" t="n">
        <f aca="false">(ABS(C138-E138)/C138)*100</f>
        <v>100</v>
      </c>
      <c r="D307" s="14" t="n">
        <f aca="false">(ABS(D138-F138)/D138)*100</f>
        <v>17.4743024963289</v>
      </c>
      <c r="E307" s="23"/>
      <c r="F307" s="14" t="n">
        <f aca="false">(ABS(C138-G138)/C138)*100</f>
        <v>0</v>
      </c>
      <c r="G307" s="14" t="n">
        <f aca="false">(ABS(D138-H138)/D138)*100</f>
        <v>0</v>
      </c>
      <c r="H307" s="23"/>
    </row>
    <row r="308" customFormat="false" ht="15" hidden="false" customHeight="false" outlineLevel="0" collapsed="false">
      <c r="A308" s="8"/>
      <c r="B308" s="14" t="n">
        <v>135</v>
      </c>
      <c r="C308" s="12" t="n">
        <f aca="false">(ABS(C139-E139)/C139)*100</f>
        <v>100</v>
      </c>
      <c r="D308" s="14" t="n">
        <f aca="false">(ABS(D139-F139)/D139)*100</f>
        <v>17.1303074670571</v>
      </c>
      <c r="E308" s="23"/>
      <c r="F308" s="14" t="n">
        <f aca="false">(ABS(C139-G139)/C139)*100</f>
        <v>0</v>
      </c>
      <c r="G308" s="14" t="n">
        <f aca="false">(ABS(D139-H139)/D139)*100</f>
        <v>0</v>
      </c>
      <c r="H308" s="23"/>
    </row>
    <row r="309" customFormat="false" ht="15" hidden="false" customHeight="false" outlineLevel="0" collapsed="false">
      <c r="A309" s="8"/>
      <c r="B309" s="14" t="n">
        <v>136</v>
      </c>
      <c r="C309" s="12" t="n">
        <f aca="false">(ABS(C140-E140)/C140)*100</f>
        <v>99.9521884643804</v>
      </c>
      <c r="D309" s="14" t="n">
        <f aca="false">(ABS(D140-F140)/D140)*100</f>
        <v>16.7862591519275</v>
      </c>
      <c r="E309" s="23"/>
      <c r="F309" s="14" t="n">
        <f aca="false">(ABS(C140-G140)/C140)*100</f>
        <v>0.0260790194288695</v>
      </c>
      <c r="G309" s="14" t="n">
        <f aca="false">(ABS(D140-H140)/D140)*100</f>
        <v>0.00437978582847299</v>
      </c>
      <c r="H309" s="23"/>
    </row>
    <row r="310" customFormat="false" ht="15" hidden="false" customHeight="false" outlineLevel="0" collapsed="false">
      <c r="A310" s="8"/>
      <c r="B310" s="14" t="n">
        <v>137</v>
      </c>
      <c r="C310" s="12" t="n">
        <f aca="false">(ABS(C141-E141)/C141)*100</f>
        <v>100</v>
      </c>
      <c r="D310" s="14" t="n">
        <f aca="false">(ABS(D141-F141)/D141)*100</f>
        <v>16.448326055313</v>
      </c>
      <c r="E310" s="23"/>
      <c r="F310" s="14" t="n">
        <f aca="false">(ABS(C141-G141)/C141)*100</f>
        <v>0</v>
      </c>
      <c r="G310" s="14" t="n">
        <f aca="false">(ABS(D141-H141)/D141)*100</f>
        <v>0</v>
      </c>
      <c r="H310" s="23"/>
    </row>
    <row r="311" customFormat="false" ht="15" hidden="false" customHeight="false" outlineLevel="0" collapsed="false">
      <c r="A311" s="8"/>
      <c r="B311" s="14" t="n">
        <v>138</v>
      </c>
      <c r="C311" s="12" t="n">
        <f aca="false">(ABS(C142-E142)/C142)*100</f>
        <v>99.981981981982</v>
      </c>
      <c r="D311" s="14" t="n">
        <f aca="false">(ABS(D142-F142)/D142)*100</f>
        <v>16.1074020319303</v>
      </c>
      <c r="E311" s="23"/>
      <c r="F311" s="14" t="n">
        <f aca="false">(ABS(C142-G142)/C142)*100</f>
        <v>0</v>
      </c>
      <c r="G311" s="14" t="n">
        <f aca="false">(ABS(D142-H142)/D142)*100</f>
        <v>0</v>
      </c>
      <c r="H311" s="23"/>
    </row>
    <row r="312" customFormat="false" ht="15" hidden="false" customHeight="false" outlineLevel="0" collapsed="false">
      <c r="A312" s="8"/>
      <c r="B312" s="14" t="n">
        <v>139</v>
      </c>
      <c r="C312" s="12" t="n">
        <f aca="false">(ABS(C143-E143)/C143)*100</f>
        <v>99.6742969861003</v>
      </c>
      <c r="D312" s="14" t="n">
        <f aca="false">(ABS(D143-F143)/D143)*100</f>
        <v>15.7220280605784</v>
      </c>
      <c r="E312" s="23"/>
      <c r="F312" s="14" t="n">
        <f aca="false">(ABS(C143-G143)/C143)*100</f>
        <v>0</v>
      </c>
      <c r="G312" s="14" t="n">
        <f aca="false">(ABS(D143-H143)/D143)*100</f>
        <v>0</v>
      </c>
      <c r="H312" s="23"/>
    </row>
    <row r="313" customFormat="false" ht="15" hidden="false" customHeight="false" outlineLevel="0" collapsed="false">
      <c r="A313" s="8"/>
      <c r="B313" s="14" t="n">
        <v>140</v>
      </c>
      <c r="C313" s="12" t="n">
        <f aca="false">(ABS(C144-E144)/C144)*100</f>
        <v>99.7809523809524</v>
      </c>
      <c r="D313" s="14" t="n">
        <f aca="false">(ABS(D144-F144)/D144)*100</f>
        <v>15.0748201438849</v>
      </c>
      <c r="E313" s="23"/>
      <c r="F313" s="14" t="n">
        <f aca="false">(ABS(C144-G144)/C144)*100</f>
        <v>0</v>
      </c>
      <c r="G313" s="14" t="n">
        <f aca="false">(ABS(D144-H144)/D144)*100</f>
        <v>0</v>
      </c>
      <c r="H313" s="23"/>
    </row>
    <row r="314" customFormat="false" ht="15" hidden="false" customHeight="false" outlineLevel="0" collapsed="false">
      <c r="A314" s="8"/>
      <c r="B314" s="14" t="n">
        <v>141</v>
      </c>
      <c r="C314" s="12" t="n">
        <f aca="false">(ABS(C145-E145)/C145)*100</f>
        <v>95.5952265450665</v>
      </c>
      <c r="D314" s="14" t="n">
        <f aca="false">(ABS(D145-F145)/D145)*100</f>
        <v>14.1377182787367</v>
      </c>
      <c r="E314" s="23"/>
      <c r="F314" s="14" t="n">
        <f aca="false">(ABS(C145-G145)/C145)*100</f>
        <v>0.00485107208693121</v>
      </c>
      <c r="G314" s="14" t="n">
        <f aca="false">(ABS(D145-H145)/D145)*100</f>
        <v>0.00071743216678863</v>
      </c>
      <c r="H314" s="23"/>
    </row>
    <row r="315" customFormat="false" ht="15" hidden="false" customHeight="false" outlineLevel="0" collapsed="false">
      <c r="A315" s="8"/>
      <c r="B315" s="14" t="n">
        <v>142</v>
      </c>
      <c r="C315" s="12" t="n">
        <f aca="false">(ABS(C146-E146)/C146)*100</f>
        <v>97.3811881188119</v>
      </c>
      <c r="D315" s="14" t="n">
        <f aca="false">(ABS(D146-F146)/D146)*100</f>
        <v>14.0708154506438</v>
      </c>
      <c r="E315" s="23"/>
      <c r="F315" s="14" t="n">
        <f aca="false">(ABS(C146-G146)/C146)*100</f>
        <v>0</v>
      </c>
      <c r="G315" s="14" t="n">
        <f aca="false">(ABS(D146-H146)/D146)*100</f>
        <v>0</v>
      </c>
      <c r="H315" s="23"/>
    </row>
    <row r="316" customFormat="false" ht="15" hidden="false" customHeight="false" outlineLevel="0" collapsed="false">
      <c r="A316" s="8"/>
      <c r="B316" s="14" t="n">
        <v>143</v>
      </c>
      <c r="C316" s="12" t="n">
        <f aca="false">(ABS(C147-E147)/C147)*100</f>
        <v>98.5948594859486</v>
      </c>
      <c r="D316" s="14" t="n">
        <f aca="false">(ABS(D147-F147)/D147)*100</f>
        <v>14.083370237568</v>
      </c>
      <c r="E316" s="23"/>
      <c r="F316" s="14" t="n">
        <f aca="false">(ABS(C147-G147)/C147)*100</f>
        <v>0</v>
      </c>
      <c r="G316" s="14" t="n">
        <f aca="false">(ABS(D147-H147)/D147)*100</f>
        <v>0</v>
      </c>
      <c r="H316" s="23"/>
    </row>
    <row r="317" customFormat="false" ht="15" hidden="false" customHeight="false" outlineLevel="0" collapsed="false">
      <c r="A317" s="8"/>
      <c r="B317" s="14" t="n">
        <v>144</v>
      </c>
      <c r="C317" s="12" t="n">
        <f aca="false">(ABS(C148-E148)/C148)*100</f>
        <v>100</v>
      </c>
      <c r="D317" s="14" t="n">
        <f aca="false">(ABS(D148-F148)/D148)*100</f>
        <v>13.7980085348506</v>
      </c>
      <c r="E317" s="23"/>
      <c r="F317" s="14" t="n">
        <f aca="false">(ABS(C148-G148)/C148)*100</f>
        <v>0</v>
      </c>
      <c r="G317" s="14" t="n">
        <f aca="false">(ABS(D148-H148)/D148)*100</f>
        <v>0</v>
      </c>
      <c r="H317" s="23"/>
    </row>
    <row r="318" customFormat="false" ht="15" hidden="false" customHeight="false" outlineLevel="0" collapsed="false">
      <c r="A318" s="8"/>
      <c r="B318" s="14" t="n">
        <v>145</v>
      </c>
      <c r="C318" s="12" t="n">
        <f aca="false">(ABS(C149-E149)/C149)*100</f>
        <v>99.7365591397849</v>
      </c>
      <c r="D318" s="14" t="n">
        <f aca="false">(ABS(D149-F149)/D149)*100</f>
        <v>13.1195190947666</v>
      </c>
      <c r="E318" s="23"/>
      <c r="F318" s="14" t="n">
        <f aca="false">(ABS(C149-G149)/C149)*100</f>
        <v>0.0376344086021505</v>
      </c>
      <c r="G318" s="14" t="n">
        <f aca="false">(ABS(D149-H149)/D149)*100</f>
        <v>0.00495049504950495</v>
      </c>
      <c r="H318" s="23"/>
    </row>
    <row r="319" customFormat="false" ht="15" hidden="false" customHeight="false" outlineLevel="0" collapsed="false">
      <c r="A319" s="8"/>
      <c r="B319" s="14" t="n">
        <v>146</v>
      </c>
      <c r="C319" s="12" t="n">
        <f aca="false">(ABS(C150-E150)/C150)*100</f>
        <v>99.2857142857143</v>
      </c>
      <c r="D319" s="14" t="n">
        <f aca="false">(ABS(D150-F150)/D150)*100</f>
        <v>12.7433004231312</v>
      </c>
      <c r="E319" s="23"/>
      <c r="F319" s="14" t="n">
        <f aca="false">(ABS(C150-G150)/C150)*100</f>
        <v>0.043956043956044</v>
      </c>
      <c r="G319" s="14" t="n">
        <f aca="false">(ABS(D150-H150)/D150)*100</f>
        <v>0.00564174894217207</v>
      </c>
      <c r="H319" s="23"/>
    </row>
    <row r="320" customFormat="false" ht="15" hidden="false" customHeight="false" outlineLevel="0" collapsed="false">
      <c r="A320" s="8"/>
      <c r="B320" s="14" t="n">
        <v>147</v>
      </c>
      <c r="C320" s="12" t="n">
        <f aca="false">(ABS(C151-E151)/C151)*100</f>
        <v>99.8563878676471</v>
      </c>
      <c r="D320" s="14" t="n">
        <f aca="false">(ABS(D151-F151)/D151)*100</f>
        <v>12.1907259874327</v>
      </c>
      <c r="E320" s="23"/>
      <c r="F320" s="14" t="n">
        <f aca="false">(ABS(C151-G151)/C151)*100</f>
        <v>0</v>
      </c>
      <c r="G320" s="14" t="n">
        <f aca="false">(ABS(D151-H151)/D151)*100</f>
        <v>0</v>
      </c>
      <c r="H320" s="23"/>
    </row>
    <row r="321" customFormat="false" ht="15" hidden="false" customHeight="false" outlineLevel="0" collapsed="false">
      <c r="A321" s="8"/>
      <c r="B321" s="14" t="n">
        <v>148</v>
      </c>
      <c r="C321" s="12" t="n">
        <f aca="false">(ABS(C152-E152)/C152)*100</f>
        <v>99.8529411764706</v>
      </c>
      <c r="D321" s="14" t="n">
        <f aca="false">(ABS(D152-F152)/D152)*100</f>
        <v>11.8706293706294</v>
      </c>
      <c r="E321" s="23"/>
      <c r="F321" s="14" t="n">
        <f aca="false">(ABS(C152-G152)/C152)*100</f>
        <v>0</v>
      </c>
      <c r="G321" s="14" t="n">
        <f aca="false">(ABS(D152-H152)/D152)*100</f>
        <v>0</v>
      </c>
      <c r="H321" s="23"/>
    </row>
    <row r="322" customFormat="false" ht="15" hidden="false" customHeight="false" outlineLevel="0" collapsed="false">
      <c r="A322" s="8"/>
      <c r="B322" s="14" t="n">
        <v>149</v>
      </c>
      <c r="C322" s="12" t="n">
        <f aca="false">(ABS(C153-E153)/C153)*100</f>
        <v>99.2160493827161</v>
      </c>
      <c r="D322" s="14" t="n">
        <f aca="false">(ABS(D153-F153)/D153)*100</f>
        <v>11.1773296244784</v>
      </c>
      <c r="E322" s="23"/>
      <c r="F322" s="14" t="n">
        <f aca="false">(ABS(C153-G153)/C153)*100</f>
        <v>0</v>
      </c>
      <c r="G322" s="14" t="n">
        <f aca="false">(ABS(D153-H153)/D153)*100</f>
        <v>0</v>
      </c>
      <c r="H322" s="23"/>
    </row>
    <row r="323" customFormat="false" ht="15" hidden="false" customHeight="false" outlineLevel="0" collapsed="false">
      <c r="A323" s="8"/>
      <c r="B323" s="14" t="n">
        <v>150</v>
      </c>
      <c r="C323" s="12" t="n">
        <f aca="false">(ABS(C154-E154)/C154)*100</f>
        <v>99.4805194805195</v>
      </c>
      <c r="D323" s="14" t="n">
        <f aca="false">(ABS(D154-F154)/D154)*100</f>
        <v>10.5947441217151</v>
      </c>
      <c r="E323" s="23"/>
      <c r="F323" s="14" t="n">
        <f aca="false">(ABS(C154-G154)/C154)*100</f>
        <v>0</v>
      </c>
      <c r="G323" s="14" t="n">
        <f aca="false">(ABS(D154-H154)/D154)*100</f>
        <v>0</v>
      </c>
      <c r="H323" s="23"/>
    </row>
    <row r="324" customFormat="false" ht="15" hidden="false" customHeight="false" outlineLevel="0" collapsed="false">
      <c r="A324" s="8"/>
      <c r="B324" s="14" t="n">
        <v>151</v>
      </c>
      <c r="C324" s="12" t="n">
        <f aca="false">(ABS(C155-E155)/C155)*100</f>
        <v>98.7054794520548</v>
      </c>
      <c r="D324" s="14" t="n">
        <f aca="false">(ABS(D155-F155)/D155)*100</f>
        <v>9.91127922971114</v>
      </c>
      <c r="E324" s="23"/>
      <c r="F324" s="14" t="n">
        <f aca="false">(ABS(C155-G155)/C155)*100</f>
        <v>0.0684931506849315</v>
      </c>
      <c r="G324" s="14" t="n">
        <f aca="false">(ABS(D155-H155)/D155)*100</f>
        <v>0.00687757909215956</v>
      </c>
      <c r="H324" s="23"/>
    </row>
    <row r="325" customFormat="false" ht="15" hidden="false" customHeight="false" outlineLevel="0" collapsed="false">
      <c r="A325" s="8"/>
      <c r="B325" s="14" t="n">
        <v>152</v>
      </c>
      <c r="C325" s="12" t="n">
        <f aca="false">(ABS(C156-E156)/C156)*100</f>
        <v>99.934843987548</v>
      </c>
      <c r="D325" s="14" t="n">
        <f aca="false">(ABS(D156-F156)/D156)*100</f>
        <v>9.44270010329236</v>
      </c>
      <c r="E325" s="23"/>
      <c r="F325" s="14" t="n">
        <f aca="false">(ABS(C156-G156)/C156)*100</f>
        <v>0.043437341634692</v>
      </c>
      <c r="G325" s="14" t="n">
        <f aca="false">(ABS(D156-H156)/D156)*100</f>
        <v>0.00410433212255536</v>
      </c>
      <c r="H325" s="23"/>
    </row>
    <row r="326" customFormat="false" ht="15" hidden="false" customHeight="false" outlineLevel="0" collapsed="false">
      <c r="A326" s="8"/>
      <c r="B326" s="14" t="n">
        <v>153</v>
      </c>
      <c r="C326" s="12" t="n">
        <f aca="false">(ABS(C157-E157)/C157)*100</f>
        <v>100</v>
      </c>
      <c r="D326" s="14" t="n">
        <f aca="false">(ABS(D157-F157)/D157)*100</f>
        <v>8.84353741496599</v>
      </c>
      <c r="E326" s="23"/>
      <c r="F326" s="14" t="n">
        <f aca="false">(ABS(C157-G157)/C157)*100</f>
        <v>0</v>
      </c>
      <c r="G326" s="14" t="n">
        <f aca="false">(ABS(D157-H157)/D157)*100</f>
        <v>0</v>
      </c>
      <c r="H326" s="23"/>
    </row>
    <row r="327" customFormat="false" ht="15" hidden="false" customHeight="false" outlineLevel="0" collapsed="false">
      <c r="A327" s="8"/>
      <c r="B327" s="14" t="n">
        <v>154</v>
      </c>
      <c r="C327" s="12" t="n">
        <f aca="false">(ABS(C158-E158)/C158)*100</f>
        <v>99.6229508196721</v>
      </c>
      <c r="D327" s="14" t="n">
        <f aca="false">(ABS(D158-F158)/D158)*100</f>
        <v>8.22327469553451</v>
      </c>
      <c r="E327" s="23"/>
      <c r="F327" s="14" t="n">
        <f aca="false">(ABS(C158-G158)/C158)*100</f>
        <v>0</v>
      </c>
      <c r="G327" s="14" t="n">
        <f aca="false">(ABS(D158-H158)/D158)*100</f>
        <v>0</v>
      </c>
      <c r="H327" s="23"/>
    </row>
    <row r="328" customFormat="false" ht="15" hidden="false" customHeight="false" outlineLevel="0" collapsed="false">
      <c r="A328" s="8"/>
      <c r="B328" s="14" t="n">
        <v>155</v>
      </c>
      <c r="C328" s="12" t="n">
        <f aca="false">(ABS(C159-E159)/C159)*100</f>
        <v>99.7638081395349</v>
      </c>
      <c r="D328" s="14" t="n">
        <f aca="false">(ABS(D159-F159)/D159)*100</f>
        <v>7.37086554982818</v>
      </c>
      <c r="E328" s="23"/>
      <c r="F328" s="14" t="n">
        <f aca="false">(ABS(C159-G159)/C159)*100</f>
        <v>0.0090843023255814</v>
      </c>
      <c r="G328" s="14" t="n">
        <f aca="false">(ABS(D159-H159)/D159)*100</f>
        <v>0.000671176975945017</v>
      </c>
      <c r="H328" s="23"/>
    </row>
    <row r="329" customFormat="false" ht="15" hidden="false" customHeight="false" outlineLevel="0" collapsed="false">
      <c r="A329" s="8"/>
      <c r="B329" s="14" t="n">
        <v>156</v>
      </c>
      <c r="C329" s="12" t="n">
        <f aca="false">(ABS(C160-E160)/C160)*100</f>
        <v>97.9693877551021</v>
      </c>
      <c r="D329" s="14" t="n">
        <f aca="false">(ABS(D160-F160)/D160)*100</f>
        <v>6.39214380825566</v>
      </c>
      <c r="E329" s="23"/>
      <c r="F329" s="14" t="n">
        <f aca="false">(ABS(C160-G160)/C160)*100</f>
        <v>0</v>
      </c>
      <c r="G329" s="14" t="n">
        <f aca="false">(ABS(D160-H160)/D160)*100</f>
        <v>0</v>
      </c>
      <c r="H329" s="23"/>
    </row>
    <row r="330" customFormat="false" ht="15" hidden="false" customHeight="false" outlineLevel="0" collapsed="false">
      <c r="A330" s="8"/>
      <c r="B330" s="14" t="n">
        <v>157</v>
      </c>
      <c r="C330" s="12" t="n">
        <f aca="false">(ABS(C161-E161)/C161)*100</f>
        <v>90.0697674418605</v>
      </c>
      <c r="D330" s="14" t="n">
        <f aca="false">(ABS(D161-F161)/D161)*100</f>
        <v>5.11624834874505</v>
      </c>
      <c r="E330" s="23"/>
      <c r="F330" s="14" t="n">
        <f aca="false">(ABS(C161-G161)/C161)*100</f>
        <v>0</v>
      </c>
      <c r="G330" s="14" t="n">
        <f aca="false">(ABS(D161-H161)/D161)*100</f>
        <v>0</v>
      </c>
      <c r="H330" s="23"/>
    </row>
    <row r="331" customFormat="false" ht="15" hidden="false" customHeight="false" outlineLevel="0" collapsed="false">
      <c r="A331" s="8"/>
      <c r="B331" s="14" t="n">
        <v>158</v>
      </c>
      <c r="C331" s="12" t="n">
        <f aca="false">(ABS(C162-E162)/C162)*100</f>
        <v>100</v>
      </c>
      <c r="D331" s="14" t="n">
        <f aca="false">(ABS(D162-F162)/D162)*100</f>
        <v>4.57516339869281</v>
      </c>
      <c r="E331" s="23"/>
      <c r="F331" s="14" t="n">
        <f aca="false">(ABS(C162-G162)/C162)*100</f>
        <v>0</v>
      </c>
      <c r="G331" s="14" t="n">
        <f aca="false">(ABS(D162-H162)/D162)*100</f>
        <v>0</v>
      </c>
      <c r="H331" s="23"/>
    </row>
    <row r="332" customFormat="false" ht="15" hidden="false" customHeight="false" outlineLevel="0" collapsed="false">
      <c r="A332" s="8"/>
      <c r="B332" s="14" t="n">
        <v>159</v>
      </c>
      <c r="C332" s="12" t="n">
        <f aca="false">(ABS(C163-E163)/C163)*100</f>
        <v>95.86</v>
      </c>
      <c r="D332" s="14" t="n">
        <f aca="false">(ABS(D163-F163)/D163)*100</f>
        <v>3.09225806451613</v>
      </c>
      <c r="E332" s="23"/>
      <c r="F332" s="14" t="n">
        <f aca="false">(ABS(C163-G163)/C163)*100</f>
        <v>0</v>
      </c>
      <c r="G332" s="14" t="n">
        <f aca="false">(ABS(D163-H163)/D163)*100</f>
        <v>0</v>
      </c>
      <c r="H332" s="23"/>
    </row>
    <row r="333" customFormat="false" ht="15" hidden="false" customHeight="false" outlineLevel="0" collapsed="false">
      <c r="A333" s="8"/>
      <c r="B333" s="14" t="n">
        <v>160</v>
      </c>
      <c r="C333" s="12" t="n">
        <f aca="false">(ABS(C164-E164)/C164)*100</f>
        <v>98</v>
      </c>
      <c r="D333" s="14" t="n">
        <f aca="false">(ABS(D164-F164)/D164)*100</f>
        <v>0.122653316645807</v>
      </c>
      <c r="E333" s="24" t="s">
        <v>11</v>
      </c>
      <c r="F333" s="14" t="n">
        <f aca="false">(ABS(C164-G164)/C164)*100</f>
        <v>0.5</v>
      </c>
      <c r="G333" s="14" t="n">
        <f aca="false">(ABS(D164-H164)/D164)*100</f>
        <v>0.000625782227784731</v>
      </c>
      <c r="H333" s="24" t="s">
        <v>11</v>
      </c>
    </row>
    <row r="334" customFormat="false" ht="15" hidden="false" customHeight="false" outlineLevel="0" collapsed="false">
      <c r="A334" s="8"/>
      <c r="B334" s="16" t="s">
        <v>8</v>
      </c>
      <c r="C334" s="17" t="n">
        <f aca="false">(ABS(SUM(C4:C164)-SUM(E4:E164))/SUM(C4:C164))*100</f>
        <v>99.2831815102198</v>
      </c>
      <c r="D334" s="19" t="n">
        <f aca="false">(ABS(SUM(D4:D164)-SUM(F4:F164))/SUM(D4:D164))*100</f>
        <v>18.3458016061347</v>
      </c>
      <c r="E334" s="25" t="n">
        <f aca="false">SUM(C173:D333)/(161*2)</f>
        <v>58.6505520490978</v>
      </c>
      <c r="F334" s="19" t="n">
        <f aca="false">(ABS(SUM(C4:C164)-SUM(G4:G164))/SUM(C4:C164))*100</f>
        <v>0.00532654456102552</v>
      </c>
      <c r="G334" s="19" t="n">
        <f aca="false">(ABS(SUM(D4:D164)-SUM(H4:H164))/SUM(D4:D164))*100</f>
        <v>0.000984252602267295</v>
      </c>
      <c r="H334" s="25" t="n">
        <f aca="false">SUM(F173:G333)/(161*2)</f>
        <v>0.00573568492468793</v>
      </c>
    </row>
  </sheetData>
  <mergeCells count="11">
    <mergeCell ref="B1:B3"/>
    <mergeCell ref="C1:D2"/>
    <mergeCell ref="E1:H1"/>
    <mergeCell ref="E2:F2"/>
    <mergeCell ref="G2:H2"/>
    <mergeCell ref="A3:A165"/>
    <mergeCell ref="B170:B172"/>
    <mergeCell ref="C170:H170"/>
    <mergeCell ref="C171:E171"/>
    <mergeCell ref="F171:H171"/>
    <mergeCell ref="A172:A3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4"/>
  <sheetViews>
    <sheetView showFormulas="false" showGridLines="true" showRowColHeaders="true" showZeros="true" rightToLeft="false" tabSelected="false" showOutlineSymbols="true" defaultGridColor="true" view="normal" topLeftCell="A299" colorId="64" zoomScale="100" zoomScaleNormal="100" zoomScalePageLayoutView="100" workbookViewId="0">
      <selection pane="topLeft" activeCell="F173" activeCellId="0" sqref="F17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1.28"/>
    <col collapsed="false" customWidth="true" hidden="false" outlineLevel="0" max="7" min="7" style="1" width="22.68"/>
    <col collapsed="false" customWidth="true" hidden="false" outlineLevel="0" max="8" min="8" style="1" width="20.85"/>
  </cols>
  <sheetData>
    <row r="1" customFormat="false" ht="15" hidden="false" customHeight="false" outlineLevel="0" collapsed="false">
      <c r="A1" s="2"/>
      <c r="B1" s="4" t="s">
        <v>0</v>
      </c>
      <c r="C1" s="5" t="s">
        <v>1</v>
      </c>
      <c r="D1" s="5"/>
      <c r="E1" s="5" t="s">
        <v>2</v>
      </c>
      <c r="F1" s="5"/>
      <c r="G1" s="5"/>
      <c r="H1" s="5"/>
    </row>
    <row r="2" customFormat="false" ht="15" hidden="false" customHeight="false" outlineLevel="0" collapsed="false">
      <c r="A2" s="2"/>
      <c r="B2" s="4"/>
      <c r="C2" s="5"/>
      <c r="D2" s="5"/>
      <c r="E2" s="6" t="s">
        <v>3</v>
      </c>
      <c r="F2" s="6"/>
      <c r="G2" s="7" t="s">
        <v>4</v>
      </c>
      <c r="H2" s="7"/>
    </row>
    <row r="3" customFormat="false" ht="15" hidden="false" customHeight="false" outlineLevel="0" collapsed="false">
      <c r="A3" s="8" t="s">
        <v>12</v>
      </c>
      <c r="B3" s="4"/>
      <c r="C3" s="26" t="s">
        <v>13</v>
      </c>
      <c r="D3" s="10" t="s">
        <v>7</v>
      </c>
      <c r="E3" s="26" t="s">
        <v>13</v>
      </c>
      <c r="F3" s="11" t="s">
        <v>7</v>
      </c>
      <c r="G3" s="26" t="s">
        <v>13</v>
      </c>
      <c r="H3" s="10" t="s">
        <v>7</v>
      </c>
    </row>
    <row r="4" customFormat="false" ht="15" hidden="false" customHeight="false" outlineLevel="0" collapsed="false">
      <c r="A4" s="8"/>
      <c r="B4" s="14" t="n">
        <v>0</v>
      </c>
      <c r="C4" s="12" t="n">
        <v>200</v>
      </c>
      <c r="D4" s="13" t="n">
        <v>159800</v>
      </c>
      <c r="E4" s="14" t="n">
        <v>200</v>
      </c>
      <c r="F4" s="15" t="n">
        <v>159800</v>
      </c>
      <c r="G4" s="14" t="n">
        <v>200</v>
      </c>
      <c r="H4" s="13" t="n">
        <v>159800</v>
      </c>
    </row>
    <row r="5" customFormat="false" ht="15" hidden="false" customHeight="false" outlineLevel="0" collapsed="false">
      <c r="A5" s="8"/>
      <c r="B5" s="14" t="n">
        <v>1</v>
      </c>
      <c r="C5" s="12" t="n">
        <v>5000</v>
      </c>
      <c r="D5" s="13" t="n">
        <v>155000</v>
      </c>
      <c r="E5" s="14" t="n">
        <v>0</v>
      </c>
      <c r="F5" s="15" t="n">
        <v>160000</v>
      </c>
      <c r="G5" s="14" t="n">
        <v>4999</v>
      </c>
      <c r="H5" s="13" t="n">
        <v>155001</v>
      </c>
    </row>
    <row r="6" customFormat="false" ht="15" hidden="false" customHeight="false" outlineLevel="0" collapsed="false">
      <c r="A6" s="8"/>
      <c r="B6" s="14" t="n">
        <v>2</v>
      </c>
      <c r="C6" s="12" t="n">
        <v>7000</v>
      </c>
      <c r="D6" s="13" t="n">
        <v>153000</v>
      </c>
      <c r="E6" s="14" t="n">
        <v>0</v>
      </c>
      <c r="F6" s="15" t="n">
        <v>160000</v>
      </c>
      <c r="G6" s="14" t="n">
        <v>7013</v>
      </c>
      <c r="H6" s="13" t="n">
        <v>152987</v>
      </c>
    </row>
    <row r="7" customFormat="false" ht="15" hidden="false" customHeight="false" outlineLevel="0" collapsed="false">
      <c r="A7" s="8"/>
      <c r="B7" s="14" t="n">
        <v>3</v>
      </c>
      <c r="C7" s="12" t="n">
        <v>8600</v>
      </c>
      <c r="D7" s="13" t="n">
        <v>151400</v>
      </c>
      <c r="E7" s="14" t="n">
        <v>0</v>
      </c>
      <c r="F7" s="15" t="n">
        <v>160000</v>
      </c>
      <c r="G7" s="14" t="n">
        <v>8599</v>
      </c>
      <c r="H7" s="13" t="n">
        <v>151401</v>
      </c>
    </row>
    <row r="8" customFormat="false" ht="15" hidden="false" customHeight="false" outlineLevel="0" collapsed="false">
      <c r="A8" s="8"/>
      <c r="B8" s="14" t="n">
        <v>4</v>
      </c>
      <c r="C8" s="12" t="n">
        <v>9805</v>
      </c>
      <c r="D8" s="13" t="n">
        <v>150195</v>
      </c>
      <c r="E8" s="14" t="n">
        <v>1</v>
      </c>
      <c r="F8" s="15" t="n">
        <v>159999</v>
      </c>
      <c r="G8" s="14" t="n">
        <v>9807</v>
      </c>
      <c r="H8" s="13" t="n">
        <v>150193</v>
      </c>
    </row>
    <row r="9" customFormat="false" ht="15" hidden="false" customHeight="false" outlineLevel="0" collapsed="false">
      <c r="A9" s="8"/>
      <c r="B9" s="14" t="n">
        <v>5</v>
      </c>
      <c r="C9" s="12" t="n">
        <v>11000</v>
      </c>
      <c r="D9" s="13" t="n">
        <v>149000</v>
      </c>
      <c r="E9" s="14" t="n">
        <v>9</v>
      </c>
      <c r="F9" s="15" t="n">
        <v>159991</v>
      </c>
      <c r="G9" s="14" t="n">
        <v>11001</v>
      </c>
      <c r="H9" s="13" t="n">
        <v>148999</v>
      </c>
    </row>
    <row r="10" customFormat="false" ht="15" hidden="false" customHeight="false" outlineLevel="0" collapsed="false">
      <c r="A10" s="8"/>
      <c r="B10" s="14" t="n">
        <v>6</v>
      </c>
      <c r="C10" s="12" t="n">
        <v>12200</v>
      </c>
      <c r="D10" s="13" t="n">
        <v>147800</v>
      </c>
      <c r="E10" s="14" t="n">
        <v>13</v>
      </c>
      <c r="F10" s="15" t="n">
        <v>159987</v>
      </c>
      <c r="G10" s="14" t="n">
        <v>12202</v>
      </c>
      <c r="H10" s="13" t="n">
        <v>147798</v>
      </c>
    </row>
    <row r="11" customFormat="false" ht="15" hidden="false" customHeight="false" outlineLevel="0" collapsed="false">
      <c r="A11" s="8"/>
      <c r="B11" s="14" t="n">
        <v>7</v>
      </c>
      <c r="C11" s="12" t="n">
        <v>12999</v>
      </c>
      <c r="D11" s="13" t="n">
        <v>147001</v>
      </c>
      <c r="E11" s="14" t="n">
        <v>38</v>
      </c>
      <c r="F11" s="15" t="n">
        <v>159962</v>
      </c>
      <c r="G11" s="14" t="n">
        <v>13002</v>
      </c>
      <c r="H11" s="13" t="n">
        <v>146998</v>
      </c>
    </row>
    <row r="12" customFormat="false" ht="15" hidden="false" customHeight="false" outlineLevel="0" collapsed="false">
      <c r="A12" s="8"/>
      <c r="B12" s="14" t="n">
        <v>8</v>
      </c>
      <c r="C12" s="12" t="n">
        <v>13800</v>
      </c>
      <c r="D12" s="13" t="n">
        <v>146200</v>
      </c>
      <c r="E12" s="14" t="n">
        <v>43</v>
      </c>
      <c r="F12" s="15" t="n">
        <v>159957</v>
      </c>
      <c r="G12" s="14" t="n">
        <v>13801</v>
      </c>
      <c r="H12" s="13" t="n">
        <v>146199</v>
      </c>
    </row>
    <row r="13" customFormat="false" ht="15" hidden="false" customHeight="false" outlineLevel="0" collapsed="false">
      <c r="A13" s="8"/>
      <c r="B13" s="14" t="n">
        <v>9</v>
      </c>
      <c r="C13" s="12" t="n">
        <v>14600</v>
      </c>
      <c r="D13" s="13" t="n">
        <v>145400</v>
      </c>
      <c r="E13" s="14" t="n">
        <v>41</v>
      </c>
      <c r="F13" s="15" t="n">
        <v>159959</v>
      </c>
      <c r="G13" s="14" t="n">
        <v>14602</v>
      </c>
      <c r="H13" s="13" t="n">
        <v>145398</v>
      </c>
    </row>
    <row r="14" customFormat="false" ht="15" hidden="false" customHeight="false" outlineLevel="0" collapsed="false">
      <c r="A14" s="8"/>
      <c r="B14" s="14" t="n">
        <v>10</v>
      </c>
      <c r="C14" s="12" t="n">
        <v>15400</v>
      </c>
      <c r="D14" s="13" t="n">
        <v>144600</v>
      </c>
      <c r="E14" s="14" t="n">
        <v>3</v>
      </c>
      <c r="F14" s="15" t="n">
        <v>159997</v>
      </c>
      <c r="G14" s="14" t="n">
        <v>15402</v>
      </c>
      <c r="H14" s="13" t="n">
        <v>144598</v>
      </c>
    </row>
    <row r="15" customFormat="false" ht="15" hidden="false" customHeight="false" outlineLevel="0" collapsed="false">
      <c r="A15" s="8"/>
      <c r="B15" s="14" t="n">
        <v>11</v>
      </c>
      <c r="C15" s="12" t="n">
        <v>16200</v>
      </c>
      <c r="D15" s="13" t="n">
        <v>143800</v>
      </c>
      <c r="E15" s="14" t="n">
        <v>0</v>
      </c>
      <c r="F15" s="15" t="n">
        <v>160000</v>
      </c>
      <c r="G15" s="14" t="n">
        <v>16202</v>
      </c>
      <c r="H15" s="13" t="n">
        <v>143798</v>
      </c>
    </row>
    <row r="16" customFormat="false" ht="15" hidden="false" customHeight="false" outlineLevel="0" collapsed="false">
      <c r="A16" s="8"/>
      <c r="B16" s="14" t="n">
        <v>12</v>
      </c>
      <c r="C16" s="12" t="n">
        <v>16999</v>
      </c>
      <c r="D16" s="13" t="n">
        <v>143001</v>
      </c>
      <c r="E16" s="14" t="n">
        <v>7</v>
      </c>
      <c r="F16" s="15" t="n">
        <v>159993</v>
      </c>
      <c r="G16" s="14" t="n">
        <v>17001</v>
      </c>
      <c r="H16" s="13" t="n">
        <v>142999</v>
      </c>
    </row>
    <row r="17" customFormat="false" ht="15" hidden="false" customHeight="false" outlineLevel="0" collapsed="false">
      <c r="A17" s="8"/>
      <c r="B17" s="14" t="n">
        <v>13</v>
      </c>
      <c r="C17" s="12" t="n">
        <v>17401</v>
      </c>
      <c r="D17" s="13" t="n">
        <v>142599</v>
      </c>
      <c r="E17" s="14" t="n">
        <v>53</v>
      </c>
      <c r="F17" s="15" t="n">
        <v>159947</v>
      </c>
      <c r="G17" s="14" t="n">
        <v>17402</v>
      </c>
      <c r="H17" s="13" t="n">
        <v>142598</v>
      </c>
    </row>
    <row r="18" customFormat="false" ht="15" hidden="false" customHeight="false" outlineLevel="0" collapsed="false">
      <c r="A18" s="8"/>
      <c r="B18" s="14" t="n">
        <v>14</v>
      </c>
      <c r="C18" s="12" t="n">
        <v>18200</v>
      </c>
      <c r="D18" s="13" t="n">
        <v>141800</v>
      </c>
      <c r="E18" s="14" t="n">
        <v>12</v>
      </c>
      <c r="F18" s="15" t="n">
        <v>159988</v>
      </c>
      <c r="G18" s="14" t="n">
        <v>18201</v>
      </c>
      <c r="H18" s="13" t="n">
        <v>141799</v>
      </c>
    </row>
    <row r="19" customFormat="false" ht="15" hidden="false" customHeight="false" outlineLevel="0" collapsed="false">
      <c r="A19" s="8"/>
      <c r="B19" s="14" t="n">
        <v>15</v>
      </c>
      <c r="C19" s="12" t="n">
        <v>18600</v>
      </c>
      <c r="D19" s="13" t="n">
        <v>141400</v>
      </c>
      <c r="E19" s="14" t="n">
        <v>5</v>
      </c>
      <c r="F19" s="15" t="n">
        <v>159995</v>
      </c>
      <c r="G19" s="14" t="n">
        <v>18603</v>
      </c>
      <c r="H19" s="13" t="n">
        <v>141397</v>
      </c>
    </row>
    <row r="20" customFormat="false" ht="15" hidden="false" customHeight="false" outlineLevel="0" collapsed="false">
      <c r="A20" s="8"/>
      <c r="B20" s="14" t="n">
        <v>16</v>
      </c>
      <c r="C20" s="12" t="n">
        <v>19400</v>
      </c>
      <c r="D20" s="13" t="n">
        <v>140600</v>
      </c>
      <c r="E20" s="14" t="n">
        <v>8</v>
      </c>
      <c r="F20" s="15" t="n">
        <v>159992</v>
      </c>
      <c r="G20" s="14" t="n">
        <v>19403</v>
      </c>
      <c r="H20" s="13" t="n">
        <v>140597</v>
      </c>
    </row>
    <row r="21" customFormat="false" ht="15" hidden="false" customHeight="false" outlineLevel="0" collapsed="false">
      <c r="A21" s="8"/>
      <c r="B21" s="14" t="n">
        <v>17</v>
      </c>
      <c r="C21" s="12" t="n">
        <v>19800</v>
      </c>
      <c r="D21" s="13" t="n">
        <v>140200</v>
      </c>
      <c r="E21" s="14" t="n">
        <v>2</v>
      </c>
      <c r="F21" s="15" t="n">
        <v>159998</v>
      </c>
      <c r="G21" s="14" t="n">
        <v>19802</v>
      </c>
      <c r="H21" s="13" t="n">
        <v>140198</v>
      </c>
    </row>
    <row r="22" customFormat="false" ht="15" hidden="false" customHeight="false" outlineLevel="0" collapsed="false">
      <c r="A22" s="8"/>
      <c r="B22" s="14" t="n">
        <v>18</v>
      </c>
      <c r="C22" s="12" t="n">
        <v>20200</v>
      </c>
      <c r="D22" s="13" t="n">
        <v>139800</v>
      </c>
      <c r="E22" s="14" t="n">
        <v>91</v>
      </c>
      <c r="F22" s="15" t="n">
        <v>159909</v>
      </c>
      <c r="G22" s="14" t="n">
        <v>20202</v>
      </c>
      <c r="H22" s="13" t="n">
        <v>139798</v>
      </c>
    </row>
    <row r="23" customFormat="false" ht="15" hidden="false" customHeight="false" outlineLevel="0" collapsed="false">
      <c r="A23" s="8"/>
      <c r="B23" s="14" t="n">
        <v>19</v>
      </c>
      <c r="C23" s="12" t="n">
        <v>20600</v>
      </c>
      <c r="D23" s="13" t="n">
        <v>139400</v>
      </c>
      <c r="E23" s="14" t="n">
        <v>50</v>
      </c>
      <c r="F23" s="15" t="n">
        <v>159950</v>
      </c>
      <c r="G23" s="14" t="n">
        <v>20603</v>
      </c>
      <c r="H23" s="13" t="n">
        <v>139397</v>
      </c>
    </row>
    <row r="24" customFormat="false" ht="15" hidden="false" customHeight="false" outlineLevel="0" collapsed="false">
      <c r="A24" s="8"/>
      <c r="B24" s="14" t="n">
        <v>20</v>
      </c>
      <c r="C24" s="12" t="n">
        <v>21000</v>
      </c>
      <c r="D24" s="13" t="n">
        <v>139000</v>
      </c>
      <c r="E24" s="14" t="n">
        <v>29</v>
      </c>
      <c r="F24" s="15" t="n">
        <v>159971</v>
      </c>
      <c r="G24" s="14" t="n">
        <v>21002</v>
      </c>
      <c r="H24" s="13" t="n">
        <v>138998</v>
      </c>
    </row>
    <row r="25" customFormat="false" ht="15" hidden="false" customHeight="false" outlineLevel="0" collapsed="false">
      <c r="A25" s="8"/>
      <c r="B25" s="14" t="n">
        <v>21</v>
      </c>
      <c r="C25" s="12" t="n">
        <v>21799</v>
      </c>
      <c r="D25" s="13" t="n">
        <v>138201</v>
      </c>
      <c r="E25" s="14" t="n">
        <v>9</v>
      </c>
      <c r="F25" s="15" t="n">
        <v>159991</v>
      </c>
      <c r="G25" s="14" t="n">
        <v>21801</v>
      </c>
      <c r="H25" s="13" t="n">
        <v>138199</v>
      </c>
    </row>
    <row r="26" customFormat="false" ht="15" hidden="false" customHeight="false" outlineLevel="0" collapsed="false">
      <c r="A26" s="8"/>
      <c r="B26" s="14" t="n">
        <v>22</v>
      </c>
      <c r="C26" s="12" t="n">
        <v>22200</v>
      </c>
      <c r="D26" s="13" t="n">
        <v>137800</v>
      </c>
      <c r="E26" s="14" t="n">
        <v>9</v>
      </c>
      <c r="F26" s="15" t="n">
        <v>159991</v>
      </c>
      <c r="G26" s="14" t="n">
        <v>22202</v>
      </c>
      <c r="H26" s="13" t="n">
        <v>137798</v>
      </c>
    </row>
    <row r="27" customFormat="false" ht="15" hidden="false" customHeight="false" outlineLevel="0" collapsed="false">
      <c r="A27" s="8"/>
      <c r="B27" s="14" t="n">
        <v>23</v>
      </c>
      <c r="C27" s="12" t="n">
        <v>22600</v>
      </c>
      <c r="D27" s="13" t="n">
        <v>137400</v>
      </c>
      <c r="E27" s="14" t="n">
        <v>10</v>
      </c>
      <c r="F27" s="15" t="n">
        <v>159990</v>
      </c>
      <c r="G27" s="14" t="n">
        <v>22603</v>
      </c>
      <c r="H27" s="13" t="n">
        <v>137397</v>
      </c>
    </row>
    <row r="28" customFormat="false" ht="15" hidden="false" customHeight="false" outlineLevel="0" collapsed="false">
      <c r="A28" s="8"/>
      <c r="B28" s="14" t="n">
        <v>24</v>
      </c>
      <c r="C28" s="12" t="n">
        <v>23000</v>
      </c>
      <c r="D28" s="13" t="n">
        <v>137000</v>
      </c>
      <c r="E28" s="14" t="n">
        <v>125</v>
      </c>
      <c r="F28" s="15" t="n">
        <v>159875</v>
      </c>
      <c r="G28" s="14" t="n">
        <v>23001</v>
      </c>
      <c r="H28" s="13" t="n">
        <v>136999</v>
      </c>
    </row>
    <row r="29" customFormat="false" ht="15" hidden="false" customHeight="false" outlineLevel="0" collapsed="false">
      <c r="A29" s="8"/>
      <c r="B29" s="14" t="n">
        <v>25</v>
      </c>
      <c r="C29" s="12" t="n">
        <v>23400</v>
      </c>
      <c r="D29" s="13" t="n">
        <v>136600</v>
      </c>
      <c r="E29" s="14" t="n">
        <v>18</v>
      </c>
      <c r="F29" s="15" t="n">
        <v>159982</v>
      </c>
      <c r="G29" s="14" t="n">
        <v>23402</v>
      </c>
      <c r="H29" s="13" t="n">
        <v>136598</v>
      </c>
    </row>
    <row r="30" customFormat="false" ht="15" hidden="false" customHeight="false" outlineLevel="0" collapsed="false">
      <c r="A30" s="8"/>
      <c r="B30" s="14" t="n">
        <v>26</v>
      </c>
      <c r="C30" s="12" t="n">
        <v>23800</v>
      </c>
      <c r="D30" s="13" t="n">
        <v>136200</v>
      </c>
      <c r="E30" s="14" t="n">
        <v>112</v>
      </c>
      <c r="F30" s="15" t="n">
        <v>159888</v>
      </c>
      <c r="G30" s="14" t="n">
        <v>23802</v>
      </c>
      <c r="H30" s="13" t="n">
        <v>136198</v>
      </c>
    </row>
    <row r="31" customFormat="false" ht="15" hidden="false" customHeight="false" outlineLevel="0" collapsed="false">
      <c r="A31" s="8"/>
      <c r="B31" s="14" t="n">
        <v>27</v>
      </c>
      <c r="C31" s="12" t="n">
        <v>23800</v>
      </c>
      <c r="D31" s="13" t="n">
        <v>136200</v>
      </c>
      <c r="E31" s="14" t="n">
        <v>16</v>
      </c>
      <c r="F31" s="15" t="n">
        <v>159984</v>
      </c>
      <c r="G31" s="14" t="n">
        <v>23802</v>
      </c>
      <c r="H31" s="13" t="n">
        <v>136198</v>
      </c>
    </row>
    <row r="32" customFormat="false" ht="15" hidden="false" customHeight="false" outlineLevel="0" collapsed="false">
      <c r="A32" s="8"/>
      <c r="B32" s="14" t="n">
        <v>28</v>
      </c>
      <c r="C32" s="12" t="n">
        <v>24199</v>
      </c>
      <c r="D32" s="13" t="n">
        <v>135801</v>
      </c>
      <c r="E32" s="14" t="n">
        <v>91</v>
      </c>
      <c r="F32" s="15" t="n">
        <v>159909</v>
      </c>
      <c r="G32" s="14" t="n">
        <v>24201</v>
      </c>
      <c r="H32" s="13" t="n">
        <v>135799</v>
      </c>
    </row>
    <row r="33" customFormat="false" ht="15" hidden="false" customHeight="false" outlineLevel="0" collapsed="false">
      <c r="A33" s="8"/>
      <c r="B33" s="14" t="n">
        <v>29</v>
      </c>
      <c r="C33" s="12" t="n">
        <v>24600</v>
      </c>
      <c r="D33" s="13" t="n">
        <v>135400</v>
      </c>
      <c r="E33" s="14" t="n">
        <v>10</v>
      </c>
      <c r="F33" s="15" t="n">
        <v>159990</v>
      </c>
      <c r="G33" s="14" t="n">
        <v>24602</v>
      </c>
      <c r="H33" s="13" t="n">
        <v>135398</v>
      </c>
    </row>
    <row r="34" customFormat="false" ht="15" hidden="false" customHeight="false" outlineLevel="0" collapsed="false">
      <c r="A34" s="8"/>
      <c r="B34" s="14" t="n">
        <v>30</v>
      </c>
      <c r="C34" s="12" t="n">
        <v>25004</v>
      </c>
      <c r="D34" s="13" t="n">
        <v>134996</v>
      </c>
      <c r="E34" s="14" t="n">
        <v>8</v>
      </c>
      <c r="F34" s="15" t="n">
        <v>159992</v>
      </c>
      <c r="G34" s="14" t="n">
        <v>25005</v>
      </c>
      <c r="H34" s="13" t="n">
        <v>134995</v>
      </c>
    </row>
    <row r="35" customFormat="false" ht="15" hidden="false" customHeight="false" outlineLevel="0" collapsed="false">
      <c r="A35" s="8"/>
      <c r="B35" s="14" t="n">
        <v>31</v>
      </c>
      <c r="C35" s="12" t="n">
        <v>25400</v>
      </c>
      <c r="D35" s="13" t="n">
        <v>134600</v>
      </c>
      <c r="E35" s="14" t="n">
        <v>11</v>
      </c>
      <c r="F35" s="15" t="n">
        <v>159989</v>
      </c>
      <c r="G35" s="14" t="n">
        <v>25402</v>
      </c>
      <c r="H35" s="13" t="n">
        <v>134598</v>
      </c>
    </row>
    <row r="36" customFormat="false" ht="15" hidden="false" customHeight="false" outlineLevel="0" collapsed="false">
      <c r="A36" s="8"/>
      <c r="B36" s="14" t="n">
        <v>32</v>
      </c>
      <c r="C36" s="12" t="n">
        <v>25800</v>
      </c>
      <c r="D36" s="13" t="n">
        <v>134200</v>
      </c>
      <c r="E36" s="14" t="n">
        <v>20</v>
      </c>
      <c r="F36" s="15" t="n">
        <v>159980</v>
      </c>
      <c r="G36" s="14" t="n">
        <v>25802</v>
      </c>
      <c r="H36" s="13" t="n">
        <v>134198</v>
      </c>
    </row>
    <row r="37" customFormat="false" ht="15" hidden="false" customHeight="false" outlineLevel="0" collapsed="false">
      <c r="A37" s="8"/>
      <c r="B37" s="14" t="n">
        <v>33</v>
      </c>
      <c r="C37" s="12" t="n">
        <v>25800</v>
      </c>
      <c r="D37" s="13" t="n">
        <v>134200</v>
      </c>
      <c r="E37" s="14" t="n">
        <v>84</v>
      </c>
      <c r="F37" s="15" t="n">
        <v>159916</v>
      </c>
      <c r="G37" s="14" t="n">
        <v>25801</v>
      </c>
      <c r="H37" s="13" t="n">
        <v>134199</v>
      </c>
    </row>
    <row r="38" customFormat="false" ht="15" hidden="false" customHeight="false" outlineLevel="0" collapsed="false">
      <c r="A38" s="8"/>
      <c r="B38" s="14" t="n">
        <v>34</v>
      </c>
      <c r="C38" s="12" t="n">
        <v>26200</v>
      </c>
      <c r="D38" s="13" t="n">
        <v>133800</v>
      </c>
      <c r="E38" s="14" t="n">
        <v>17</v>
      </c>
      <c r="F38" s="15" t="n">
        <v>159983</v>
      </c>
      <c r="G38" s="14" t="n">
        <v>26201</v>
      </c>
      <c r="H38" s="13" t="n">
        <v>133799</v>
      </c>
    </row>
    <row r="39" customFormat="false" ht="15" hidden="false" customHeight="false" outlineLevel="0" collapsed="false">
      <c r="A39" s="8"/>
      <c r="B39" s="14" t="n">
        <v>35</v>
      </c>
      <c r="C39" s="12" t="n">
        <v>26600</v>
      </c>
      <c r="D39" s="13" t="n">
        <v>133400</v>
      </c>
      <c r="E39" s="14" t="n">
        <v>14</v>
      </c>
      <c r="F39" s="15" t="n">
        <v>159986</v>
      </c>
      <c r="G39" s="14" t="n">
        <v>26602</v>
      </c>
      <c r="H39" s="13" t="n">
        <v>133398</v>
      </c>
    </row>
    <row r="40" customFormat="false" ht="15" hidden="false" customHeight="false" outlineLevel="0" collapsed="false">
      <c r="A40" s="8"/>
      <c r="B40" s="14" t="n">
        <v>36</v>
      </c>
      <c r="C40" s="12" t="n">
        <v>26600</v>
      </c>
      <c r="D40" s="13" t="n">
        <v>133400</v>
      </c>
      <c r="E40" s="14" t="n">
        <v>1706</v>
      </c>
      <c r="F40" s="15" t="n">
        <v>158294</v>
      </c>
      <c r="G40" s="14" t="n">
        <v>26602</v>
      </c>
      <c r="H40" s="13" t="n">
        <v>133398</v>
      </c>
    </row>
    <row r="41" customFormat="false" ht="15" hidden="false" customHeight="false" outlineLevel="0" collapsed="false">
      <c r="A41" s="8"/>
      <c r="B41" s="14" t="n">
        <v>37</v>
      </c>
      <c r="C41" s="12" t="n">
        <v>27003</v>
      </c>
      <c r="D41" s="13" t="n">
        <v>132997</v>
      </c>
      <c r="E41" s="14" t="n">
        <v>7</v>
      </c>
      <c r="F41" s="15" t="n">
        <v>159993</v>
      </c>
      <c r="G41" s="14" t="n">
        <v>27003</v>
      </c>
      <c r="H41" s="13" t="n">
        <v>132997</v>
      </c>
    </row>
    <row r="42" customFormat="false" ht="15" hidden="false" customHeight="false" outlineLevel="0" collapsed="false">
      <c r="A42" s="8"/>
      <c r="B42" s="14" t="n">
        <v>38</v>
      </c>
      <c r="C42" s="12" t="n">
        <v>27399</v>
      </c>
      <c r="D42" s="13" t="n">
        <v>132601</v>
      </c>
      <c r="E42" s="14" t="n">
        <v>53</v>
      </c>
      <c r="F42" s="15" t="n">
        <v>159947</v>
      </c>
      <c r="G42" s="14" t="n">
        <v>27401</v>
      </c>
      <c r="H42" s="13" t="n">
        <v>132599</v>
      </c>
    </row>
    <row r="43" customFormat="false" ht="15" hidden="false" customHeight="false" outlineLevel="0" collapsed="false">
      <c r="A43" s="8"/>
      <c r="B43" s="14" t="n">
        <v>39</v>
      </c>
      <c r="C43" s="12" t="n">
        <v>27400</v>
      </c>
      <c r="D43" s="13" t="n">
        <v>132600</v>
      </c>
      <c r="E43" s="14" t="n">
        <v>796</v>
      </c>
      <c r="F43" s="15" t="n">
        <v>159204</v>
      </c>
      <c r="G43" s="14" t="n">
        <v>27401</v>
      </c>
      <c r="H43" s="13" t="n">
        <v>132599</v>
      </c>
    </row>
    <row r="44" customFormat="false" ht="15" hidden="false" customHeight="false" outlineLevel="0" collapsed="false">
      <c r="A44" s="8"/>
      <c r="B44" s="14" t="n">
        <v>40</v>
      </c>
      <c r="C44" s="12" t="n">
        <v>27800</v>
      </c>
      <c r="D44" s="13" t="n">
        <v>132200</v>
      </c>
      <c r="E44" s="14" t="n">
        <v>7</v>
      </c>
      <c r="F44" s="15" t="n">
        <v>159993</v>
      </c>
      <c r="G44" s="14" t="n">
        <v>27800</v>
      </c>
      <c r="H44" s="13" t="n">
        <v>132200</v>
      </c>
    </row>
    <row r="45" customFormat="false" ht="15" hidden="false" customHeight="false" outlineLevel="0" collapsed="false">
      <c r="A45" s="8"/>
      <c r="B45" s="14" t="n">
        <v>41</v>
      </c>
      <c r="C45" s="12" t="n">
        <v>27800</v>
      </c>
      <c r="D45" s="13" t="n">
        <v>132200</v>
      </c>
      <c r="E45" s="14" t="n">
        <v>21</v>
      </c>
      <c r="F45" s="15" t="n">
        <v>159979</v>
      </c>
      <c r="G45" s="14" t="n">
        <v>27800</v>
      </c>
      <c r="H45" s="13" t="n">
        <v>132200</v>
      </c>
    </row>
    <row r="46" customFormat="false" ht="15" hidden="false" customHeight="false" outlineLevel="0" collapsed="false">
      <c r="A46" s="8"/>
      <c r="B46" s="14" t="n">
        <v>42</v>
      </c>
      <c r="C46" s="12" t="n">
        <v>28200</v>
      </c>
      <c r="D46" s="13" t="n">
        <v>131800</v>
      </c>
      <c r="E46" s="14" t="n">
        <v>95</v>
      </c>
      <c r="F46" s="15" t="n">
        <v>159905</v>
      </c>
      <c r="G46" s="14" t="n">
        <v>28201</v>
      </c>
      <c r="H46" s="13" t="n">
        <v>131799</v>
      </c>
    </row>
    <row r="47" customFormat="false" ht="15" hidden="false" customHeight="false" outlineLevel="0" collapsed="false">
      <c r="A47" s="8"/>
      <c r="B47" s="14" t="n">
        <v>43</v>
      </c>
      <c r="C47" s="12" t="n">
        <v>28200</v>
      </c>
      <c r="D47" s="13" t="n">
        <v>131800</v>
      </c>
      <c r="E47" s="14" t="n">
        <v>191</v>
      </c>
      <c r="F47" s="15" t="n">
        <v>159809</v>
      </c>
      <c r="G47" s="14" t="n">
        <v>28200</v>
      </c>
      <c r="H47" s="13" t="n">
        <v>131800</v>
      </c>
    </row>
    <row r="48" customFormat="false" ht="15" hidden="false" customHeight="false" outlineLevel="0" collapsed="false">
      <c r="A48" s="8"/>
      <c r="B48" s="14" t="n">
        <v>44</v>
      </c>
      <c r="C48" s="12" t="n">
        <v>28600</v>
      </c>
      <c r="D48" s="13" t="n">
        <v>131400</v>
      </c>
      <c r="E48" s="14" t="n">
        <v>183</v>
      </c>
      <c r="F48" s="15" t="n">
        <v>159817</v>
      </c>
      <c r="G48" s="14" t="n">
        <v>28601</v>
      </c>
      <c r="H48" s="13" t="n">
        <v>131399</v>
      </c>
    </row>
    <row r="49" customFormat="false" ht="15" hidden="false" customHeight="false" outlineLevel="0" collapsed="false">
      <c r="A49" s="8"/>
      <c r="B49" s="14" t="n">
        <v>45</v>
      </c>
      <c r="C49" s="12" t="n">
        <v>28599</v>
      </c>
      <c r="D49" s="13" t="n">
        <v>131401</v>
      </c>
      <c r="E49" s="14" t="n">
        <v>13</v>
      </c>
      <c r="F49" s="15" t="n">
        <v>159987</v>
      </c>
      <c r="G49" s="14" t="n">
        <v>28599</v>
      </c>
      <c r="H49" s="13" t="n">
        <v>131401</v>
      </c>
    </row>
    <row r="50" customFormat="false" ht="15" hidden="false" customHeight="false" outlineLevel="0" collapsed="false">
      <c r="A50" s="8"/>
      <c r="B50" s="14" t="n">
        <v>46</v>
      </c>
      <c r="C50" s="12" t="n">
        <v>29000</v>
      </c>
      <c r="D50" s="13" t="n">
        <v>131000</v>
      </c>
      <c r="E50" s="14" t="n">
        <v>636</v>
      </c>
      <c r="F50" s="15" t="n">
        <v>159364</v>
      </c>
      <c r="G50" s="14" t="n">
        <v>29001</v>
      </c>
      <c r="H50" s="13" t="n">
        <v>130999</v>
      </c>
    </row>
    <row r="51" customFormat="false" ht="15" hidden="false" customHeight="false" outlineLevel="0" collapsed="false">
      <c r="A51" s="8"/>
      <c r="B51" s="14" t="n">
        <v>47</v>
      </c>
      <c r="C51" s="12" t="n">
        <v>29000</v>
      </c>
      <c r="D51" s="13" t="n">
        <v>131000</v>
      </c>
      <c r="E51" s="14" t="n">
        <v>214</v>
      </c>
      <c r="F51" s="15" t="n">
        <v>159786</v>
      </c>
      <c r="G51" s="14" t="n">
        <v>29001</v>
      </c>
      <c r="H51" s="13" t="n">
        <v>130999</v>
      </c>
    </row>
    <row r="52" customFormat="false" ht="15" hidden="false" customHeight="false" outlineLevel="0" collapsed="false">
      <c r="A52" s="8"/>
      <c r="B52" s="14" t="n">
        <v>48</v>
      </c>
      <c r="C52" s="12" t="n">
        <v>29400</v>
      </c>
      <c r="D52" s="13" t="n">
        <v>130600</v>
      </c>
      <c r="E52" s="14" t="n">
        <v>227</v>
      </c>
      <c r="F52" s="15" t="n">
        <v>159773</v>
      </c>
      <c r="G52" s="14" t="n">
        <v>29401</v>
      </c>
      <c r="H52" s="13" t="n">
        <v>130599</v>
      </c>
    </row>
    <row r="53" customFormat="false" ht="15" hidden="false" customHeight="false" outlineLevel="0" collapsed="false">
      <c r="A53" s="8"/>
      <c r="B53" s="14" t="n">
        <v>49</v>
      </c>
      <c r="C53" s="12" t="n">
        <v>29400</v>
      </c>
      <c r="D53" s="13" t="n">
        <v>130600</v>
      </c>
      <c r="E53" s="14" t="n">
        <v>110</v>
      </c>
      <c r="F53" s="15" t="n">
        <v>159890</v>
      </c>
      <c r="G53" s="14" t="n">
        <v>29400</v>
      </c>
      <c r="H53" s="13" t="n">
        <v>130600</v>
      </c>
    </row>
    <row r="54" customFormat="false" ht="15" hidden="false" customHeight="false" outlineLevel="0" collapsed="false">
      <c r="A54" s="8"/>
      <c r="B54" s="14" t="n">
        <v>50</v>
      </c>
      <c r="C54" s="12" t="n">
        <v>29800</v>
      </c>
      <c r="D54" s="13" t="n">
        <v>130200</v>
      </c>
      <c r="E54" s="14" t="n">
        <v>45</v>
      </c>
      <c r="F54" s="15" t="n">
        <v>159955</v>
      </c>
      <c r="G54" s="14" t="n">
        <v>29801</v>
      </c>
      <c r="H54" s="13" t="n">
        <v>130199</v>
      </c>
    </row>
    <row r="55" customFormat="false" ht="15" hidden="false" customHeight="false" outlineLevel="0" collapsed="false">
      <c r="A55" s="8"/>
      <c r="B55" s="14" t="n">
        <v>51</v>
      </c>
      <c r="C55" s="12" t="n">
        <v>29800</v>
      </c>
      <c r="D55" s="13" t="n">
        <v>130200</v>
      </c>
      <c r="E55" s="14" t="n">
        <v>460</v>
      </c>
      <c r="F55" s="15" t="n">
        <v>159540</v>
      </c>
      <c r="G55" s="14" t="n">
        <v>29800</v>
      </c>
      <c r="H55" s="13" t="n">
        <v>130200</v>
      </c>
    </row>
    <row r="56" customFormat="false" ht="15" hidden="false" customHeight="false" outlineLevel="0" collapsed="false">
      <c r="A56" s="8"/>
      <c r="B56" s="14" t="n">
        <v>52</v>
      </c>
      <c r="C56" s="12" t="n">
        <v>29799</v>
      </c>
      <c r="D56" s="13" t="n">
        <v>130201</v>
      </c>
      <c r="E56" s="14" t="n">
        <v>27</v>
      </c>
      <c r="F56" s="15" t="n">
        <v>159973</v>
      </c>
      <c r="G56" s="14" t="n">
        <v>29799</v>
      </c>
      <c r="H56" s="13" t="n">
        <v>130201</v>
      </c>
    </row>
    <row r="57" customFormat="false" ht="15" hidden="false" customHeight="false" outlineLevel="0" collapsed="false">
      <c r="A57" s="8"/>
      <c r="B57" s="14" t="n">
        <v>53</v>
      </c>
      <c r="C57" s="12" t="n">
        <v>30200</v>
      </c>
      <c r="D57" s="13" t="n">
        <v>129800</v>
      </c>
      <c r="E57" s="14" t="n">
        <v>54</v>
      </c>
      <c r="F57" s="15" t="n">
        <v>159946</v>
      </c>
      <c r="G57" s="14" t="n">
        <v>30200</v>
      </c>
      <c r="H57" s="13" t="n">
        <v>129800</v>
      </c>
    </row>
    <row r="58" customFormat="false" ht="15" hidden="false" customHeight="false" outlineLevel="0" collapsed="false">
      <c r="A58" s="8"/>
      <c r="B58" s="14" t="n">
        <v>54</v>
      </c>
      <c r="C58" s="12" t="n">
        <v>30207</v>
      </c>
      <c r="D58" s="13" t="n">
        <v>129793</v>
      </c>
      <c r="E58" s="14" t="n">
        <v>2732</v>
      </c>
      <c r="F58" s="15" t="n">
        <v>157268</v>
      </c>
      <c r="G58" s="14" t="n">
        <v>30210</v>
      </c>
      <c r="H58" s="13" t="n">
        <v>129790</v>
      </c>
    </row>
    <row r="59" customFormat="false" ht="15" hidden="false" customHeight="false" outlineLevel="0" collapsed="false">
      <c r="A59" s="8"/>
      <c r="B59" s="14" t="n">
        <v>55</v>
      </c>
      <c r="C59" s="12" t="n">
        <v>30200</v>
      </c>
      <c r="D59" s="13" t="n">
        <v>129800</v>
      </c>
      <c r="E59" s="14" t="n">
        <v>89</v>
      </c>
      <c r="F59" s="15" t="n">
        <v>159911</v>
      </c>
      <c r="G59" s="14" t="n">
        <v>30200</v>
      </c>
      <c r="H59" s="13" t="n">
        <v>129800</v>
      </c>
    </row>
    <row r="60" customFormat="false" ht="15" hidden="false" customHeight="false" outlineLevel="0" collapsed="false">
      <c r="A60" s="8"/>
      <c r="B60" s="14" t="n">
        <v>56</v>
      </c>
      <c r="C60" s="12" t="n">
        <v>30600</v>
      </c>
      <c r="D60" s="13" t="n">
        <v>129400</v>
      </c>
      <c r="E60" s="14" t="n">
        <v>364</v>
      </c>
      <c r="F60" s="15" t="n">
        <v>159636</v>
      </c>
      <c r="G60" s="14" t="n">
        <v>30600</v>
      </c>
      <c r="H60" s="13" t="n">
        <v>129400</v>
      </c>
    </row>
    <row r="61" customFormat="false" ht="15" hidden="false" customHeight="false" outlineLevel="0" collapsed="false">
      <c r="A61" s="8"/>
      <c r="B61" s="14" t="n">
        <v>57</v>
      </c>
      <c r="C61" s="12" t="n">
        <v>30599</v>
      </c>
      <c r="D61" s="13" t="n">
        <v>129401</v>
      </c>
      <c r="E61" s="14" t="n">
        <v>1822</v>
      </c>
      <c r="F61" s="15" t="n">
        <v>158178</v>
      </c>
      <c r="G61" s="14" t="n">
        <v>30599</v>
      </c>
      <c r="H61" s="13" t="n">
        <v>129401</v>
      </c>
    </row>
    <row r="62" customFormat="false" ht="15" hidden="false" customHeight="false" outlineLevel="0" collapsed="false">
      <c r="A62" s="8"/>
      <c r="B62" s="14" t="n">
        <v>58</v>
      </c>
      <c r="C62" s="12" t="n">
        <v>30600</v>
      </c>
      <c r="D62" s="13" t="n">
        <v>129400</v>
      </c>
      <c r="E62" s="14" t="n">
        <v>126</v>
      </c>
      <c r="F62" s="15" t="n">
        <v>159874</v>
      </c>
      <c r="G62" s="14" t="n">
        <v>30600</v>
      </c>
      <c r="H62" s="13" t="n">
        <v>129400</v>
      </c>
    </row>
    <row r="63" customFormat="false" ht="15" hidden="false" customHeight="false" outlineLevel="0" collapsed="false">
      <c r="A63" s="8"/>
      <c r="B63" s="14" t="n">
        <v>59</v>
      </c>
      <c r="C63" s="12" t="n">
        <v>31000</v>
      </c>
      <c r="D63" s="13" t="n">
        <v>129000</v>
      </c>
      <c r="E63" s="14" t="n">
        <v>2548</v>
      </c>
      <c r="F63" s="15" t="n">
        <v>157452</v>
      </c>
      <c r="G63" s="14" t="n">
        <v>31000</v>
      </c>
      <c r="H63" s="13" t="n">
        <v>129000</v>
      </c>
    </row>
    <row r="64" customFormat="false" ht="15" hidden="false" customHeight="false" outlineLevel="0" collapsed="false">
      <c r="A64" s="8"/>
      <c r="B64" s="14" t="n">
        <v>60</v>
      </c>
      <c r="C64" s="12" t="n">
        <v>31000</v>
      </c>
      <c r="D64" s="13" t="n">
        <v>129000</v>
      </c>
      <c r="E64" s="14" t="n">
        <v>1371</v>
      </c>
      <c r="F64" s="15" t="n">
        <v>158629</v>
      </c>
      <c r="G64" s="14" t="n">
        <v>31000</v>
      </c>
      <c r="H64" s="13" t="n">
        <v>129000</v>
      </c>
    </row>
    <row r="65" customFormat="false" ht="15" hidden="false" customHeight="false" outlineLevel="0" collapsed="false">
      <c r="A65" s="8"/>
      <c r="B65" s="14" t="n">
        <v>61</v>
      </c>
      <c r="C65" s="12" t="n">
        <v>31000</v>
      </c>
      <c r="D65" s="13" t="n">
        <v>129000</v>
      </c>
      <c r="E65" s="14" t="n">
        <v>91</v>
      </c>
      <c r="F65" s="15" t="n">
        <v>159909</v>
      </c>
      <c r="G65" s="14" t="n">
        <v>31000</v>
      </c>
      <c r="H65" s="13" t="n">
        <v>129000</v>
      </c>
    </row>
    <row r="66" customFormat="false" ht="15" hidden="false" customHeight="false" outlineLevel="0" collapsed="false">
      <c r="A66" s="8"/>
      <c r="B66" s="14" t="n">
        <v>62</v>
      </c>
      <c r="C66" s="12" t="n">
        <v>31004</v>
      </c>
      <c r="D66" s="13" t="n">
        <v>128996</v>
      </c>
      <c r="E66" s="14" t="n">
        <v>6</v>
      </c>
      <c r="F66" s="15" t="n">
        <v>159994</v>
      </c>
      <c r="G66" s="14" t="n">
        <v>31006</v>
      </c>
      <c r="H66" s="13" t="n">
        <v>128994</v>
      </c>
    </row>
    <row r="67" customFormat="false" ht="15" hidden="false" customHeight="false" outlineLevel="0" collapsed="false">
      <c r="A67" s="8"/>
      <c r="B67" s="14" t="n">
        <v>63</v>
      </c>
      <c r="C67" s="12" t="n">
        <v>31400</v>
      </c>
      <c r="D67" s="13" t="n">
        <v>128600</v>
      </c>
      <c r="E67" s="14" t="n">
        <v>29</v>
      </c>
      <c r="F67" s="15" t="n">
        <v>159971</v>
      </c>
      <c r="G67" s="14" t="n">
        <v>31400</v>
      </c>
      <c r="H67" s="13" t="n">
        <v>128600</v>
      </c>
    </row>
    <row r="68" customFormat="false" ht="15" hidden="false" customHeight="false" outlineLevel="0" collapsed="false">
      <c r="A68" s="8"/>
      <c r="B68" s="14" t="n">
        <v>64</v>
      </c>
      <c r="C68" s="12" t="n">
        <v>31399</v>
      </c>
      <c r="D68" s="13" t="n">
        <v>128601</v>
      </c>
      <c r="E68" s="14" t="n">
        <v>27</v>
      </c>
      <c r="F68" s="15" t="n">
        <v>159973</v>
      </c>
      <c r="G68" s="14" t="n">
        <v>31399</v>
      </c>
      <c r="H68" s="13" t="n">
        <v>128601</v>
      </c>
    </row>
    <row r="69" customFormat="false" ht="15" hidden="false" customHeight="false" outlineLevel="0" collapsed="false">
      <c r="A69" s="8"/>
      <c r="B69" s="14" t="n">
        <v>65</v>
      </c>
      <c r="C69" s="12" t="n">
        <v>31399</v>
      </c>
      <c r="D69" s="13" t="n">
        <v>128601</v>
      </c>
      <c r="E69" s="14" t="n">
        <v>47</v>
      </c>
      <c r="F69" s="15" t="n">
        <v>159953</v>
      </c>
      <c r="G69" s="14" t="n">
        <v>31399</v>
      </c>
      <c r="H69" s="13" t="n">
        <v>128601</v>
      </c>
    </row>
    <row r="70" customFormat="false" ht="15" hidden="false" customHeight="false" outlineLevel="0" collapsed="false">
      <c r="A70" s="8"/>
      <c r="B70" s="14" t="n">
        <v>66</v>
      </c>
      <c r="C70" s="12" t="n">
        <v>31400</v>
      </c>
      <c r="D70" s="13" t="n">
        <v>128600</v>
      </c>
      <c r="E70" s="14" t="n">
        <v>93</v>
      </c>
      <c r="F70" s="15" t="n">
        <v>159907</v>
      </c>
      <c r="G70" s="14" t="n">
        <v>31400</v>
      </c>
      <c r="H70" s="13" t="n">
        <v>128600</v>
      </c>
    </row>
    <row r="71" customFormat="false" ht="15" hidden="false" customHeight="false" outlineLevel="0" collapsed="false">
      <c r="A71" s="8"/>
      <c r="B71" s="14" t="n">
        <v>67</v>
      </c>
      <c r="C71" s="12" t="n">
        <v>31407</v>
      </c>
      <c r="D71" s="13" t="n">
        <v>128593</v>
      </c>
      <c r="E71" s="14" t="n">
        <v>326</v>
      </c>
      <c r="F71" s="15" t="n">
        <v>159674</v>
      </c>
      <c r="G71" s="14" t="n">
        <v>31410</v>
      </c>
      <c r="H71" s="13" t="n">
        <v>128590</v>
      </c>
    </row>
    <row r="72" customFormat="false" ht="15" hidden="false" customHeight="false" outlineLevel="0" collapsed="false">
      <c r="A72" s="8"/>
      <c r="B72" s="14" t="n">
        <v>68</v>
      </c>
      <c r="C72" s="12" t="n">
        <v>31800</v>
      </c>
      <c r="D72" s="13" t="n">
        <v>128200</v>
      </c>
      <c r="E72" s="14" t="n">
        <v>590</v>
      </c>
      <c r="F72" s="15" t="n">
        <v>159410</v>
      </c>
      <c r="G72" s="14" t="n">
        <v>31800</v>
      </c>
      <c r="H72" s="13" t="n">
        <v>128200</v>
      </c>
    </row>
    <row r="73" customFormat="false" ht="15" hidden="false" customHeight="false" outlineLevel="0" collapsed="false">
      <c r="A73" s="8"/>
      <c r="B73" s="14" t="n">
        <v>69</v>
      </c>
      <c r="C73" s="12" t="n">
        <v>31799</v>
      </c>
      <c r="D73" s="13" t="n">
        <v>128201</v>
      </c>
      <c r="E73" s="14" t="n">
        <v>723</v>
      </c>
      <c r="F73" s="15" t="n">
        <v>159277</v>
      </c>
      <c r="G73" s="14" t="n">
        <v>31799</v>
      </c>
      <c r="H73" s="13" t="n">
        <v>128201</v>
      </c>
    </row>
    <row r="74" customFormat="false" ht="15" hidden="false" customHeight="false" outlineLevel="0" collapsed="false">
      <c r="A74" s="8"/>
      <c r="B74" s="14" t="n">
        <v>70</v>
      </c>
      <c r="C74" s="12" t="n">
        <v>31800</v>
      </c>
      <c r="D74" s="13" t="n">
        <v>128200</v>
      </c>
      <c r="E74" s="14" t="n">
        <v>346</v>
      </c>
      <c r="F74" s="15" t="n">
        <v>159654</v>
      </c>
      <c r="G74" s="14" t="n">
        <v>31800</v>
      </c>
      <c r="H74" s="13" t="n">
        <v>128200</v>
      </c>
    </row>
    <row r="75" customFormat="false" ht="15" hidden="false" customHeight="false" outlineLevel="0" collapsed="false">
      <c r="A75" s="8"/>
      <c r="B75" s="14" t="n">
        <v>71</v>
      </c>
      <c r="C75" s="12" t="n">
        <v>31800</v>
      </c>
      <c r="D75" s="13" t="n">
        <v>128200</v>
      </c>
      <c r="E75" s="14" t="n">
        <v>866</v>
      </c>
      <c r="F75" s="15" t="n">
        <v>159134</v>
      </c>
      <c r="G75" s="14" t="n">
        <v>31800</v>
      </c>
      <c r="H75" s="13" t="n">
        <v>128200</v>
      </c>
    </row>
    <row r="76" customFormat="false" ht="15" hidden="false" customHeight="false" outlineLevel="0" collapsed="false">
      <c r="A76" s="8"/>
      <c r="B76" s="14" t="n">
        <v>72</v>
      </c>
      <c r="C76" s="12" t="n">
        <v>31800</v>
      </c>
      <c r="D76" s="13" t="n">
        <v>128200</v>
      </c>
      <c r="E76" s="14" t="n">
        <v>227</v>
      </c>
      <c r="F76" s="15" t="n">
        <v>159773</v>
      </c>
      <c r="G76" s="14" t="n">
        <v>31800</v>
      </c>
      <c r="H76" s="13" t="n">
        <v>128200</v>
      </c>
    </row>
    <row r="77" customFormat="false" ht="15" hidden="false" customHeight="false" outlineLevel="0" collapsed="false">
      <c r="A77" s="8"/>
      <c r="B77" s="14" t="n">
        <v>73</v>
      </c>
      <c r="C77" s="12" t="n">
        <v>31800</v>
      </c>
      <c r="D77" s="13" t="n">
        <v>128200</v>
      </c>
      <c r="E77" s="14" t="n">
        <v>35</v>
      </c>
      <c r="F77" s="15" t="n">
        <v>159965</v>
      </c>
      <c r="G77" s="14" t="n">
        <v>31800</v>
      </c>
      <c r="H77" s="13" t="n">
        <v>128200</v>
      </c>
    </row>
    <row r="78" customFormat="false" ht="15" hidden="false" customHeight="false" outlineLevel="0" collapsed="false">
      <c r="A78" s="8"/>
      <c r="B78" s="14" t="n">
        <v>74</v>
      </c>
      <c r="C78" s="12" t="n">
        <v>31800</v>
      </c>
      <c r="D78" s="13" t="n">
        <v>128200</v>
      </c>
      <c r="E78" s="14" t="n">
        <v>0</v>
      </c>
      <c r="F78" s="15" t="n">
        <v>160000</v>
      </c>
      <c r="G78" s="14" t="n">
        <v>31800</v>
      </c>
      <c r="H78" s="13" t="n">
        <v>128200</v>
      </c>
    </row>
    <row r="79" customFormat="false" ht="15" hidden="false" customHeight="false" outlineLevel="0" collapsed="false">
      <c r="A79" s="8"/>
      <c r="B79" s="14" t="n">
        <v>75</v>
      </c>
      <c r="C79" s="12" t="n">
        <v>31804</v>
      </c>
      <c r="D79" s="13" t="n">
        <v>128196</v>
      </c>
      <c r="E79" s="14" t="n">
        <v>1</v>
      </c>
      <c r="F79" s="15" t="n">
        <v>159999</v>
      </c>
      <c r="G79" s="14" t="n">
        <v>31810</v>
      </c>
      <c r="H79" s="13" t="n">
        <v>128190</v>
      </c>
    </row>
    <row r="80" customFormat="false" ht="15" hidden="false" customHeight="false" outlineLevel="0" collapsed="false">
      <c r="A80" s="8"/>
      <c r="B80" s="14" t="n">
        <v>76</v>
      </c>
      <c r="C80" s="12" t="n">
        <v>31800</v>
      </c>
      <c r="D80" s="13" t="n">
        <v>128200</v>
      </c>
      <c r="E80" s="14" t="n">
        <v>539</v>
      </c>
      <c r="F80" s="15" t="n">
        <v>159461</v>
      </c>
      <c r="G80" s="14" t="n">
        <v>31800</v>
      </c>
      <c r="H80" s="13" t="n">
        <v>128200</v>
      </c>
    </row>
    <row r="81" customFormat="false" ht="15" hidden="false" customHeight="false" outlineLevel="0" collapsed="false">
      <c r="A81" s="8"/>
      <c r="B81" s="14" t="n">
        <v>77</v>
      </c>
      <c r="C81" s="12" t="n">
        <v>31800</v>
      </c>
      <c r="D81" s="13" t="n">
        <v>128200</v>
      </c>
      <c r="E81" s="14" t="n">
        <v>369</v>
      </c>
      <c r="F81" s="15" t="n">
        <v>159631</v>
      </c>
      <c r="G81" s="14" t="n">
        <v>31800</v>
      </c>
      <c r="H81" s="13" t="n">
        <v>128200</v>
      </c>
    </row>
    <row r="82" customFormat="false" ht="15" hidden="false" customHeight="false" outlineLevel="0" collapsed="false">
      <c r="A82" s="8"/>
      <c r="B82" s="14" t="n">
        <v>78</v>
      </c>
      <c r="C82" s="12" t="n">
        <v>31800</v>
      </c>
      <c r="D82" s="13" t="n">
        <v>128200</v>
      </c>
      <c r="E82" s="14" t="n">
        <v>0</v>
      </c>
      <c r="F82" s="15" t="n">
        <v>160000</v>
      </c>
      <c r="G82" s="14" t="n">
        <v>31800</v>
      </c>
      <c r="H82" s="13" t="n">
        <v>128200</v>
      </c>
    </row>
    <row r="83" customFormat="false" ht="15" hidden="false" customHeight="false" outlineLevel="0" collapsed="false">
      <c r="A83" s="8"/>
      <c r="B83" s="14" t="n">
        <v>79</v>
      </c>
      <c r="C83" s="12" t="n">
        <v>31800</v>
      </c>
      <c r="D83" s="13" t="n">
        <v>128200</v>
      </c>
      <c r="E83" s="14" t="n">
        <v>3013</v>
      </c>
      <c r="F83" s="15" t="n">
        <v>156987</v>
      </c>
      <c r="G83" s="14" t="n">
        <v>31800</v>
      </c>
      <c r="H83" s="13" t="n">
        <v>128200</v>
      </c>
    </row>
    <row r="84" customFormat="false" ht="15" hidden="false" customHeight="false" outlineLevel="0" collapsed="false">
      <c r="A84" s="8"/>
      <c r="B84" s="14" t="n">
        <v>80</v>
      </c>
      <c r="C84" s="12" t="n">
        <v>32203</v>
      </c>
      <c r="D84" s="13" t="n">
        <v>127797</v>
      </c>
      <c r="E84" s="14" t="n">
        <v>119</v>
      </c>
      <c r="F84" s="15" t="n">
        <v>159881</v>
      </c>
      <c r="G84" s="14" t="n">
        <v>32198</v>
      </c>
      <c r="H84" s="13" t="n">
        <v>127802</v>
      </c>
    </row>
    <row r="85" customFormat="false" ht="15" hidden="false" customHeight="false" outlineLevel="0" collapsed="false">
      <c r="A85" s="8"/>
      <c r="B85" s="14" t="n">
        <v>81</v>
      </c>
      <c r="C85" s="12" t="n">
        <v>31799</v>
      </c>
      <c r="D85" s="13" t="n">
        <v>128201</v>
      </c>
      <c r="E85" s="14" t="n">
        <v>1763</v>
      </c>
      <c r="F85" s="15" t="n">
        <v>158237</v>
      </c>
      <c r="G85" s="14" t="n">
        <v>31799</v>
      </c>
      <c r="H85" s="13" t="n">
        <v>128201</v>
      </c>
    </row>
    <row r="86" customFormat="false" ht="15" hidden="false" customHeight="false" outlineLevel="0" collapsed="false">
      <c r="A86" s="8"/>
      <c r="B86" s="14" t="n">
        <v>82</v>
      </c>
      <c r="C86" s="12" t="n">
        <v>31800</v>
      </c>
      <c r="D86" s="13" t="n">
        <v>128200</v>
      </c>
      <c r="E86" s="14" t="n">
        <v>1495</v>
      </c>
      <c r="F86" s="15" t="n">
        <v>158505</v>
      </c>
      <c r="G86" s="14" t="n">
        <v>31800</v>
      </c>
      <c r="H86" s="13" t="n">
        <v>128200</v>
      </c>
    </row>
    <row r="87" customFormat="false" ht="15" hidden="false" customHeight="false" outlineLevel="0" collapsed="false">
      <c r="A87" s="8"/>
      <c r="B87" s="14" t="n">
        <v>83</v>
      </c>
      <c r="C87" s="12" t="n">
        <v>31800</v>
      </c>
      <c r="D87" s="13" t="n">
        <v>128200</v>
      </c>
      <c r="E87" s="14" t="n">
        <v>776</v>
      </c>
      <c r="F87" s="15" t="n">
        <v>159224</v>
      </c>
      <c r="G87" s="14" t="n">
        <v>31800</v>
      </c>
      <c r="H87" s="13" t="n">
        <v>128200</v>
      </c>
    </row>
    <row r="88" customFormat="false" ht="15" hidden="false" customHeight="false" outlineLevel="0" collapsed="false">
      <c r="A88" s="8"/>
      <c r="B88" s="14" t="n">
        <v>84</v>
      </c>
      <c r="C88" s="12" t="n">
        <v>31800</v>
      </c>
      <c r="D88" s="13" t="n">
        <v>128200</v>
      </c>
      <c r="E88" s="14" t="n">
        <v>1924</v>
      </c>
      <c r="F88" s="15" t="n">
        <v>158076</v>
      </c>
      <c r="G88" s="14" t="n">
        <v>31800</v>
      </c>
      <c r="H88" s="13" t="n">
        <v>128200</v>
      </c>
    </row>
    <row r="89" customFormat="false" ht="15" hidden="false" customHeight="false" outlineLevel="0" collapsed="false">
      <c r="A89" s="8"/>
      <c r="B89" s="14" t="n">
        <v>85</v>
      </c>
      <c r="C89" s="12" t="n">
        <v>31799</v>
      </c>
      <c r="D89" s="13" t="n">
        <v>128201</v>
      </c>
      <c r="E89" s="14" t="n">
        <v>762</v>
      </c>
      <c r="F89" s="15" t="n">
        <v>159238</v>
      </c>
      <c r="G89" s="14" t="n">
        <v>31799</v>
      </c>
      <c r="H89" s="13" t="n">
        <v>128201</v>
      </c>
    </row>
    <row r="90" customFormat="false" ht="15" hidden="false" customHeight="false" outlineLevel="0" collapsed="false">
      <c r="A90" s="8"/>
      <c r="B90" s="14" t="n">
        <v>86</v>
      </c>
      <c r="C90" s="12" t="n">
        <v>31799</v>
      </c>
      <c r="D90" s="13" t="n">
        <v>128201</v>
      </c>
      <c r="E90" s="14" t="n">
        <v>2857</v>
      </c>
      <c r="F90" s="15" t="n">
        <v>157143</v>
      </c>
      <c r="G90" s="14" t="n">
        <v>31799</v>
      </c>
      <c r="H90" s="13" t="n">
        <v>128201</v>
      </c>
    </row>
    <row r="91" customFormat="false" ht="15" hidden="false" customHeight="false" outlineLevel="0" collapsed="false">
      <c r="A91" s="8"/>
      <c r="B91" s="14" t="n">
        <v>87</v>
      </c>
      <c r="C91" s="12" t="n">
        <v>31800</v>
      </c>
      <c r="D91" s="13" t="n">
        <v>128200</v>
      </c>
      <c r="E91" s="14" t="n">
        <v>2127</v>
      </c>
      <c r="F91" s="15" t="n">
        <v>157873</v>
      </c>
      <c r="G91" s="14" t="n">
        <v>31800</v>
      </c>
      <c r="H91" s="13" t="n">
        <v>128200</v>
      </c>
    </row>
    <row r="92" customFormat="false" ht="15" hidden="false" customHeight="false" outlineLevel="0" collapsed="false">
      <c r="A92" s="8"/>
      <c r="B92" s="14" t="n">
        <v>88</v>
      </c>
      <c r="C92" s="12" t="n">
        <v>31800</v>
      </c>
      <c r="D92" s="13" t="n">
        <v>128200</v>
      </c>
      <c r="E92" s="14" t="n">
        <v>1742</v>
      </c>
      <c r="F92" s="15" t="n">
        <v>158258</v>
      </c>
      <c r="G92" s="14" t="n">
        <v>31800</v>
      </c>
      <c r="H92" s="13" t="n">
        <v>128200</v>
      </c>
    </row>
    <row r="93" customFormat="false" ht="15" hidden="false" customHeight="false" outlineLevel="0" collapsed="false">
      <c r="A93" s="8"/>
      <c r="B93" s="14" t="n">
        <v>89</v>
      </c>
      <c r="C93" s="12" t="n">
        <v>31799</v>
      </c>
      <c r="D93" s="13" t="n">
        <v>128201</v>
      </c>
      <c r="E93" s="14" t="n">
        <v>1062</v>
      </c>
      <c r="F93" s="15" t="n">
        <v>158938</v>
      </c>
      <c r="G93" s="14" t="n">
        <v>31799</v>
      </c>
      <c r="H93" s="13" t="n">
        <v>128201</v>
      </c>
    </row>
    <row r="94" customFormat="false" ht="15" hidden="false" customHeight="false" outlineLevel="0" collapsed="false">
      <c r="A94" s="8"/>
      <c r="B94" s="14" t="n">
        <v>90</v>
      </c>
      <c r="C94" s="12" t="n">
        <v>31800</v>
      </c>
      <c r="D94" s="13" t="n">
        <v>128200</v>
      </c>
      <c r="E94" s="14" t="n">
        <v>3432</v>
      </c>
      <c r="F94" s="15" t="n">
        <v>156568</v>
      </c>
      <c r="G94" s="14" t="n">
        <v>31800</v>
      </c>
      <c r="H94" s="13" t="n">
        <v>128200</v>
      </c>
    </row>
    <row r="95" customFormat="false" ht="15" hidden="false" customHeight="false" outlineLevel="0" collapsed="false">
      <c r="A95" s="8"/>
      <c r="B95" s="14" t="n">
        <v>91</v>
      </c>
      <c r="C95" s="12" t="n">
        <v>31799</v>
      </c>
      <c r="D95" s="13" t="n">
        <v>128201</v>
      </c>
      <c r="E95" s="14" t="n">
        <v>206</v>
      </c>
      <c r="F95" s="15" t="n">
        <v>159794</v>
      </c>
      <c r="G95" s="14" t="n">
        <v>31799</v>
      </c>
      <c r="H95" s="13" t="n">
        <v>128201</v>
      </c>
    </row>
    <row r="96" customFormat="false" ht="15" hidden="false" customHeight="false" outlineLevel="0" collapsed="false">
      <c r="A96" s="8"/>
      <c r="B96" s="14" t="n">
        <v>92</v>
      </c>
      <c r="C96" s="12" t="n">
        <v>31800</v>
      </c>
      <c r="D96" s="13" t="n">
        <v>128200</v>
      </c>
      <c r="E96" s="14" t="n">
        <v>278</v>
      </c>
      <c r="F96" s="15" t="n">
        <v>159722</v>
      </c>
      <c r="G96" s="14" t="n">
        <v>31800</v>
      </c>
      <c r="H96" s="13" t="n">
        <v>128200</v>
      </c>
    </row>
    <row r="97" customFormat="false" ht="15" hidden="false" customHeight="false" outlineLevel="0" collapsed="false">
      <c r="A97" s="8"/>
      <c r="B97" s="14" t="n">
        <v>93</v>
      </c>
      <c r="C97" s="12" t="n">
        <v>31399</v>
      </c>
      <c r="D97" s="13" t="n">
        <v>128601</v>
      </c>
      <c r="E97" s="14" t="n">
        <v>394</v>
      </c>
      <c r="F97" s="15" t="n">
        <v>159606</v>
      </c>
      <c r="G97" s="14" t="n">
        <v>31399</v>
      </c>
      <c r="H97" s="13" t="n">
        <v>128601</v>
      </c>
    </row>
    <row r="98" customFormat="false" ht="15" hidden="false" customHeight="false" outlineLevel="0" collapsed="false">
      <c r="A98" s="8"/>
      <c r="B98" s="14" t="n">
        <v>94</v>
      </c>
      <c r="C98" s="12" t="n">
        <v>31400</v>
      </c>
      <c r="D98" s="13" t="n">
        <v>128600</v>
      </c>
      <c r="E98" s="14" t="n">
        <v>38</v>
      </c>
      <c r="F98" s="15" t="n">
        <v>159962</v>
      </c>
      <c r="G98" s="14" t="n">
        <v>31400</v>
      </c>
      <c r="H98" s="13" t="n">
        <v>128600</v>
      </c>
    </row>
    <row r="99" customFormat="false" ht="15" hidden="false" customHeight="false" outlineLevel="0" collapsed="false">
      <c r="A99" s="8"/>
      <c r="B99" s="14" t="n">
        <v>95</v>
      </c>
      <c r="C99" s="12" t="n">
        <v>31400</v>
      </c>
      <c r="D99" s="13" t="n">
        <v>128600</v>
      </c>
      <c r="E99" s="14" t="n">
        <v>58</v>
      </c>
      <c r="F99" s="15" t="n">
        <v>159942</v>
      </c>
      <c r="G99" s="14" t="n">
        <v>31400</v>
      </c>
      <c r="H99" s="13" t="n">
        <v>128600</v>
      </c>
    </row>
    <row r="100" customFormat="false" ht="15" hidden="false" customHeight="false" outlineLevel="0" collapsed="false">
      <c r="A100" s="8"/>
      <c r="B100" s="14" t="n">
        <v>96</v>
      </c>
      <c r="C100" s="12" t="n">
        <v>31399</v>
      </c>
      <c r="D100" s="13" t="n">
        <v>128601</v>
      </c>
      <c r="E100" s="14" t="n">
        <v>390</v>
      </c>
      <c r="F100" s="15" t="n">
        <v>159610</v>
      </c>
      <c r="G100" s="14" t="n">
        <v>31399</v>
      </c>
      <c r="H100" s="13" t="n">
        <v>128601</v>
      </c>
    </row>
    <row r="101" customFormat="false" ht="15" hidden="false" customHeight="false" outlineLevel="0" collapsed="false">
      <c r="A101" s="8"/>
      <c r="B101" s="14" t="n">
        <v>97</v>
      </c>
      <c r="C101" s="12" t="n">
        <v>31399</v>
      </c>
      <c r="D101" s="13" t="n">
        <v>128601</v>
      </c>
      <c r="E101" s="14" t="n">
        <v>0</v>
      </c>
      <c r="F101" s="15" t="n">
        <v>160000</v>
      </c>
      <c r="G101" s="14" t="n">
        <v>31399</v>
      </c>
      <c r="H101" s="13" t="n">
        <v>128601</v>
      </c>
    </row>
    <row r="102" customFormat="false" ht="15" hidden="false" customHeight="false" outlineLevel="0" collapsed="false">
      <c r="A102" s="8"/>
      <c r="B102" s="14" t="n">
        <v>98</v>
      </c>
      <c r="C102" s="12" t="n">
        <v>31000</v>
      </c>
      <c r="D102" s="13" t="n">
        <v>129000</v>
      </c>
      <c r="E102" s="14" t="n">
        <v>3891</v>
      </c>
      <c r="F102" s="15" t="n">
        <v>156109</v>
      </c>
      <c r="G102" s="14" t="n">
        <v>31000</v>
      </c>
      <c r="H102" s="13" t="n">
        <v>129000</v>
      </c>
    </row>
    <row r="103" customFormat="false" ht="15" hidden="false" customHeight="false" outlineLevel="0" collapsed="false">
      <c r="A103" s="8"/>
      <c r="B103" s="14" t="n">
        <v>99</v>
      </c>
      <c r="C103" s="12" t="n">
        <v>30999</v>
      </c>
      <c r="D103" s="13" t="n">
        <v>129001</v>
      </c>
      <c r="E103" s="14" t="n">
        <v>4486</v>
      </c>
      <c r="F103" s="15" t="n">
        <v>155514</v>
      </c>
      <c r="G103" s="14" t="n">
        <v>30999</v>
      </c>
      <c r="H103" s="13" t="n">
        <v>129001</v>
      </c>
    </row>
    <row r="104" customFormat="false" ht="15" hidden="false" customHeight="false" outlineLevel="0" collapsed="false">
      <c r="A104" s="8"/>
      <c r="B104" s="14" t="n">
        <v>100</v>
      </c>
      <c r="C104" s="12" t="n">
        <v>31000</v>
      </c>
      <c r="D104" s="13" t="n">
        <v>129000</v>
      </c>
      <c r="E104" s="14" t="n">
        <v>6080</v>
      </c>
      <c r="F104" s="15" t="n">
        <v>153920</v>
      </c>
      <c r="G104" s="14" t="n">
        <v>31000</v>
      </c>
      <c r="H104" s="13" t="n">
        <v>129000</v>
      </c>
    </row>
    <row r="105" customFormat="false" ht="15" hidden="false" customHeight="false" outlineLevel="0" collapsed="false">
      <c r="A105" s="8"/>
      <c r="B105" s="14" t="n">
        <v>101</v>
      </c>
      <c r="C105" s="12" t="n">
        <v>30999</v>
      </c>
      <c r="D105" s="13" t="n">
        <v>129001</v>
      </c>
      <c r="E105" s="14" t="n">
        <v>6456</v>
      </c>
      <c r="F105" s="15" t="n">
        <v>153544</v>
      </c>
      <c r="G105" s="14" t="n">
        <v>30999</v>
      </c>
      <c r="H105" s="13" t="n">
        <v>129001</v>
      </c>
    </row>
    <row r="106" customFormat="false" ht="15" hidden="false" customHeight="false" outlineLevel="0" collapsed="false">
      <c r="A106" s="8"/>
      <c r="B106" s="14" t="n">
        <v>102</v>
      </c>
      <c r="C106" s="12" t="n">
        <v>30600</v>
      </c>
      <c r="D106" s="13" t="n">
        <v>129400</v>
      </c>
      <c r="E106" s="14" t="n">
        <v>6360</v>
      </c>
      <c r="F106" s="15" t="n">
        <v>153640</v>
      </c>
      <c r="G106" s="14" t="n">
        <v>30600</v>
      </c>
      <c r="H106" s="13" t="n">
        <v>129400</v>
      </c>
    </row>
    <row r="107" customFormat="false" ht="15" hidden="false" customHeight="false" outlineLevel="0" collapsed="false">
      <c r="A107" s="8"/>
      <c r="B107" s="14" t="n">
        <v>103</v>
      </c>
      <c r="C107" s="12" t="n">
        <v>30599</v>
      </c>
      <c r="D107" s="13" t="n">
        <v>129401</v>
      </c>
      <c r="E107" s="14" t="n">
        <v>3458</v>
      </c>
      <c r="F107" s="15" t="n">
        <v>156542</v>
      </c>
      <c r="G107" s="14" t="n">
        <v>30599</v>
      </c>
      <c r="H107" s="13" t="n">
        <v>129401</v>
      </c>
    </row>
    <row r="108" customFormat="false" ht="15" hidden="false" customHeight="false" outlineLevel="0" collapsed="false">
      <c r="A108" s="8"/>
      <c r="B108" s="14" t="n">
        <v>104</v>
      </c>
      <c r="C108" s="12" t="n">
        <v>30600</v>
      </c>
      <c r="D108" s="13" t="n">
        <v>129400</v>
      </c>
      <c r="E108" s="14" t="n">
        <v>6245</v>
      </c>
      <c r="F108" s="15" t="n">
        <v>153755</v>
      </c>
      <c r="G108" s="14" t="n">
        <v>30600</v>
      </c>
      <c r="H108" s="13" t="n">
        <v>129400</v>
      </c>
    </row>
    <row r="109" customFormat="false" ht="15" hidden="false" customHeight="false" outlineLevel="0" collapsed="false">
      <c r="A109" s="8"/>
      <c r="B109" s="14" t="n">
        <v>105</v>
      </c>
      <c r="C109" s="12" t="n">
        <v>30200</v>
      </c>
      <c r="D109" s="13" t="n">
        <v>129800</v>
      </c>
      <c r="E109" s="14" t="n">
        <v>3849</v>
      </c>
      <c r="F109" s="15" t="n">
        <v>156151</v>
      </c>
      <c r="G109" s="14" t="n">
        <v>30200</v>
      </c>
      <c r="H109" s="13" t="n">
        <v>129800</v>
      </c>
    </row>
    <row r="110" customFormat="false" ht="15" hidden="false" customHeight="false" outlineLevel="0" collapsed="false">
      <c r="A110" s="8"/>
      <c r="B110" s="14" t="n">
        <v>106</v>
      </c>
      <c r="C110" s="12" t="n">
        <v>30199</v>
      </c>
      <c r="D110" s="13" t="n">
        <v>129801</v>
      </c>
      <c r="E110" s="14" t="n">
        <v>5233</v>
      </c>
      <c r="F110" s="15" t="n">
        <v>154767</v>
      </c>
      <c r="G110" s="14" t="n">
        <v>30199</v>
      </c>
      <c r="H110" s="13" t="n">
        <v>129801</v>
      </c>
    </row>
    <row r="111" customFormat="false" ht="15" hidden="false" customHeight="false" outlineLevel="0" collapsed="false">
      <c r="A111" s="8"/>
      <c r="B111" s="14" t="n">
        <v>107</v>
      </c>
      <c r="C111" s="12" t="n">
        <v>30200</v>
      </c>
      <c r="D111" s="13" t="n">
        <v>129800</v>
      </c>
      <c r="E111" s="14" t="n">
        <v>67</v>
      </c>
      <c r="F111" s="15" t="n">
        <v>159933</v>
      </c>
      <c r="G111" s="14" t="n">
        <v>30202</v>
      </c>
      <c r="H111" s="13" t="n">
        <v>129798</v>
      </c>
    </row>
    <row r="112" customFormat="false" ht="15" hidden="false" customHeight="false" outlineLevel="0" collapsed="false">
      <c r="A112" s="8"/>
      <c r="B112" s="14" t="n">
        <v>108</v>
      </c>
      <c r="C112" s="12" t="n">
        <v>29800</v>
      </c>
      <c r="D112" s="13" t="n">
        <v>130200</v>
      </c>
      <c r="E112" s="14" t="n">
        <v>2864</v>
      </c>
      <c r="F112" s="15" t="n">
        <v>157136</v>
      </c>
      <c r="G112" s="14" t="n">
        <v>29800</v>
      </c>
      <c r="H112" s="13" t="n">
        <v>130200</v>
      </c>
    </row>
    <row r="113" customFormat="false" ht="15" hidden="false" customHeight="false" outlineLevel="0" collapsed="false">
      <c r="A113" s="8"/>
      <c r="B113" s="14" t="n">
        <v>109</v>
      </c>
      <c r="C113" s="12" t="n">
        <v>29800</v>
      </c>
      <c r="D113" s="13" t="n">
        <v>130200</v>
      </c>
      <c r="E113" s="14" t="n">
        <v>6361</v>
      </c>
      <c r="F113" s="15" t="n">
        <v>153639</v>
      </c>
      <c r="G113" s="14" t="n">
        <v>29800</v>
      </c>
      <c r="H113" s="13" t="n">
        <v>130200</v>
      </c>
    </row>
    <row r="114" customFormat="false" ht="15" hidden="false" customHeight="false" outlineLevel="0" collapsed="false">
      <c r="A114" s="8"/>
      <c r="B114" s="14" t="n">
        <v>110</v>
      </c>
      <c r="C114" s="12" t="n">
        <v>29799</v>
      </c>
      <c r="D114" s="13" t="n">
        <v>130201</v>
      </c>
      <c r="E114" s="14" t="n">
        <v>7371</v>
      </c>
      <c r="F114" s="15" t="n">
        <v>152629</v>
      </c>
      <c r="G114" s="14" t="n">
        <v>29799</v>
      </c>
      <c r="H114" s="13" t="n">
        <v>130201</v>
      </c>
    </row>
    <row r="115" customFormat="false" ht="15" hidden="false" customHeight="false" outlineLevel="0" collapsed="false">
      <c r="A115" s="8"/>
      <c r="B115" s="14" t="n">
        <v>111</v>
      </c>
      <c r="C115" s="12" t="n">
        <v>29406</v>
      </c>
      <c r="D115" s="13" t="n">
        <v>130594</v>
      </c>
      <c r="E115" s="14" t="n">
        <v>15</v>
      </c>
      <c r="F115" s="15" t="n">
        <v>159985</v>
      </c>
      <c r="G115" s="14" t="n">
        <v>29402</v>
      </c>
      <c r="H115" s="13" t="n">
        <v>130598</v>
      </c>
    </row>
    <row r="116" customFormat="false" ht="15" hidden="false" customHeight="false" outlineLevel="0" collapsed="false">
      <c r="A116" s="8"/>
      <c r="B116" s="14" t="n">
        <v>112</v>
      </c>
      <c r="C116" s="12" t="n">
        <v>29399</v>
      </c>
      <c r="D116" s="13" t="n">
        <v>130601</v>
      </c>
      <c r="E116" s="14" t="n">
        <v>4900</v>
      </c>
      <c r="F116" s="15" t="n">
        <v>155100</v>
      </c>
      <c r="G116" s="14" t="n">
        <v>29399</v>
      </c>
      <c r="H116" s="13" t="n">
        <v>130601</v>
      </c>
    </row>
    <row r="117" customFormat="false" ht="15" hidden="false" customHeight="false" outlineLevel="0" collapsed="false">
      <c r="A117" s="8"/>
      <c r="B117" s="14" t="n">
        <v>113</v>
      </c>
      <c r="C117" s="12" t="n">
        <v>28999</v>
      </c>
      <c r="D117" s="13" t="n">
        <v>131001</v>
      </c>
      <c r="E117" s="14" t="n">
        <v>3428</v>
      </c>
      <c r="F117" s="15" t="n">
        <v>156572</v>
      </c>
      <c r="G117" s="14" t="n">
        <v>28999</v>
      </c>
      <c r="H117" s="13" t="n">
        <v>131001</v>
      </c>
    </row>
    <row r="118" customFormat="false" ht="15" hidden="false" customHeight="false" outlineLevel="0" collapsed="false">
      <c r="A118" s="8"/>
      <c r="B118" s="14" t="n">
        <v>114</v>
      </c>
      <c r="C118" s="12" t="n">
        <v>28999</v>
      </c>
      <c r="D118" s="13" t="n">
        <v>131001</v>
      </c>
      <c r="E118" s="14" t="n">
        <v>2940</v>
      </c>
      <c r="F118" s="15" t="n">
        <v>157060</v>
      </c>
      <c r="G118" s="14" t="n">
        <v>28999</v>
      </c>
      <c r="H118" s="13" t="n">
        <v>131001</v>
      </c>
    </row>
    <row r="119" customFormat="false" ht="15" hidden="false" customHeight="false" outlineLevel="0" collapsed="false">
      <c r="A119" s="8"/>
      <c r="B119" s="14" t="n">
        <v>115</v>
      </c>
      <c r="C119" s="12" t="n">
        <v>28600</v>
      </c>
      <c r="D119" s="13" t="n">
        <v>131400</v>
      </c>
      <c r="E119" s="14" t="n">
        <v>6088</v>
      </c>
      <c r="F119" s="15" t="n">
        <v>153912</v>
      </c>
      <c r="G119" s="14" t="n">
        <v>28600</v>
      </c>
      <c r="H119" s="13" t="n">
        <v>131400</v>
      </c>
    </row>
    <row r="120" customFormat="false" ht="15" hidden="false" customHeight="false" outlineLevel="0" collapsed="false">
      <c r="A120" s="8"/>
      <c r="B120" s="14" t="n">
        <v>116</v>
      </c>
      <c r="C120" s="12" t="n">
        <v>28600</v>
      </c>
      <c r="D120" s="13" t="n">
        <v>131400</v>
      </c>
      <c r="E120" s="14" t="n">
        <v>2925</v>
      </c>
      <c r="F120" s="15" t="n">
        <v>157075</v>
      </c>
      <c r="G120" s="14" t="n">
        <v>28600</v>
      </c>
      <c r="H120" s="13" t="n">
        <v>131400</v>
      </c>
    </row>
    <row r="121" customFormat="false" ht="15" hidden="false" customHeight="false" outlineLevel="0" collapsed="false">
      <c r="A121" s="8"/>
      <c r="B121" s="14" t="n">
        <v>117</v>
      </c>
      <c r="C121" s="12" t="n">
        <v>28200</v>
      </c>
      <c r="D121" s="13" t="n">
        <v>131800</v>
      </c>
      <c r="E121" s="14" t="n">
        <v>4559</v>
      </c>
      <c r="F121" s="15" t="n">
        <v>155441</v>
      </c>
      <c r="G121" s="14" t="n">
        <v>28200</v>
      </c>
      <c r="H121" s="13" t="n">
        <v>131800</v>
      </c>
    </row>
    <row r="122" customFormat="false" ht="15" hidden="false" customHeight="false" outlineLevel="0" collapsed="false">
      <c r="A122" s="8"/>
      <c r="B122" s="14" t="n">
        <v>118</v>
      </c>
      <c r="C122" s="12" t="n">
        <v>28199</v>
      </c>
      <c r="D122" s="13" t="n">
        <v>131801</v>
      </c>
      <c r="E122" s="14" t="n">
        <v>6445</v>
      </c>
      <c r="F122" s="15" t="n">
        <v>153555</v>
      </c>
      <c r="G122" s="14" t="n">
        <v>28199</v>
      </c>
      <c r="H122" s="13" t="n">
        <v>131801</v>
      </c>
    </row>
    <row r="123" customFormat="false" ht="15" hidden="false" customHeight="false" outlineLevel="0" collapsed="false">
      <c r="A123" s="8"/>
      <c r="B123" s="14" t="n">
        <v>119</v>
      </c>
      <c r="C123" s="12" t="n">
        <v>27800</v>
      </c>
      <c r="D123" s="13" t="n">
        <v>132200</v>
      </c>
      <c r="E123" s="14" t="n">
        <v>210</v>
      </c>
      <c r="F123" s="15" t="n">
        <v>159790</v>
      </c>
      <c r="G123" s="14" t="n">
        <v>27800</v>
      </c>
      <c r="H123" s="13" t="n">
        <v>132200</v>
      </c>
    </row>
    <row r="124" customFormat="false" ht="15" hidden="false" customHeight="false" outlineLevel="0" collapsed="false">
      <c r="A124" s="8"/>
      <c r="B124" s="14" t="n">
        <v>120</v>
      </c>
      <c r="C124" s="12" t="n">
        <v>27799</v>
      </c>
      <c r="D124" s="13" t="n">
        <v>132201</v>
      </c>
      <c r="E124" s="14" t="n">
        <v>6</v>
      </c>
      <c r="F124" s="15" t="n">
        <v>159994</v>
      </c>
      <c r="G124" s="14" t="n">
        <v>27799</v>
      </c>
      <c r="H124" s="13" t="n">
        <v>132201</v>
      </c>
    </row>
    <row r="125" customFormat="false" ht="15" hidden="false" customHeight="false" outlineLevel="0" collapsed="false">
      <c r="A125" s="8"/>
      <c r="B125" s="14" t="n">
        <v>121</v>
      </c>
      <c r="C125" s="12" t="n">
        <v>27400</v>
      </c>
      <c r="D125" s="13" t="n">
        <v>132600</v>
      </c>
      <c r="E125" s="14" t="n">
        <v>107</v>
      </c>
      <c r="F125" s="15" t="n">
        <v>159893</v>
      </c>
      <c r="G125" s="14" t="n">
        <v>27400</v>
      </c>
      <c r="H125" s="13" t="n">
        <v>132600</v>
      </c>
    </row>
    <row r="126" customFormat="false" ht="15" hidden="false" customHeight="false" outlineLevel="0" collapsed="false">
      <c r="A126" s="8"/>
      <c r="B126" s="14" t="n">
        <v>122</v>
      </c>
      <c r="C126" s="12" t="n">
        <v>27399</v>
      </c>
      <c r="D126" s="13" t="n">
        <v>132601</v>
      </c>
      <c r="E126" s="14" t="n">
        <v>12</v>
      </c>
      <c r="F126" s="15" t="n">
        <v>159988</v>
      </c>
      <c r="G126" s="14" t="n">
        <v>27399</v>
      </c>
      <c r="H126" s="13" t="n">
        <v>132601</v>
      </c>
    </row>
    <row r="127" customFormat="false" ht="15" hidden="false" customHeight="false" outlineLevel="0" collapsed="false">
      <c r="A127" s="8"/>
      <c r="B127" s="14" t="n">
        <v>123</v>
      </c>
      <c r="C127" s="12" t="n">
        <v>27000</v>
      </c>
      <c r="D127" s="13" t="n">
        <v>133000</v>
      </c>
      <c r="E127" s="14" t="n">
        <v>24</v>
      </c>
      <c r="F127" s="15" t="n">
        <v>159976</v>
      </c>
      <c r="G127" s="14" t="n">
        <v>27000</v>
      </c>
      <c r="H127" s="13" t="n">
        <v>133000</v>
      </c>
    </row>
    <row r="128" customFormat="false" ht="15" hidden="false" customHeight="false" outlineLevel="0" collapsed="false">
      <c r="A128" s="8"/>
      <c r="B128" s="14" t="n">
        <v>124</v>
      </c>
      <c r="C128" s="12" t="n">
        <v>26600</v>
      </c>
      <c r="D128" s="13" t="n">
        <v>133400</v>
      </c>
      <c r="E128" s="14" t="n">
        <v>119</v>
      </c>
      <c r="F128" s="15" t="n">
        <v>159881</v>
      </c>
      <c r="G128" s="14" t="n">
        <v>26600</v>
      </c>
      <c r="H128" s="13" t="n">
        <v>133400</v>
      </c>
    </row>
    <row r="129" customFormat="false" ht="15" hidden="false" customHeight="false" outlineLevel="0" collapsed="false">
      <c r="A129" s="8"/>
      <c r="B129" s="14" t="n">
        <v>125</v>
      </c>
      <c r="C129" s="12" t="n">
        <v>26600</v>
      </c>
      <c r="D129" s="13" t="n">
        <v>133400</v>
      </c>
      <c r="E129" s="14" t="n">
        <v>105</v>
      </c>
      <c r="F129" s="15" t="n">
        <v>159895</v>
      </c>
      <c r="G129" s="14" t="n">
        <v>26600</v>
      </c>
      <c r="H129" s="13" t="n">
        <v>133400</v>
      </c>
    </row>
    <row r="130" customFormat="false" ht="15" hidden="false" customHeight="false" outlineLevel="0" collapsed="false">
      <c r="A130" s="8"/>
      <c r="B130" s="14" t="n">
        <v>126</v>
      </c>
      <c r="C130" s="12" t="n">
        <v>26200</v>
      </c>
      <c r="D130" s="13" t="n">
        <v>133800</v>
      </c>
      <c r="E130" s="14" t="n">
        <v>85</v>
      </c>
      <c r="F130" s="15" t="n">
        <v>159915</v>
      </c>
      <c r="G130" s="14" t="n">
        <v>26200</v>
      </c>
      <c r="H130" s="13" t="n">
        <v>133800</v>
      </c>
    </row>
    <row r="131" customFormat="false" ht="15" hidden="false" customHeight="false" outlineLevel="0" collapsed="false">
      <c r="A131" s="8"/>
      <c r="B131" s="14" t="n">
        <v>127</v>
      </c>
      <c r="C131" s="12" t="n">
        <v>25800</v>
      </c>
      <c r="D131" s="13" t="n">
        <v>134200</v>
      </c>
      <c r="E131" s="14" t="n">
        <v>0</v>
      </c>
      <c r="F131" s="15" t="n">
        <v>160000</v>
      </c>
      <c r="G131" s="14" t="n">
        <v>25800</v>
      </c>
      <c r="H131" s="13" t="n">
        <v>134200</v>
      </c>
    </row>
    <row r="132" customFormat="false" ht="15" hidden="false" customHeight="false" outlineLevel="0" collapsed="false">
      <c r="A132" s="8"/>
      <c r="B132" s="14" t="n">
        <v>128</v>
      </c>
      <c r="C132" s="12" t="n">
        <v>25800</v>
      </c>
      <c r="D132" s="13" t="n">
        <v>134200</v>
      </c>
      <c r="E132" s="14" t="n">
        <v>0</v>
      </c>
      <c r="F132" s="15" t="n">
        <v>160000</v>
      </c>
      <c r="G132" s="14" t="n">
        <v>25800</v>
      </c>
      <c r="H132" s="13" t="n">
        <v>134200</v>
      </c>
    </row>
    <row r="133" customFormat="false" ht="15" hidden="false" customHeight="false" outlineLevel="0" collapsed="false">
      <c r="A133" s="8"/>
      <c r="B133" s="14" t="n">
        <v>129</v>
      </c>
      <c r="C133" s="12" t="n">
        <v>25400</v>
      </c>
      <c r="D133" s="13" t="n">
        <v>134600</v>
      </c>
      <c r="E133" s="14" t="n">
        <v>0</v>
      </c>
      <c r="F133" s="15" t="n">
        <v>160000</v>
      </c>
      <c r="G133" s="14" t="n">
        <v>25400</v>
      </c>
      <c r="H133" s="13" t="n">
        <v>134600</v>
      </c>
    </row>
    <row r="134" customFormat="false" ht="15" hidden="false" customHeight="false" outlineLevel="0" collapsed="false">
      <c r="A134" s="8"/>
      <c r="B134" s="14" t="n">
        <v>130</v>
      </c>
      <c r="C134" s="12" t="n">
        <v>24999</v>
      </c>
      <c r="D134" s="13" t="n">
        <v>135001</v>
      </c>
      <c r="E134" s="14" t="n">
        <v>0</v>
      </c>
      <c r="F134" s="15" t="n">
        <v>160000</v>
      </c>
      <c r="G134" s="14" t="n">
        <v>24999</v>
      </c>
      <c r="H134" s="13" t="n">
        <v>135001</v>
      </c>
    </row>
    <row r="135" customFormat="false" ht="15" hidden="false" customHeight="false" outlineLevel="0" collapsed="false">
      <c r="A135" s="8"/>
      <c r="B135" s="14" t="n">
        <v>131</v>
      </c>
      <c r="C135" s="12" t="n">
        <v>24607</v>
      </c>
      <c r="D135" s="13" t="n">
        <v>135393</v>
      </c>
      <c r="E135" s="14" t="n">
        <v>9</v>
      </c>
      <c r="F135" s="15" t="n">
        <v>159991</v>
      </c>
      <c r="G135" s="14" t="n">
        <v>24600</v>
      </c>
      <c r="H135" s="13" t="n">
        <v>135400</v>
      </c>
    </row>
    <row r="136" customFormat="false" ht="15" hidden="false" customHeight="false" outlineLevel="0" collapsed="false">
      <c r="A136" s="8"/>
      <c r="B136" s="14" t="n">
        <v>132</v>
      </c>
      <c r="C136" s="12" t="n">
        <v>24200</v>
      </c>
      <c r="D136" s="13" t="n">
        <v>135800</v>
      </c>
      <c r="E136" s="14" t="n">
        <v>93</v>
      </c>
      <c r="F136" s="15" t="n">
        <v>159907</v>
      </c>
      <c r="G136" s="14" t="n">
        <v>24200</v>
      </c>
      <c r="H136" s="13" t="n">
        <v>135800</v>
      </c>
    </row>
    <row r="137" customFormat="false" ht="15" hidden="false" customHeight="false" outlineLevel="0" collapsed="false">
      <c r="A137" s="8"/>
      <c r="B137" s="14" t="n">
        <v>133</v>
      </c>
      <c r="C137" s="12" t="n">
        <v>23800</v>
      </c>
      <c r="D137" s="13" t="n">
        <v>136200</v>
      </c>
      <c r="E137" s="14" t="n">
        <v>358</v>
      </c>
      <c r="F137" s="15" t="n">
        <v>159642</v>
      </c>
      <c r="G137" s="14" t="n">
        <v>23800</v>
      </c>
      <c r="H137" s="13" t="n">
        <v>136200</v>
      </c>
    </row>
    <row r="138" customFormat="false" ht="15" hidden="false" customHeight="false" outlineLevel="0" collapsed="false">
      <c r="A138" s="8"/>
      <c r="B138" s="14" t="n">
        <v>134</v>
      </c>
      <c r="C138" s="12" t="n">
        <v>23800</v>
      </c>
      <c r="D138" s="13" t="n">
        <v>136200</v>
      </c>
      <c r="E138" s="14" t="n">
        <v>185</v>
      </c>
      <c r="F138" s="15" t="n">
        <v>159815</v>
      </c>
      <c r="G138" s="14" t="n">
        <v>23800</v>
      </c>
      <c r="H138" s="13" t="n">
        <v>136200</v>
      </c>
    </row>
    <row r="139" customFormat="false" ht="15" hidden="false" customHeight="false" outlineLevel="0" collapsed="false">
      <c r="A139" s="8"/>
      <c r="B139" s="14" t="n">
        <v>135</v>
      </c>
      <c r="C139" s="12" t="n">
        <v>23400</v>
      </c>
      <c r="D139" s="13" t="n">
        <v>136600</v>
      </c>
      <c r="E139" s="14" t="n">
        <v>1219</v>
      </c>
      <c r="F139" s="15" t="n">
        <v>158781</v>
      </c>
      <c r="G139" s="14" t="n">
        <v>23400</v>
      </c>
      <c r="H139" s="13" t="n">
        <v>136600</v>
      </c>
    </row>
    <row r="140" customFormat="false" ht="15" hidden="false" customHeight="false" outlineLevel="0" collapsed="false">
      <c r="A140" s="8"/>
      <c r="B140" s="14" t="n">
        <v>136</v>
      </c>
      <c r="C140" s="12" t="n">
        <v>23000</v>
      </c>
      <c r="D140" s="13" t="n">
        <v>137000</v>
      </c>
      <c r="E140" s="14" t="n">
        <v>3</v>
      </c>
      <c r="F140" s="15" t="n">
        <v>159997</v>
      </c>
      <c r="G140" s="14" t="n">
        <v>23003</v>
      </c>
      <c r="H140" s="13" t="n">
        <v>136997</v>
      </c>
    </row>
    <row r="141" customFormat="false" ht="15" hidden="false" customHeight="false" outlineLevel="0" collapsed="false">
      <c r="A141" s="8"/>
      <c r="B141" s="14" t="n">
        <v>137</v>
      </c>
      <c r="C141" s="12" t="n">
        <v>22600</v>
      </c>
      <c r="D141" s="13" t="n">
        <v>137400</v>
      </c>
      <c r="E141" s="14" t="n">
        <v>0</v>
      </c>
      <c r="F141" s="15" t="n">
        <v>160000</v>
      </c>
      <c r="G141" s="14" t="n">
        <v>22600</v>
      </c>
      <c r="H141" s="13" t="n">
        <v>137400</v>
      </c>
    </row>
    <row r="142" customFormat="false" ht="15" hidden="false" customHeight="false" outlineLevel="0" collapsed="false">
      <c r="A142" s="8"/>
      <c r="B142" s="14" t="n">
        <v>138</v>
      </c>
      <c r="C142" s="12" t="n">
        <v>22200</v>
      </c>
      <c r="D142" s="13" t="n">
        <v>137800</v>
      </c>
      <c r="E142" s="14" t="n">
        <v>0</v>
      </c>
      <c r="F142" s="15" t="n">
        <v>160000</v>
      </c>
      <c r="G142" s="14" t="n">
        <v>22200</v>
      </c>
      <c r="H142" s="13" t="n">
        <v>137800</v>
      </c>
    </row>
    <row r="143" customFormat="false" ht="15" hidden="false" customHeight="false" outlineLevel="0" collapsed="false">
      <c r="A143" s="8"/>
      <c r="B143" s="14" t="n">
        <v>139</v>
      </c>
      <c r="C143" s="12" t="n">
        <v>21799</v>
      </c>
      <c r="D143" s="13" t="n">
        <v>138201</v>
      </c>
      <c r="E143" s="14" t="n">
        <v>0</v>
      </c>
      <c r="F143" s="15" t="n">
        <v>160000</v>
      </c>
      <c r="G143" s="14" t="n">
        <v>21799</v>
      </c>
      <c r="H143" s="13" t="n">
        <v>138201</v>
      </c>
    </row>
    <row r="144" customFormat="false" ht="15" hidden="false" customHeight="false" outlineLevel="0" collapsed="false">
      <c r="A144" s="8"/>
      <c r="B144" s="14" t="n">
        <v>140</v>
      </c>
      <c r="C144" s="12" t="n">
        <v>21000</v>
      </c>
      <c r="D144" s="13" t="n">
        <v>139000</v>
      </c>
      <c r="E144" s="14" t="n">
        <v>22</v>
      </c>
      <c r="F144" s="15" t="n">
        <v>159978</v>
      </c>
      <c r="G144" s="14" t="n">
        <v>21005</v>
      </c>
      <c r="H144" s="13" t="n">
        <v>138995</v>
      </c>
    </row>
    <row r="145" customFormat="false" ht="15" hidden="false" customHeight="false" outlineLevel="0" collapsed="false">
      <c r="A145" s="8"/>
      <c r="B145" s="14" t="n">
        <v>141</v>
      </c>
      <c r="C145" s="12" t="n">
        <v>20605</v>
      </c>
      <c r="D145" s="13" t="n">
        <v>139395</v>
      </c>
      <c r="E145" s="14" t="n">
        <v>474</v>
      </c>
      <c r="F145" s="15" t="n">
        <v>159526</v>
      </c>
      <c r="G145" s="14" t="n">
        <v>20608</v>
      </c>
      <c r="H145" s="13" t="n">
        <v>139392</v>
      </c>
    </row>
    <row r="146" customFormat="false" ht="15" hidden="false" customHeight="false" outlineLevel="0" collapsed="false">
      <c r="A146" s="8"/>
      <c r="B146" s="14" t="n">
        <v>142</v>
      </c>
      <c r="C146" s="12" t="n">
        <v>20200</v>
      </c>
      <c r="D146" s="13" t="n">
        <v>139800</v>
      </c>
      <c r="E146" s="14" t="n">
        <v>1470</v>
      </c>
      <c r="F146" s="15" t="n">
        <v>158530</v>
      </c>
      <c r="G146" s="14" t="n">
        <v>20207</v>
      </c>
      <c r="H146" s="13" t="n">
        <v>139793</v>
      </c>
    </row>
    <row r="147" customFormat="false" ht="15" hidden="false" customHeight="false" outlineLevel="0" collapsed="false">
      <c r="A147" s="8"/>
      <c r="B147" s="14" t="n">
        <v>143</v>
      </c>
      <c r="C147" s="12" t="n">
        <v>19799</v>
      </c>
      <c r="D147" s="13" t="n">
        <v>140201</v>
      </c>
      <c r="E147" s="14" t="n">
        <v>18</v>
      </c>
      <c r="F147" s="15" t="n">
        <v>159982</v>
      </c>
      <c r="G147" s="14" t="n">
        <v>19806</v>
      </c>
      <c r="H147" s="13" t="n">
        <v>140194</v>
      </c>
    </row>
    <row r="148" customFormat="false" ht="15" hidden="false" customHeight="false" outlineLevel="0" collapsed="false">
      <c r="A148" s="8"/>
      <c r="B148" s="14" t="n">
        <v>144</v>
      </c>
      <c r="C148" s="12" t="n">
        <v>19400</v>
      </c>
      <c r="D148" s="13" t="n">
        <v>140600</v>
      </c>
      <c r="E148" s="14" t="n">
        <v>515</v>
      </c>
      <c r="F148" s="15" t="n">
        <v>159485</v>
      </c>
      <c r="G148" s="14" t="n">
        <v>19407</v>
      </c>
      <c r="H148" s="13" t="n">
        <v>140593</v>
      </c>
    </row>
    <row r="149" customFormat="false" ht="15" hidden="false" customHeight="false" outlineLevel="0" collapsed="false">
      <c r="A149" s="8"/>
      <c r="B149" s="14" t="n">
        <v>145</v>
      </c>
      <c r="C149" s="12" t="n">
        <v>18600</v>
      </c>
      <c r="D149" s="13" t="n">
        <v>141400</v>
      </c>
      <c r="E149" s="14" t="n">
        <v>27</v>
      </c>
      <c r="F149" s="15" t="n">
        <v>159973</v>
      </c>
      <c r="G149" s="14" t="n">
        <v>18607</v>
      </c>
      <c r="H149" s="13" t="n">
        <v>141393</v>
      </c>
    </row>
    <row r="150" customFormat="false" ht="15" hidden="false" customHeight="false" outlineLevel="0" collapsed="false">
      <c r="A150" s="8"/>
      <c r="B150" s="14" t="n">
        <v>146</v>
      </c>
      <c r="C150" s="12" t="n">
        <v>18200</v>
      </c>
      <c r="D150" s="13" t="n">
        <v>141800</v>
      </c>
      <c r="E150" s="14" t="n">
        <v>27</v>
      </c>
      <c r="F150" s="15" t="n">
        <v>159973</v>
      </c>
      <c r="G150" s="14" t="n">
        <v>18207</v>
      </c>
      <c r="H150" s="13" t="n">
        <v>141793</v>
      </c>
    </row>
    <row r="151" customFormat="false" ht="15" hidden="false" customHeight="false" outlineLevel="0" collapsed="false">
      <c r="A151" s="8"/>
      <c r="B151" s="14" t="n">
        <v>147</v>
      </c>
      <c r="C151" s="12" t="n">
        <v>17401</v>
      </c>
      <c r="D151" s="13" t="n">
        <v>142599</v>
      </c>
      <c r="E151" s="14" t="n">
        <v>435</v>
      </c>
      <c r="F151" s="15" t="n">
        <v>159565</v>
      </c>
      <c r="G151" s="14" t="n">
        <v>17401</v>
      </c>
      <c r="H151" s="13" t="n">
        <v>142599</v>
      </c>
    </row>
    <row r="152" customFormat="false" ht="15" hidden="false" customHeight="false" outlineLevel="0" collapsed="false">
      <c r="A152" s="8"/>
      <c r="B152" s="14" t="n">
        <v>148</v>
      </c>
      <c r="C152" s="12" t="n">
        <v>17000</v>
      </c>
      <c r="D152" s="13" t="n">
        <v>143000</v>
      </c>
      <c r="E152" s="14" t="n">
        <v>124</v>
      </c>
      <c r="F152" s="15" t="n">
        <v>159876</v>
      </c>
      <c r="G152" s="14" t="n">
        <v>17000</v>
      </c>
      <c r="H152" s="13" t="n">
        <v>143000</v>
      </c>
    </row>
    <row r="153" customFormat="false" ht="15" hidden="false" customHeight="false" outlineLevel="0" collapsed="false">
      <c r="A153" s="8"/>
      <c r="B153" s="14" t="n">
        <v>149</v>
      </c>
      <c r="C153" s="12" t="n">
        <v>16200</v>
      </c>
      <c r="D153" s="13" t="n">
        <v>143800</v>
      </c>
      <c r="E153" s="14" t="n">
        <v>983</v>
      </c>
      <c r="F153" s="15" t="n">
        <v>159017</v>
      </c>
      <c r="G153" s="14" t="n">
        <v>16200</v>
      </c>
      <c r="H153" s="13" t="n">
        <v>143800</v>
      </c>
    </row>
    <row r="154" customFormat="false" ht="15" hidden="false" customHeight="false" outlineLevel="0" collapsed="false">
      <c r="A154" s="8"/>
      <c r="B154" s="14" t="n">
        <v>150</v>
      </c>
      <c r="C154" s="12" t="n">
        <v>15400</v>
      </c>
      <c r="D154" s="13" t="n">
        <v>144600</v>
      </c>
      <c r="E154" s="14" t="n">
        <v>68</v>
      </c>
      <c r="F154" s="15" t="n">
        <v>159932</v>
      </c>
      <c r="G154" s="14" t="n">
        <v>15409</v>
      </c>
      <c r="H154" s="13" t="n">
        <v>144591</v>
      </c>
    </row>
    <row r="155" customFormat="false" ht="15" hidden="false" customHeight="false" outlineLevel="0" collapsed="false">
      <c r="A155" s="8"/>
      <c r="B155" s="14" t="n">
        <v>151</v>
      </c>
      <c r="C155" s="12" t="n">
        <v>14600</v>
      </c>
      <c r="D155" s="13" t="n">
        <v>145400</v>
      </c>
      <c r="E155" s="14" t="n">
        <v>29</v>
      </c>
      <c r="F155" s="15" t="n">
        <v>159971</v>
      </c>
      <c r="G155" s="14" t="n">
        <v>14607</v>
      </c>
      <c r="H155" s="13" t="n">
        <v>145393</v>
      </c>
    </row>
    <row r="156" customFormat="false" ht="15" hidden="false" customHeight="false" outlineLevel="0" collapsed="false">
      <c r="A156" s="8"/>
      <c r="B156" s="14" t="n">
        <v>152</v>
      </c>
      <c r="C156" s="12" t="n">
        <v>13807</v>
      </c>
      <c r="D156" s="13" t="n">
        <v>146193</v>
      </c>
      <c r="E156" s="14" t="n">
        <v>14</v>
      </c>
      <c r="F156" s="15" t="n">
        <v>159986</v>
      </c>
      <c r="G156" s="14" t="n">
        <v>13807</v>
      </c>
      <c r="H156" s="13" t="n">
        <v>146193</v>
      </c>
    </row>
    <row r="157" customFormat="false" ht="15" hidden="false" customHeight="false" outlineLevel="0" collapsed="false">
      <c r="A157" s="8"/>
      <c r="B157" s="14" t="n">
        <v>153</v>
      </c>
      <c r="C157" s="12" t="n">
        <v>12999</v>
      </c>
      <c r="D157" s="13" t="n">
        <v>147001</v>
      </c>
      <c r="E157" s="14" t="n">
        <v>16</v>
      </c>
      <c r="F157" s="15" t="n">
        <v>159984</v>
      </c>
      <c r="G157" s="14" t="n">
        <v>12999</v>
      </c>
      <c r="H157" s="13" t="n">
        <v>147001</v>
      </c>
    </row>
    <row r="158" customFormat="false" ht="15" hidden="false" customHeight="false" outlineLevel="0" collapsed="false">
      <c r="A158" s="8"/>
      <c r="B158" s="14" t="n">
        <v>154</v>
      </c>
      <c r="C158" s="12" t="n">
        <v>12200</v>
      </c>
      <c r="D158" s="13" t="n">
        <v>147800</v>
      </c>
      <c r="E158" s="14" t="n">
        <v>0</v>
      </c>
      <c r="F158" s="15" t="n">
        <v>160000</v>
      </c>
      <c r="G158" s="14" t="n">
        <v>12210</v>
      </c>
      <c r="H158" s="13" t="n">
        <v>147790</v>
      </c>
    </row>
    <row r="159" customFormat="false" ht="15" hidden="false" customHeight="false" outlineLevel="0" collapsed="false">
      <c r="A159" s="8"/>
      <c r="B159" s="14" t="n">
        <v>155</v>
      </c>
      <c r="C159" s="12" t="n">
        <v>11001</v>
      </c>
      <c r="D159" s="13" t="n">
        <v>148999</v>
      </c>
      <c r="E159" s="14" t="n">
        <v>47</v>
      </c>
      <c r="F159" s="15" t="n">
        <v>159953</v>
      </c>
      <c r="G159" s="14" t="n">
        <v>11004</v>
      </c>
      <c r="H159" s="13" t="n">
        <v>148996</v>
      </c>
    </row>
    <row r="160" customFormat="false" ht="15" hidden="false" customHeight="false" outlineLevel="0" collapsed="false">
      <c r="A160" s="8"/>
      <c r="B160" s="14" t="n">
        <v>156</v>
      </c>
      <c r="C160" s="12" t="n">
        <v>9800</v>
      </c>
      <c r="D160" s="13" t="n">
        <v>150200</v>
      </c>
      <c r="E160" s="14" t="n">
        <v>0</v>
      </c>
      <c r="F160" s="15" t="n">
        <v>160000</v>
      </c>
      <c r="G160" s="14" t="n">
        <v>9813</v>
      </c>
      <c r="H160" s="13" t="n">
        <v>150187</v>
      </c>
    </row>
    <row r="161" customFormat="false" ht="15" hidden="false" customHeight="false" outlineLevel="0" collapsed="false">
      <c r="A161" s="8"/>
      <c r="B161" s="14" t="n">
        <v>157</v>
      </c>
      <c r="C161" s="12" t="n">
        <v>8600</v>
      </c>
      <c r="D161" s="13" t="n">
        <v>151400</v>
      </c>
      <c r="E161" s="14" t="n">
        <v>0</v>
      </c>
      <c r="F161" s="15" t="n">
        <v>160000</v>
      </c>
      <c r="G161" s="14" t="n">
        <v>8600</v>
      </c>
      <c r="H161" s="13" t="n">
        <v>151400</v>
      </c>
    </row>
    <row r="162" customFormat="false" ht="15" hidden="false" customHeight="false" outlineLevel="0" collapsed="false">
      <c r="A162" s="8"/>
      <c r="B162" s="14" t="n">
        <v>158</v>
      </c>
      <c r="C162" s="12" t="n">
        <v>7000</v>
      </c>
      <c r="D162" s="13" t="n">
        <v>153000</v>
      </c>
      <c r="E162" s="14" t="n">
        <v>16</v>
      </c>
      <c r="F162" s="15" t="n">
        <v>159984</v>
      </c>
      <c r="G162" s="14" t="n">
        <v>7001</v>
      </c>
      <c r="H162" s="13" t="n">
        <v>152999</v>
      </c>
    </row>
    <row r="163" customFormat="false" ht="15" hidden="false" customHeight="false" outlineLevel="0" collapsed="false">
      <c r="A163" s="8"/>
      <c r="B163" s="14" t="n">
        <v>159</v>
      </c>
      <c r="C163" s="12" t="n">
        <v>5000</v>
      </c>
      <c r="D163" s="13" t="n">
        <v>155000</v>
      </c>
      <c r="E163" s="14" t="n">
        <v>336</v>
      </c>
      <c r="F163" s="15" t="n">
        <v>159664</v>
      </c>
      <c r="G163" s="14" t="n">
        <v>5002</v>
      </c>
      <c r="H163" s="13" t="n">
        <v>154998</v>
      </c>
    </row>
    <row r="164" customFormat="false" ht="15" hidden="false" customHeight="false" outlineLevel="0" collapsed="false">
      <c r="A164" s="8"/>
      <c r="B164" s="14" t="n">
        <v>160</v>
      </c>
      <c r="C164" s="12" t="n">
        <v>200</v>
      </c>
      <c r="D164" s="13" t="n">
        <v>159800</v>
      </c>
      <c r="E164" s="14" t="n">
        <v>0</v>
      </c>
      <c r="F164" s="15" t="n">
        <v>160000</v>
      </c>
      <c r="G164" s="14" t="n">
        <v>0</v>
      </c>
      <c r="H164" s="13" t="n">
        <v>160000</v>
      </c>
    </row>
    <row r="165" customFormat="false" ht="15" hidden="false" customHeight="false" outlineLevel="0" collapsed="false">
      <c r="A165" s="8"/>
      <c r="B165" s="16" t="s">
        <v>8</v>
      </c>
      <c r="C165" s="17" t="n">
        <f aca="false">SUM(C4:C164)</f>
        <v>4016231</v>
      </c>
      <c r="D165" s="18" t="n">
        <f aca="false">SUM(D4:D164)</f>
        <v>21743769</v>
      </c>
      <c r="E165" s="19" t="n">
        <f aca="false">SUM(E4:E164)</f>
        <v>142984</v>
      </c>
      <c r="F165" s="20" t="n">
        <f aca="false">SUM(F4:F164)</f>
        <v>25617016</v>
      </c>
      <c r="G165" s="19" t="n">
        <f aca="false">SUM(G4:G164)</f>
        <v>4016205</v>
      </c>
      <c r="H165" s="18" t="n">
        <f aca="false">SUM(H4:H164)</f>
        <v>21743795</v>
      </c>
    </row>
    <row r="170" customFormat="false" ht="15" hidden="false" customHeight="false" outlineLevel="0" collapsed="false">
      <c r="A170" s="2"/>
      <c r="B170" s="3" t="s">
        <v>0</v>
      </c>
      <c r="C170" s="21" t="s">
        <v>9</v>
      </c>
      <c r="D170" s="21"/>
      <c r="E170" s="21"/>
      <c r="F170" s="21"/>
      <c r="G170" s="21"/>
      <c r="H170" s="21"/>
    </row>
    <row r="171" customFormat="false" ht="15" hidden="false" customHeight="false" outlineLevel="0" collapsed="false">
      <c r="A171" s="2"/>
      <c r="B171" s="3"/>
      <c r="C171" s="21" t="s">
        <v>3</v>
      </c>
      <c r="D171" s="21"/>
      <c r="E171" s="21"/>
      <c r="F171" s="7" t="s">
        <v>4</v>
      </c>
      <c r="G171" s="7"/>
      <c r="H171" s="7"/>
    </row>
    <row r="172" customFormat="false" ht="15" hidden="false" customHeight="false" outlineLevel="0" collapsed="false">
      <c r="A172" s="8" t="s">
        <v>10</v>
      </c>
      <c r="B172" s="3"/>
      <c r="C172" s="27" t="str">
        <f aca="false">'Comparison with original'!E3</f>
        <v>#e65a4a</v>
      </c>
      <c r="D172" s="22" t="str">
        <f aca="false">'Comparison with original'!F3</f>
        <v>#ffffff</v>
      </c>
      <c r="E172" s="23"/>
      <c r="F172" s="9" t="str">
        <f aca="false">G3</f>
        <v>#e65a49</v>
      </c>
      <c r="G172" s="22" t="str">
        <f aca="false">H3</f>
        <v>#ffffff</v>
      </c>
      <c r="H172" s="23"/>
    </row>
    <row r="173" customFormat="false" ht="15" hidden="false" customHeight="false" outlineLevel="0" collapsed="false">
      <c r="A173" s="8"/>
      <c r="B173" s="14" t="n">
        <v>0</v>
      </c>
      <c r="C173" s="12" t="n">
        <f aca="false">(ABS(C4-E4)/C4)*100</f>
        <v>0</v>
      </c>
      <c r="D173" s="14" t="n">
        <f aca="false">(ABS(D4-F4)/D4)*100</f>
        <v>0</v>
      </c>
      <c r="E173" s="23"/>
      <c r="F173" s="14" t="n">
        <f aca="false">(ABS(C4-G4)/C4)*100</f>
        <v>0</v>
      </c>
      <c r="G173" s="14" t="n">
        <f aca="false">(ABS(D4-H4)/D4)*100</f>
        <v>0</v>
      </c>
      <c r="H173" s="23"/>
    </row>
    <row r="174" customFormat="false" ht="15" hidden="false" customHeight="false" outlineLevel="0" collapsed="false">
      <c r="A174" s="8"/>
      <c r="B174" s="14" t="n">
        <v>1</v>
      </c>
      <c r="C174" s="12" t="n">
        <f aca="false">(ABS(C5-E5)/C5)*100</f>
        <v>100</v>
      </c>
      <c r="D174" s="14" t="n">
        <f aca="false">(ABS(D5-F5)/D5)*100</f>
        <v>3.2258064516129</v>
      </c>
      <c r="E174" s="23"/>
      <c r="F174" s="14" t="n">
        <f aca="false">(ABS(C5-G5)/C5)*100</f>
        <v>0.02</v>
      </c>
      <c r="G174" s="14" t="n">
        <f aca="false">(ABS(D5-H5)/D5)*100</f>
        <v>0.000645161290322581</v>
      </c>
      <c r="H174" s="23"/>
    </row>
    <row r="175" customFormat="false" ht="15" hidden="false" customHeight="false" outlineLevel="0" collapsed="false">
      <c r="A175" s="8"/>
      <c r="B175" s="14" t="n">
        <v>2</v>
      </c>
      <c r="C175" s="12" t="n">
        <f aca="false">(ABS(C6-E6)/C6)*100</f>
        <v>100</v>
      </c>
      <c r="D175" s="14" t="n">
        <f aca="false">(ABS(D6-F6)/D6)*100</f>
        <v>4.57516339869281</v>
      </c>
      <c r="E175" s="23"/>
      <c r="F175" s="14" t="n">
        <f aca="false">(ABS(C6-G6)/C6)*100</f>
        <v>0.185714285714286</v>
      </c>
      <c r="G175" s="14" t="n">
        <f aca="false">(ABS(D6-H6)/D6)*100</f>
        <v>0.00849673202614379</v>
      </c>
      <c r="H175" s="23"/>
    </row>
    <row r="176" customFormat="false" ht="15" hidden="false" customHeight="false" outlineLevel="0" collapsed="false">
      <c r="A176" s="8"/>
      <c r="B176" s="14" t="n">
        <v>3</v>
      </c>
      <c r="C176" s="12" t="n">
        <f aca="false">(ABS(C7-E7)/C7)*100</f>
        <v>100</v>
      </c>
      <c r="D176" s="14" t="n">
        <f aca="false">(ABS(D7-F7)/D7)*100</f>
        <v>5.68031704095112</v>
      </c>
      <c r="E176" s="23"/>
      <c r="F176" s="14" t="n">
        <f aca="false">(ABS(C7-G7)/C7)*100</f>
        <v>0.0116279069767442</v>
      </c>
      <c r="G176" s="14" t="n">
        <f aca="false">(ABS(D7-H7)/D7)*100</f>
        <v>0.000660501981505945</v>
      </c>
      <c r="H176" s="23"/>
    </row>
    <row r="177" customFormat="false" ht="15" hidden="false" customHeight="false" outlineLevel="0" collapsed="false">
      <c r="A177" s="8"/>
      <c r="B177" s="14" t="n">
        <v>4</v>
      </c>
      <c r="C177" s="12" t="n">
        <f aca="false">(ABS(C8-E8)/C8)*100</f>
        <v>99.9898011218766</v>
      </c>
      <c r="D177" s="14" t="n">
        <f aca="false">(ABS(D8-F8)/D8)*100</f>
        <v>6.52751423149905</v>
      </c>
      <c r="E177" s="23"/>
      <c r="F177" s="14" t="n">
        <f aca="false">(ABS(C8-G8)/C8)*100</f>
        <v>0.0203977562468129</v>
      </c>
      <c r="G177" s="14" t="n">
        <f aca="false">(ABS(D8-H8)/D8)*100</f>
        <v>0.0013316022504078</v>
      </c>
      <c r="H177" s="23"/>
    </row>
    <row r="178" customFormat="false" ht="15" hidden="false" customHeight="false" outlineLevel="0" collapsed="false">
      <c r="A178" s="8"/>
      <c r="B178" s="14" t="n">
        <v>5</v>
      </c>
      <c r="C178" s="12" t="n">
        <f aca="false">(ABS(C9-E9)/C9)*100</f>
        <v>99.9181818181818</v>
      </c>
      <c r="D178" s="14" t="n">
        <f aca="false">(ABS(D9-F9)/D9)*100</f>
        <v>7.37651006711409</v>
      </c>
      <c r="E178" s="23"/>
      <c r="F178" s="14" t="n">
        <f aca="false">(ABS(C9-G9)/C9)*100</f>
        <v>0.00909090909090909</v>
      </c>
      <c r="G178" s="14" t="n">
        <f aca="false">(ABS(D9-H9)/D9)*100</f>
        <v>0.000671140939597316</v>
      </c>
      <c r="H178" s="23"/>
    </row>
    <row r="179" customFormat="false" ht="15" hidden="false" customHeight="false" outlineLevel="0" collapsed="false">
      <c r="A179" s="8"/>
      <c r="B179" s="14" t="n">
        <v>6</v>
      </c>
      <c r="C179" s="12" t="n">
        <f aca="false">(ABS(C10-E10)/C10)*100</f>
        <v>99.8934426229508</v>
      </c>
      <c r="D179" s="14" t="n">
        <f aca="false">(ABS(D10-F10)/D10)*100</f>
        <v>8.24560216508796</v>
      </c>
      <c r="E179" s="23"/>
      <c r="F179" s="14" t="n">
        <f aca="false">(ABS(C10-G10)/C10)*100</f>
        <v>0.0163934426229508</v>
      </c>
      <c r="G179" s="14" t="n">
        <f aca="false">(ABS(D10-H10)/D10)*100</f>
        <v>0.0013531799729364</v>
      </c>
      <c r="H179" s="23"/>
    </row>
    <row r="180" customFormat="false" ht="15" hidden="false" customHeight="false" outlineLevel="0" collapsed="false">
      <c r="A180" s="8"/>
      <c r="B180" s="14" t="n">
        <v>7</v>
      </c>
      <c r="C180" s="12" t="n">
        <f aca="false">(ABS(C11-E11)/C11)*100</f>
        <v>99.7076698207554</v>
      </c>
      <c r="D180" s="14" t="n">
        <f aca="false">(ABS(D11-F11)/D11)*100</f>
        <v>8.816946823491</v>
      </c>
      <c r="E180" s="23"/>
      <c r="F180" s="14" t="n">
        <f aca="false">(ABS(C11-G11)/C11)*100</f>
        <v>0.0230786983614124</v>
      </c>
      <c r="G180" s="14" t="n">
        <f aca="false">(ABS(D11-H11)/D11)*100</f>
        <v>0.00204080244352079</v>
      </c>
      <c r="H180" s="23"/>
    </row>
    <row r="181" customFormat="false" ht="15" hidden="false" customHeight="false" outlineLevel="0" collapsed="false">
      <c r="A181" s="8"/>
      <c r="B181" s="14" t="n">
        <v>8</v>
      </c>
      <c r="C181" s="12" t="n">
        <f aca="false">(ABS(C12-E12)/C12)*100</f>
        <v>99.6884057971015</v>
      </c>
      <c r="D181" s="14" t="n">
        <f aca="false">(ABS(D12-F12)/D12)*100</f>
        <v>9.40971272229822</v>
      </c>
      <c r="E181" s="23"/>
      <c r="F181" s="14" t="n">
        <f aca="false">(ABS(C12-G12)/C12)*100</f>
        <v>0.0072463768115942</v>
      </c>
      <c r="G181" s="14" t="n">
        <f aca="false">(ABS(D12-H12)/D12)*100</f>
        <v>0.000683994528043776</v>
      </c>
      <c r="H181" s="23"/>
    </row>
    <row r="182" customFormat="false" ht="15" hidden="false" customHeight="false" outlineLevel="0" collapsed="false">
      <c r="A182" s="8"/>
      <c r="B182" s="14" t="n">
        <v>9</v>
      </c>
      <c r="C182" s="12" t="n">
        <f aca="false">(ABS(C13-E13)/C13)*100</f>
        <v>99.7191780821918</v>
      </c>
      <c r="D182" s="14" t="n">
        <f aca="false">(ABS(D13-F13)/D13)*100</f>
        <v>10.0130674002751</v>
      </c>
      <c r="E182" s="23"/>
      <c r="F182" s="14" t="n">
        <f aca="false">(ABS(C13-G13)/C13)*100</f>
        <v>0.0136986301369863</v>
      </c>
      <c r="G182" s="14" t="n">
        <f aca="false">(ABS(D13-H13)/D13)*100</f>
        <v>0.00137551581843191</v>
      </c>
      <c r="H182" s="23"/>
    </row>
    <row r="183" customFormat="false" ht="15" hidden="false" customHeight="false" outlineLevel="0" collapsed="false">
      <c r="A183" s="8"/>
      <c r="B183" s="14" t="n">
        <v>10</v>
      </c>
      <c r="C183" s="12" t="n">
        <f aca="false">(ABS(C14-E14)/C14)*100</f>
        <v>99.9805194805195</v>
      </c>
      <c r="D183" s="14" t="n">
        <f aca="false">(ABS(D14-F14)/D14)*100</f>
        <v>10.6479944674965</v>
      </c>
      <c r="E183" s="23"/>
      <c r="F183" s="14" t="n">
        <f aca="false">(ABS(C14-G14)/C14)*100</f>
        <v>0.012987012987013</v>
      </c>
      <c r="G183" s="14" t="n">
        <f aca="false">(ABS(D14-H14)/D14)*100</f>
        <v>0.00138312586445367</v>
      </c>
      <c r="H183" s="23"/>
    </row>
    <row r="184" customFormat="false" ht="15" hidden="false" customHeight="false" outlineLevel="0" collapsed="false">
      <c r="A184" s="8"/>
      <c r="B184" s="14" t="n">
        <v>11</v>
      </c>
      <c r="C184" s="12" t="n">
        <f aca="false">(ABS(C15-E15)/C15)*100</f>
        <v>100</v>
      </c>
      <c r="D184" s="14" t="n">
        <f aca="false">(ABS(D15-F15)/D15)*100</f>
        <v>11.2656467315716</v>
      </c>
      <c r="E184" s="23"/>
      <c r="F184" s="14" t="n">
        <f aca="false">(ABS(C15-G15)/C15)*100</f>
        <v>0.0123456790123457</v>
      </c>
      <c r="G184" s="14" t="n">
        <f aca="false">(ABS(D15-H15)/D15)*100</f>
        <v>0.00139082058414465</v>
      </c>
      <c r="H184" s="23"/>
    </row>
    <row r="185" customFormat="false" ht="15" hidden="false" customHeight="false" outlineLevel="0" collapsed="false">
      <c r="A185" s="8"/>
      <c r="B185" s="14" t="n">
        <v>12</v>
      </c>
      <c r="C185" s="12" t="n">
        <f aca="false">(ABS(C16-E16)/C16)*100</f>
        <v>99.958821107124</v>
      </c>
      <c r="D185" s="14" t="n">
        <f aca="false">(ABS(D16-F16)/D16)*100</f>
        <v>11.8824343885707</v>
      </c>
      <c r="E185" s="23"/>
      <c r="F185" s="14" t="n">
        <f aca="false">(ABS(C16-G16)/C16)*100</f>
        <v>0.0117653979645862</v>
      </c>
      <c r="G185" s="14" t="n">
        <f aca="false">(ABS(D16-H16)/D16)*100</f>
        <v>0.00139859161824043</v>
      </c>
      <c r="H185" s="23"/>
    </row>
    <row r="186" customFormat="false" ht="15" hidden="false" customHeight="false" outlineLevel="0" collapsed="false">
      <c r="A186" s="8"/>
      <c r="B186" s="14" t="n">
        <v>13</v>
      </c>
      <c r="C186" s="12" t="n">
        <f aca="false">(ABS(C17-E17)/C17)*100</f>
        <v>99.6954198034596</v>
      </c>
      <c r="D186" s="14" t="n">
        <f aca="false">(ABS(D17-F17)/D17)*100</f>
        <v>12.1655832088584</v>
      </c>
      <c r="E186" s="23"/>
      <c r="F186" s="14" t="n">
        <f aca="false">(ABS(C17-G17)/C17)*100</f>
        <v>0.00574679616114016</v>
      </c>
      <c r="G186" s="14" t="n">
        <f aca="false">(ABS(D17-H17)/D17)*100</f>
        <v>0.00070126718981199</v>
      </c>
      <c r="H186" s="23"/>
    </row>
    <row r="187" customFormat="false" ht="15" hidden="false" customHeight="false" outlineLevel="0" collapsed="false">
      <c r="A187" s="8"/>
      <c r="B187" s="14" t="n">
        <v>14</v>
      </c>
      <c r="C187" s="12" t="n">
        <f aca="false">(ABS(C18-E18)/C18)*100</f>
        <v>99.9340659340659</v>
      </c>
      <c r="D187" s="14" t="n">
        <f aca="false">(ABS(D18-F18)/D18)*100</f>
        <v>12.8265162200282</v>
      </c>
      <c r="E187" s="23"/>
      <c r="F187" s="14" t="n">
        <f aca="false">(ABS(C18-G18)/C18)*100</f>
        <v>0.00549450549450549</v>
      </c>
      <c r="G187" s="14" t="n">
        <f aca="false">(ABS(D18-H18)/D18)*100</f>
        <v>0.000705218617771509</v>
      </c>
      <c r="H187" s="23"/>
    </row>
    <row r="188" customFormat="false" ht="15" hidden="false" customHeight="false" outlineLevel="0" collapsed="false">
      <c r="A188" s="8"/>
      <c r="B188" s="14" t="n">
        <v>15</v>
      </c>
      <c r="C188" s="12" t="n">
        <f aca="false">(ABS(C19-E19)/C19)*100</f>
        <v>99.9731182795699</v>
      </c>
      <c r="D188" s="14" t="n">
        <f aca="false">(ABS(D19-F19)/D19)*100</f>
        <v>13.1506364922207</v>
      </c>
      <c r="E188" s="23"/>
      <c r="F188" s="14" t="n">
        <f aca="false">(ABS(C19-G19)/C19)*100</f>
        <v>0.0161290322580645</v>
      </c>
      <c r="G188" s="14" t="n">
        <f aca="false">(ABS(D19-H19)/D19)*100</f>
        <v>0.00212164073550212</v>
      </c>
      <c r="H188" s="23"/>
    </row>
    <row r="189" customFormat="false" ht="15" hidden="false" customHeight="false" outlineLevel="0" collapsed="false">
      <c r="A189" s="8"/>
      <c r="B189" s="14" t="n">
        <v>16</v>
      </c>
      <c r="C189" s="12" t="n">
        <f aca="false">(ABS(C20-E20)/C20)*100</f>
        <v>99.9587628865979</v>
      </c>
      <c r="D189" s="14" t="n">
        <f aca="false">(ABS(D20-F20)/D20)*100</f>
        <v>13.7923186344239</v>
      </c>
      <c r="E189" s="23"/>
      <c r="F189" s="14" t="n">
        <f aca="false">(ABS(C20-G20)/C20)*100</f>
        <v>0.0154639175257732</v>
      </c>
      <c r="G189" s="14" t="n">
        <f aca="false">(ABS(D20-H20)/D20)*100</f>
        <v>0.00213371266002845</v>
      </c>
      <c r="H189" s="23"/>
    </row>
    <row r="190" customFormat="false" ht="15" hidden="false" customHeight="false" outlineLevel="0" collapsed="false">
      <c r="A190" s="8"/>
      <c r="B190" s="14" t="n">
        <v>17</v>
      </c>
      <c r="C190" s="12" t="n">
        <f aca="false">(ABS(C21-E21)/C21)*100</f>
        <v>99.989898989899</v>
      </c>
      <c r="D190" s="14" t="n">
        <f aca="false">(ABS(D21-F21)/D21)*100</f>
        <v>14.1212553495007</v>
      </c>
      <c r="E190" s="23"/>
      <c r="F190" s="14" t="n">
        <f aca="false">(ABS(C21-G21)/C21)*100</f>
        <v>0.0101010101010101</v>
      </c>
      <c r="G190" s="14" t="n">
        <f aca="false">(ABS(D21-H21)/D21)*100</f>
        <v>0.0014265335235378</v>
      </c>
      <c r="H190" s="23"/>
    </row>
    <row r="191" customFormat="false" ht="15" hidden="false" customHeight="false" outlineLevel="0" collapsed="false">
      <c r="A191" s="8"/>
      <c r="B191" s="14" t="n">
        <v>18</v>
      </c>
      <c r="C191" s="12" t="n">
        <f aca="false">(ABS(C22-E22)/C22)*100</f>
        <v>99.5495049504951</v>
      </c>
      <c r="D191" s="14" t="n">
        <f aca="false">(ABS(D22-F22)/D22)*100</f>
        <v>14.3841201716738</v>
      </c>
      <c r="E191" s="23"/>
      <c r="F191" s="14" t="n">
        <f aca="false">(ABS(C22-G22)/C22)*100</f>
        <v>0.0099009900990099</v>
      </c>
      <c r="G191" s="14" t="n">
        <f aca="false">(ABS(D22-H22)/D22)*100</f>
        <v>0.00143061516452074</v>
      </c>
      <c r="H191" s="23"/>
    </row>
    <row r="192" customFormat="false" ht="15" hidden="false" customHeight="false" outlineLevel="0" collapsed="false">
      <c r="A192" s="8"/>
      <c r="B192" s="14" t="n">
        <v>19</v>
      </c>
      <c r="C192" s="12" t="n">
        <f aca="false">(ABS(C23-E23)/C23)*100</f>
        <v>99.7572815533981</v>
      </c>
      <c r="D192" s="14" t="n">
        <f aca="false">(ABS(D23-F23)/D23)*100</f>
        <v>14.7417503586801</v>
      </c>
      <c r="E192" s="23"/>
      <c r="F192" s="14" t="n">
        <f aca="false">(ABS(C23-G23)/C23)*100</f>
        <v>0.0145631067961165</v>
      </c>
      <c r="G192" s="14" t="n">
        <f aca="false">(ABS(D23-H23)/D23)*100</f>
        <v>0.00215208034433286</v>
      </c>
      <c r="H192" s="23"/>
    </row>
    <row r="193" customFormat="false" ht="15" hidden="false" customHeight="false" outlineLevel="0" collapsed="false">
      <c r="A193" s="8"/>
      <c r="B193" s="14" t="n">
        <v>20</v>
      </c>
      <c r="C193" s="12" t="n">
        <f aca="false">(ABS(C24-E24)/C24)*100</f>
        <v>99.8619047619048</v>
      </c>
      <c r="D193" s="14" t="n">
        <f aca="false">(ABS(D24-F24)/D24)*100</f>
        <v>15.0870503597122</v>
      </c>
      <c r="E193" s="23"/>
      <c r="F193" s="14" t="n">
        <f aca="false">(ABS(C24-G24)/C24)*100</f>
        <v>0.00952380952380953</v>
      </c>
      <c r="G193" s="14" t="n">
        <f aca="false">(ABS(D24-H24)/D24)*100</f>
        <v>0.00143884892086331</v>
      </c>
      <c r="H193" s="23"/>
    </row>
    <row r="194" customFormat="false" ht="15" hidden="false" customHeight="false" outlineLevel="0" collapsed="false">
      <c r="A194" s="8"/>
      <c r="B194" s="14" t="n">
        <v>21</v>
      </c>
      <c r="C194" s="12" t="n">
        <f aca="false">(ABS(C25-E25)/C25)*100</f>
        <v>99.9587137024634</v>
      </c>
      <c r="D194" s="14" t="n">
        <f aca="false">(ABS(D25-F25)/D25)*100</f>
        <v>15.7668902540503</v>
      </c>
      <c r="E194" s="23"/>
      <c r="F194" s="14" t="n">
        <f aca="false">(ABS(C25-G25)/C25)*100</f>
        <v>0.00917473278590761</v>
      </c>
      <c r="G194" s="14" t="n">
        <f aca="false">(ABS(D25-H25)/D25)*100</f>
        <v>0.00144716753134927</v>
      </c>
      <c r="H194" s="23"/>
    </row>
    <row r="195" customFormat="false" ht="15" hidden="false" customHeight="false" outlineLevel="0" collapsed="false">
      <c r="A195" s="8"/>
      <c r="B195" s="14" t="n">
        <v>22</v>
      </c>
      <c r="C195" s="12" t="n">
        <f aca="false">(ABS(C26-E26)/C26)*100</f>
        <v>99.9594594594595</v>
      </c>
      <c r="D195" s="14" t="n">
        <f aca="false">(ABS(D26-F26)/D26)*100</f>
        <v>16.1037735849057</v>
      </c>
      <c r="E195" s="23"/>
      <c r="F195" s="14" t="n">
        <f aca="false">(ABS(C26-G26)/C26)*100</f>
        <v>0.00900900900900901</v>
      </c>
      <c r="G195" s="14" t="n">
        <f aca="false">(ABS(D26-H26)/D26)*100</f>
        <v>0.00145137880986938</v>
      </c>
      <c r="H195" s="23"/>
    </row>
    <row r="196" customFormat="false" ht="15" hidden="false" customHeight="false" outlineLevel="0" collapsed="false">
      <c r="A196" s="8"/>
      <c r="B196" s="14" t="n">
        <v>23</v>
      </c>
      <c r="C196" s="12" t="n">
        <f aca="false">(ABS(C27-E27)/C27)*100</f>
        <v>99.9557522123894</v>
      </c>
      <c r="D196" s="14" t="n">
        <f aca="false">(ABS(D27-F27)/D27)*100</f>
        <v>16.4410480349345</v>
      </c>
      <c r="E196" s="23"/>
      <c r="F196" s="14" t="n">
        <f aca="false">(ABS(C27-G27)/C27)*100</f>
        <v>0.0132743362831858</v>
      </c>
      <c r="G196" s="14" t="n">
        <f aca="false">(ABS(D27-H27)/D27)*100</f>
        <v>0.00218340611353712</v>
      </c>
      <c r="H196" s="23"/>
    </row>
    <row r="197" customFormat="false" ht="15" hidden="false" customHeight="false" outlineLevel="0" collapsed="false">
      <c r="A197" s="8"/>
      <c r="B197" s="14" t="n">
        <v>24</v>
      </c>
      <c r="C197" s="12" t="n">
        <f aca="false">(ABS(C28-E28)/C28)*100</f>
        <v>99.4565217391304</v>
      </c>
      <c r="D197" s="14" t="n">
        <f aca="false">(ABS(D28-F28)/D28)*100</f>
        <v>16.6970802919708</v>
      </c>
      <c r="E197" s="23"/>
      <c r="F197" s="14" t="n">
        <f aca="false">(ABS(C28-G28)/C28)*100</f>
        <v>0.00434782608695652</v>
      </c>
      <c r="G197" s="14" t="n">
        <f aca="false">(ABS(D28-H28)/D28)*100</f>
        <v>0.00072992700729927</v>
      </c>
      <c r="H197" s="23"/>
    </row>
    <row r="198" customFormat="false" ht="15" hidden="false" customHeight="false" outlineLevel="0" collapsed="false">
      <c r="A198" s="8"/>
      <c r="B198" s="14" t="n">
        <v>25</v>
      </c>
      <c r="C198" s="12" t="n">
        <f aca="false">(ABS(C29-E29)/C29)*100</f>
        <v>99.9230769230769</v>
      </c>
      <c r="D198" s="14" t="n">
        <f aca="false">(ABS(D29-F29)/D29)*100</f>
        <v>17.1171303074671</v>
      </c>
      <c r="E198" s="23"/>
      <c r="F198" s="14" t="n">
        <f aca="false">(ABS(C29-G29)/C29)*100</f>
        <v>0.00854700854700855</v>
      </c>
      <c r="G198" s="14" t="n">
        <f aca="false">(ABS(D29-H29)/D29)*100</f>
        <v>0.00146412884333821</v>
      </c>
      <c r="H198" s="23"/>
    </row>
    <row r="199" customFormat="false" ht="15" hidden="false" customHeight="false" outlineLevel="0" collapsed="false">
      <c r="A199" s="8"/>
      <c r="B199" s="14" t="n">
        <v>26</v>
      </c>
      <c r="C199" s="12" t="n">
        <f aca="false">(ABS(C30-E30)/C30)*100</f>
        <v>99.5294117647059</v>
      </c>
      <c r="D199" s="14" t="n">
        <f aca="false">(ABS(D30-F30)/D30)*100</f>
        <v>17.3920704845815</v>
      </c>
      <c r="E199" s="23"/>
      <c r="F199" s="14" t="n">
        <f aca="false">(ABS(C30-G30)/C30)*100</f>
        <v>0.00840336134453782</v>
      </c>
      <c r="G199" s="14" t="n">
        <f aca="false">(ABS(D30-H30)/D30)*100</f>
        <v>0.00146842878120411</v>
      </c>
      <c r="H199" s="23"/>
    </row>
    <row r="200" customFormat="false" ht="15" hidden="false" customHeight="false" outlineLevel="0" collapsed="false">
      <c r="A200" s="8"/>
      <c r="B200" s="14" t="n">
        <v>27</v>
      </c>
      <c r="C200" s="12" t="n">
        <f aca="false">(ABS(C31-E31)/C31)*100</f>
        <v>99.9327731092437</v>
      </c>
      <c r="D200" s="14" t="n">
        <f aca="false">(ABS(D31-F31)/D31)*100</f>
        <v>17.4625550660793</v>
      </c>
      <c r="E200" s="23"/>
      <c r="F200" s="14" t="n">
        <f aca="false">(ABS(C31-G31)/C31)*100</f>
        <v>0.00840336134453782</v>
      </c>
      <c r="G200" s="14" t="n">
        <f aca="false">(ABS(D31-H31)/D31)*100</f>
        <v>0.00146842878120411</v>
      </c>
      <c r="H200" s="23"/>
    </row>
    <row r="201" customFormat="false" ht="15" hidden="false" customHeight="false" outlineLevel="0" collapsed="false">
      <c r="A201" s="8"/>
      <c r="B201" s="14" t="n">
        <v>28</v>
      </c>
      <c r="C201" s="12" t="n">
        <f aca="false">(ABS(C32-E32)/C32)*100</f>
        <v>99.6239514029505</v>
      </c>
      <c r="D201" s="14" t="n">
        <f aca="false">(ABS(D32-F32)/D32)*100</f>
        <v>17.7524465946495</v>
      </c>
      <c r="E201" s="23"/>
      <c r="F201" s="14" t="n">
        <f aca="false">(ABS(C32-G32)/C32)*100</f>
        <v>0.00826480433075747</v>
      </c>
      <c r="G201" s="14" t="n">
        <f aca="false">(ABS(D32-H32)/D32)*100</f>
        <v>0.00147274320513104</v>
      </c>
      <c r="H201" s="23"/>
    </row>
    <row r="202" customFormat="false" ht="15" hidden="false" customHeight="false" outlineLevel="0" collapsed="false">
      <c r="A202" s="8"/>
      <c r="B202" s="14" t="n">
        <v>29</v>
      </c>
      <c r="C202" s="12" t="n">
        <f aca="false">(ABS(C33-E33)/C33)*100</f>
        <v>99.9593495934959</v>
      </c>
      <c r="D202" s="14" t="n">
        <f aca="false">(ABS(D33-F33)/D33)*100</f>
        <v>18.1610044313146</v>
      </c>
      <c r="E202" s="23"/>
      <c r="F202" s="14" t="n">
        <f aca="false">(ABS(C33-G33)/C33)*100</f>
        <v>0.00813008130081301</v>
      </c>
      <c r="G202" s="14" t="n">
        <f aca="false">(ABS(D33-H33)/D33)*100</f>
        <v>0.00147710487444609</v>
      </c>
      <c r="H202" s="23"/>
    </row>
    <row r="203" customFormat="false" ht="15" hidden="false" customHeight="false" outlineLevel="0" collapsed="false">
      <c r="A203" s="8"/>
      <c r="B203" s="14" t="n">
        <v>30</v>
      </c>
      <c r="C203" s="12" t="n">
        <f aca="false">(ABS(C34-E34)/C34)*100</f>
        <v>99.9680051191809</v>
      </c>
      <c r="D203" s="14" t="n">
        <f aca="false">(ABS(D34-F34)/D34)*100</f>
        <v>18.5161041808646</v>
      </c>
      <c r="E203" s="23"/>
      <c r="F203" s="14" t="n">
        <f aca="false">(ABS(C34-G34)/C34)*100</f>
        <v>0.00399936010238362</v>
      </c>
      <c r="G203" s="14" t="n">
        <f aca="false">(ABS(D34-H34)/D34)*100</f>
        <v>0.000740762689264867</v>
      </c>
      <c r="H203" s="23"/>
    </row>
    <row r="204" customFormat="false" ht="15" hidden="false" customHeight="false" outlineLevel="0" collapsed="false">
      <c r="A204" s="8"/>
      <c r="B204" s="14" t="n">
        <v>31</v>
      </c>
      <c r="C204" s="12" t="n">
        <f aca="false">(ABS(C35-E35)/C35)*100</f>
        <v>99.9566929133858</v>
      </c>
      <c r="D204" s="14" t="n">
        <f aca="false">(ABS(D35-F35)/D35)*100</f>
        <v>18.8625557206538</v>
      </c>
      <c r="E204" s="23"/>
      <c r="F204" s="14" t="n">
        <f aca="false">(ABS(C35-G35)/C35)*100</f>
        <v>0.0078740157480315</v>
      </c>
      <c r="G204" s="14" t="n">
        <f aca="false">(ABS(D35-H35)/D35)*100</f>
        <v>0.00148588410104012</v>
      </c>
      <c r="H204" s="23"/>
    </row>
    <row r="205" customFormat="false" ht="15" hidden="false" customHeight="false" outlineLevel="0" collapsed="false">
      <c r="A205" s="8"/>
      <c r="B205" s="14" t="n">
        <v>32</v>
      </c>
      <c r="C205" s="12" t="n">
        <f aca="false">(ABS(C36-E36)/C36)*100</f>
        <v>99.922480620155</v>
      </c>
      <c r="D205" s="14" t="n">
        <f aca="false">(ABS(D36-F36)/D36)*100</f>
        <v>19.2101341281669</v>
      </c>
      <c r="E205" s="23"/>
      <c r="F205" s="14" t="n">
        <f aca="false">(ABS(C36-G36)/C36)*100</f>
        <v>0.00775193798449613</v>
      </c>
      <c r="G205" s="14" t="n">
        <f aca="false">(ABS(D36-H36)/D36)*100</f>
        <v>0.0014903129657228</v>
      </c>
      <c r="H205" s="23"/>
    </row>
    <row r="206" customFormat="false" ht="15" hidden="false" customHeight="false" outlineLevel="0" collapsed="false">
      <c r="A206" s="8"/>
      <c r="B206" s="14" t="n">
        <v>33</v>
      </c>
      <c r="C206" s="12" t="n">
        <f aca="false">(ABS(C37-E37)/C37)*100</f>
        <v>99.6744186046512</v>
      </c>
      <c r="D206" s="14" t="n">
        <f aca="false">(ABS(D37-F37)/D37)*100</f>
        <v>19.1624441132638</v>
      </c>
      <c r="E206" s="23"/>
      <c r="F206" s="14" t="n">
        <f aca="false">(ABS(C37-G37)/C37)*100</f>
        <v>0.00387596899224806</v>
      </c>
      <c r="G206" s="14" t="n">
        <f aca="false">(ABS(D37-H37)/D37)*100</f>
        <v>0.000745156482861401</v>
      </c>
      <c r="H206" s="23"/>
    </row>
    <row r="207" customFormat="false" ht="15" hidden="false" customHeight="false" outlineLevel="0" collapsed="false">
      <c r="A207" s="8"/>
      <c r="B207" s="14" t="n">
        <v>34</v>
      </c>
      <c r="C207" s="12" t="n">
        <f aca="false">(ABS(C38-E38)/C38)*100</f>
        <v>99.9351145038168</v>
      </c>
      <c r="D207" s="14" t="n">
        <f aca="false">(ABS(D38-F38)/D38)*100</f>
        <v>19.5687593423019</v>
      </c>
      <c r="E207" s="23"/>
      <c r="F207" s="14" t="n">
        <f aca="false">(ABS(C38-G38)/C38)*100</f>
        <v>0.00381679389312977</v>
      </c>
      <c r="G207" s="14" t="n">
        <f aca="false">(ABS(D38-H38)/D38)*100</f>
        <v>0.000747384155455904</v>
      </c>
      <c r="H207" s="23"/>
    </row>
    <row r="208" customFormat="false" ht="15" hidden="false" customHeight="false" outlineLevel="0" collapsed="false">
      <c r="A208" s="8"/>
      <c r="B208" s="14" t="n">
        <v>35</v>
      </c>
      <c r="C208" s="12" t="n">
        <f aca="false">(ABS(C39-E39)/C39)*100</f>
        <v>99.9473684210526</v>
      </c>
      <c r="D208" s="14" t="n">
        <f aca="false">(ABS(D39-F39)/D39)*100</f>
        <v>19.9295352323838</v>
      </c>
      <c r="E208" s="23"/>
      <c r="F208" s="14" t="n">
        <f aca="false">(ABS(C39-G39)/C39)*100</f>
        <v>0.0075187969924812</v>
      </c>
      <c r="G208" s="14" t="n">
        <f aca="false">(ABS(D39-H39)/D39)*100</f>
        <v>0.00149925037481259</v>
      </c>
      <c r="H208" s="23"/>
    </row>
    <row r="209" customFormat="false" ht="15" hidden="false" customHeight="false" outlineLevel="0" collapsed="false">
      <c r="A209" s="8"/>
      <c r="B209" s="14" t="n">
        <v>36</v>
      </c>
      <c r="C209" s="12" t="n">
        <f aca="false">(ABS(C40-E40)/C40)*100</f>
        <v>93.5864661654135</v>
      </c>
      <c r="D209" s="14" t="n">
        <f aca="false">(ABS(D40-F40)/D40)*100</f>
        <v>18.6611694152924</v>
      </c>
      <c r="E209" s="23"/>
      <c r="F209" s="14" t="n">
        <f aca="false">(ABS(C40-G40)/C40)*100</f>
        <v>0.0075187969924812</v>
      </c>
      <c r="G209" s="14" t="n">
        <f aca="false">(ABS(D40-H40)/D40)*100</f>
        <v>0.00149925037481259</v>
      </c>
      <c r="H209" s="23"/>
    </row>
    <row r="210" customFormat="false" ht="15" hidden="false" customHeight="false" outlineLevel="0" collapsed="false">
      <c r="A210" s="8"/>
      <c r="B210" s="14" t="n">
        <v>37</v>
      </c>
      <c r="C210" s="12" t="n">
        <f aca="false">(ABS(C41-E41)/C41)*100</f>
        <v>99.9740769544125</v>
      </c>
      <c r="D210" s="14" t="n">
        <f aca="false">(ABS(D41-F41)/D41)*100</f>
        <v>20.2982022150876</v>
      </c>
      <c r="E210" s="23"/>
      <c r="F210" s="14" t="n">
        <f aca="false">(ABS(C41-G41)/C41)*100</f>
        <v>0</v>
      </c>
      <c r="G210" s="14" t="n">
        <f aca="false">(ABS(D41-H41)/D41)*100</f>
        <v>0</v>
      </c>
      <c r="H210" s="23"/>
    </row>
    <row r="211" customFormat="false" ht="15" hidden="false" customHeight="false" outlineLevel="0" collapsed="false">
      <c r="A211" s="8"/>
      <c r="B211" s="14" t="n">
        <v>38</v>
      </c>
      <c r="C211" s="12" t="n">
        <f aca="false">(ABS(C42-E42)/C42)*100</f>
        <v>99.806562283295</v>
      </c>
      <c r="D211" s="14" t="n">
        <f aca="false">(ABS(D42-F42)/D42)*100</f>
        <v>20.6227705673411</v>
      </c>
      <c r="E211" s="23"/>
      <c r="F211" s="14" t="n">
        <f aca="false">(ABS(C42-G42)/C42)*100</f>
        <v>0.00729953647943356</v>
      </c>
      <c r="G211" s="14" t="n">
        <f aca="false">(ABS(D42-H42)/D42)*100</f>
        <v>0.00150828425124999</v>
      </c>
      <c r="H211" s="23"/>
    </row>
    <row r="212" customFormat="false" ht="15" hidden="false" customHeight="false" outlineLevel="0" collapsed="false">
      <c r="A212" s="8"/>
      <c r="B212" s="14" t="n">
        <v>39</v>
      </c>
      <c r="C212" s="12" t="n">
        <f aca="false">(ABS(C43-E43)/C43)*100</f>
        <v>97.0948905109489</v>
      </c>
      <c r="D212" s="14" t="n">
        <f aca="false">(ABS(D43-F43)/D43)*100</f>
        <v>20.0633484162896</v>
      </c>
      <c r="E212" s="23"/>
      <c r="F212" s="14" t="n">
        <f aca="false">(ABS(C43-G43)/C43)*100</f>
        <v>0.00364963503649635</v>
      </c>
      <c r="G212" s="14" t="n">
        <f aca="false">(ABS(D43-H43)/D43)*100</f>
        <v>0.000754147812971342</v>
      </c>
      <c r="H212" s="23"/>
    </row>
    <row r="213" customFormat="false" ht="15" hidden="false" customHeight="false" outlineLevel="0" collapsed="false">
      <c r="A213" s="8"/>
      <c r="B213" s="14" t="n">
        <v>40</v>
      </c>
      <c r="C213" s="12" t="n">
        <f aca="false">(ABS(C44-E44)/C44)*100</f>
        <v>99.9748201438849</v>
      </c>
      <c r="D213" s="14" t="n">
        <f aca="false">(ABS(D44-F44)/D44)*100</f>
        <v>21.0234493192133</v>
      </c>
      <c r="E213" s="23"/>
      <c r="F213" s="14" t="n">
        <f aca="false">(ABS(C44-G44)/C44)*100</f>
        <v>0</v>
      </c>
      <c r="G213" s="14" t="n">
        <f aca="false">(ABS(D44-H44)/D44)*100</f>
        <v>0</v>
      </c>
      <c r="H213" s="23"/>
    </row>
    <row r="214" customFormat="false" ht="15" hidden="false" customHeight="false" outlineLevel="0" collapsed="false">
      <c r="A214" s="8"/>
      <c r="B214" s="14" t="n">
        <v>41</v>
      </c>
      <c r="C214" s="12" t="n">
        <f aca="false">(ABS(C45-E45)/C45)*100</f>
        <v>99.9244604316547</v>
      </c>
      <c r="D214" s="14" t="n">
        <f aca="false">(ABS(D45-F45)/D45)*100</f>
        <v>21.0128593040847</v>
      </c>
      <c r="E214" s="23"/>
      <c r="F214" s="14" t="n">
        <f aca="false">(ABS(C45-G45)/C45)*100</f>
        <v>0</v>
      </c>
      <c r="G214" s="14" t="n">
        <f aca="false">(ABS(D45-H45)/D45)*100</f>
        <v>0</v>
      </c>
      <c r="H214" s="23"/>
    </row>
    <row r="215" customFormat="false" ht="15" hidden="false" customHeight="false" outlineLevel="0" collapsed="false">
      <c r="A215" s="8"/>
      <c r="B215" s="14" t="n">
        <v>42</v>
      </c>
      <c r="C215" s="12" t="n">
        <f aca="false">(ABS(C46-E46)/C46)*100</f>
        <v>99.6631205673759</v>
      </c>
      <c r="D215" s="14" t="n">
        <f aca="false">(ABS(D46-F46)/D46)*100</f>
        <v>21.3239757207891</v>
      </c>
      <c r="E215" s="23"/>
      <c r="F215" s="14" t="n">
        <f aca="false">(ABS(C46-G46)/C46)*100</f>
        <v>0.00354609929078014</v>
      </c>
      <c r="G215" s="14" t="n">
        <f aca="false">(ABS(D46-H46)/D46)*100</f>
        <v>0.000758725341426404</v>
      </c>
      <c r="H215" s="23"/>
    </row>
    <row r="216" customFormat="false" ht="15" hidden="false" customHeight="false" outlineLevel="0" collapsed="false">
      <c r="A216" s="8"/>
      <c r="B216" s="14" t="n">
        <v>43</v>
      </c>
      <c r="C216" s="12" t="n">
        <f aca="false">(ABS(C47-E47)/C47)*100</f>
        <v>99.322695035461</v>
      </c>
      <c r="D216" s="14" t="n">
        <f aca="false">(ABS(D47-F47)/D47)*100</f>
        <v>21.2511380880121</v>
      </c>
      <c r="E216" s="23"/>
      <c r="F216" s="14" t="n">
        <f aca="false">(ABS(C47-G47)/C47)*100</f>
        <v>0</v>
      </c>
      <c r="G216" s="14" t="n">
        <f aca="false">(ABS(D47-H47)/D47)*100</f>
        <v>0</v>
      </c>
      <c r="H216" s="23"/>
    </row>
    <row r="217" customFormat="false" ht="15" hidden="false" customHeight="false" outlineLevel="0" collapsed="false">
      <c r="A217" s="8"/>
      <c r="B217" s="14" t="n">
        <v>44</v>
      </c>
      <c r="C217" s="12" t="n">
        <f aca="false">(ABS(C48-E48)/C48)*100</f>
        <v>99.3601398601399</v>
      </c>
      <c r="D217" s="14" t="n">
        <f aca="false">(ABS(D48-F48)/D48)*100</f>
        <v>21.6263318112633</v>
      </c>
      <c r="E217" s="23"/>
      <c r="F217" s="14" t="n">
        <f aca="false">(ABS(C48-G48)/C48)*100</f>
        <v>0.0034965034965035</v>
      </c>
      <c r="G217" s="14" t="n">
        <f aca="false">(ABS(D48-H48)/D48)*100</f>
        <v>0.00076103500761035</v>
      </c>
      <c r="H217" s="23"/>
    </row>
    <row r="218" customFormat="false" ht="15" hidden="false" customHeight="false" outlineLevel="0" collapsed="false">
      <c r="A218" s="8"/>
      <c r="B218" s="14" t="n">
        <v>45</v>
      </c>
      <c r="C218" s="12" t="n">
        <f aca="false">(ABS(C49-E49)/C49)*100</f>
        <v>99.9545438651701</v>
      </c>
      <c r="D218" s="14" t="n">
        <f aca="false">(ABS(D49-F49)/D49)*100</f>
        <v>21.754781166049</v>
      </c>
      <c r="E218" s="23"/>
      <c r="F218" s="14" t="n">
        <f aca="false">(ABS(C49-G49)/C49)*100</f>
        <v>0</v>
      </c>
      <c r="G218" s="14" t="n">
        <f aca="false">(ABS(D49-H49)/D49)*100</f>
        <v>0</v>
      </c>
      <c r="H218" s="23"/>
    </row>
    <row r="219" customFormat="false" ht="15" hidden="false" customHeight="false" outlineLevel="0" collapsed="false">
      <c r="A219" s="8"/>
      <c r="B219" s="14" t="n">
        <v>46</v>
      </c>
      <c r="C219" s="12" t="n">
        <f aca="false">(ABS(C50-E50)/C50)*100</f>
        <v>97.8068965517241</v>
      </c>
      <c r="D219" s="14" t="n">
        <f aca="false">(ABS(D50-F50)/D50)*100</f>
        <v>21.6519083969466</v>
      </c>
      <c r="E219" s="23"/>
      <c r="F219" s="14" t="n">
        <f aca="false">(ABS(C50-G50)/C50)*100</f>
        <v>0.00344827586206897</v>
      </c>
      <c r="G219" s="14" t="n">
        <f aca="false">(ABS(D50-H50)/D50)*100</f>
        <v>0.000763358778625954</v>
      </c>
      <c r="H219" s="23"/>
    </row>
    <row r="220" customFormat="false" ht="15" hidden="false" customHeight="false" outlineLevel="0" collapsed="false">
      <c r="A220" s="8"/>
      <c r="B220" s="14" t="n">
        <v>47</v>
      </c>
      <c r="C220" s="12" t="n">
        <f aca="false">(ABS(C51-E51)/C51)*100</f>
        <v>99.2620689655172</v>
      </c>
      <c r="D220" s="14" t="n">
        <f aca="false">(ABS(D51-F51)/D51)*100</f>
        <v>21.9740458015267</v>
      </c>
      <c r="E220" s="23"/>
      <c r="F220" s="14" t="n">
        <f aca="false">(ABS(C51-G51)/C51)*100</f>
        <v>0.00344827586206897</v>
      </c>
      <c r="G220" s="14" t="n">
        <f aca="false">(ABS(D51-H51)/D51)*100</f>
        <v>0.000763358778625954</v>
      </c>
      <c r="H220" s="23"/>
    </row>
    <row r="221" customFormat="false" ht="15" hidden="false" customHeight="false" outlineLevel="0" collapsed="false">
      <c r="A221" s="8"/>
      <c r="B221" s="14" t="n">
        <v>48</v>
      </c>
      <c r="C221" s="12" t="n">
        <f aca="false">(ABS(C52-E52)/C52)*100</f>
        <v>99.2278911564626</v>
      </c>
      <c r="D221" s="14" t="n">
        <f aca="false">(ABS(D52-F52)/D52)*100</f>
        <v>22.3376722817764</v>
      </c>
      <c r="E221" s="23"/>
      <c r="F221" s="14" t="n">
        <f aca="false">(ABS(C52-G52)/C52)*100</f>
        <v>0.00340136054421769</v>
      </c>
      <c r="G221" s="14" t="n">
        <f aca="false">(ABS(D52-H52)/D52)*100</f>
        <v>0.000765696784073507</v>
      </c>
      <c r="H221" s="23"/>
    </row>
    <row r="222" customFormat="false" ht="15" hidden="false" customHeight="false" outlineLevel="0" collapsed="false">
      <c r="A222" s="8"/>
      <c r="B222" s="14" t="n">
        <v>49</v>
      </c>
      <c r="C222" s="12" t="n">
        <f aca="false">(ABS(C53-E53)/C53)*100</f>
        <v>99.6258503401361</v>
      </c>
      <c r="D222" s="14" t="n">
        <f aca="false">(ABS(D53-F53)/D53)*100</f>
        <v>22.427258805513</v>
      </c>
      <c r="E222" s="23"/>
      <c r="F222" s="14" t="n">
        <f aca="false">(ABS(C53-G53)/C53)*100</f>
        <v>0</v>
      </c>
      <c r="G222" s="14" t="n">
        <f aca="false">(ABS(D53-H53)/D53)*100</f>
        <v>0</v>
      </c>
      <c r="H222" s="23"/>
    </row>
    <row r="223" customFormat="false" ht="15" hidden="false" customHeight="false" outlineLevel="0" collapsed="false">
      <c r="A223" s="8"/>
      <c r="B223" s="14" t="n">
        <v>50</v>
      </c>
      <c r="C223" s="12" t="n">
        <f aca="false">(ABS(C54-E54)/C54)*100</f>
        <v>99.8489932885906</v>
      </c>
      <c r="D223" s="14" t="n">
        <f aca="false">(ABS(D54-F54)/D54)*100</f>
        <v>22.8533026113671</v>
      </c>
      <c r="E223" s="23"/>
      <c r="F223" s="14" t="n">
        <f aca="false">(ABS(C54-G54)/C54)*100</f>
        <v>0.00335570469798658</v>
      </c>
      <c r="G223" s="14" t="n">
        <f aca="false">(ABS(D54-H54)/D54)*100</f>
        <v>0.000768049155145929</v>
      </c>
      <c r="H223" s="23"/>
    </row>
    <row r="224" customFormat="false" ht="15" hidden="false" customHeight="false" outlineLevel="0" collapsed="false">
      <c r="A224" s="8"/>
      <c r="B224" s="14" t="n">
        <v>51</v>
      </c>
      <c r="C224" s="12" t="n">
        <f aca="false">(ABS(C55-E55)/C55)*100</f>
        <v>98.4563758389262</v>
      </c>
      <c r="D224" s="14" t="n">
        <f aca="false">(ABS(D55-F55)/D55)*100</f>
        <v>22.5345622119816</v>
      </c>
      <c r="E224" s="23"/>
      <c r="F224" s="14" t="n">
        <f aca="false">(ABS(C55-G55)/C55)*100</f>
        <v>0</v>
      </c>
      <c r="G224" s="14" t="n">
        <f aca="false">(ABS(D55-H55)/D55)*100</f>
        <v>0</v>
      </c>
      <c r="H224" s="23"/>
    </row>
    <row r="225" customFormat="false" ht="15" hidden="false" customHeight="false" outlineLevel="0" collapsed="false">
      <c r="A225" s="8"/>
      <c r="B225" s="14" t="n">
        <v>52</v>
      </c>
      <c r="C225" s="12" t="n">
        <f aca="false">(ABS(C56-E56)/C56)*100</f>
        <v>99.9093929326487</v>
      </c>
      <c r="D225" s="14" t="n">
        <f aca="false">(ABS(D56-F56)/D56)*100</f>
        <v>22.8661838234729</v>
      </c>
      <c r="E225" s="23"/>
      <c r="F225" s="14" t="n">
        <f aca="false">(ABS(C56-G56)/C56)*100</f>
        <v>0</v>
      </c>
      <c r="G225" s="14" t="n">
        <f aca="false">(ABS(D56-H56)/D56)*100</f>
        <v>0</v>
      </c>
      <c r="H225" s="23"/>
    </row>
    <row r="226" customFormat="false" ht="15" hidden="false" customHeight="false" outlineLevel="0" collapsed="false">
      <c r="A226" s="8"/>
      <c r="B226" s="14" t="n">
        <v>53</v>
      </c>
      <c r="C226" s="12" t="n">
        <f aca="false">(ABS(C57-E57)/C57)*100</f>
        <v>99.8211920529801</v>
      </c>
      <c r="D226" s="14" t="n">
        <f aca="false">(ABS(D57-F57)/D57)*100</f>
        <v>23.2249614791988</v>
      </c>
      <c r="E226" s="23"/>
      <c r="F226" s="14" t="n">
        <f aca="false">(ABS(C57-G57)/C57)*100</f>
        <v>0</v>
      </c>
      <c r="G226" s="14" t="n">
        <f aca="false">(ABS(D57-H57)/D57)*100</f>
        <v>0</v>
      </c>
      <c r="H226" s="23"/>
    </row>
    <row r="227" customFormat="false" ht="15" hidden="false" customHeight="false" outlineLevel="0" collapsed="false">
      <c r="A227" s="8"/>
      <c r="B227" s="14" t="n">
        <v>54</v>
      </c>
      <c r="C227" s="12" t="n">
        <f aca="false">(ABS(C58-E58)/C58)*100</f>
        <v>90.9557387360546</v>
      </c>
      <c r="D227" s="14" t="n">
        <f aca="false">(ABS(D58-F58)/D58)*100</f>
        <v>21.1683218663564</v>
      </c>
      <c r="E227" s="23"/>
      <c r="F227" s="14" t="n">
        <f aca="false">(ABS(C58-G58)/C58)*100</f>
        <v>0.00993147283742179</v>
      </c>
      <c r="G227" s="14" t="n">
        <f aca="false">(ABS(D58-H58)/D58)*100</f>
        <v>0.00231137272426094</v>
      </c>
      <c r="H227" s="23"/>
    </row>
    <row r="228" customFormat="false" ht="15" hidden="false" customHeight="false" outlineLevel="0" collapsed="false">
      <c r="A228" s="8"/>
      <c r="B228" s="14" t="n">
        <v>55</v>
      </c>
      <c r="C228" s="12" t="n">
        <f aca="false">(ABS(C59-E59)/C59)*100</f>
        <v>99.705298013245</v>
      </c>
      <c r="D228" s="14" t="n">
        <f aca="false">(ABS(D59-F59)/D59)*100</f>
        <v>23.1979969183359</v>
      </c>
      <c r="E228" s="23"/>
      <c r="F228" s="14" t="n">
        <f aca="false">(ABS(C59-G59)/C59)*100</f>
        <v>0</v>
      </c>
      <c r="G228" s="14" t="n">
        <f aca="false">(ABS(D59-H59)/D59)*100</f>
        <v>0</v>
      </c>
      <c r="H228" s="23"/>
    </row>
    <row r="229" customFormat="false" ht="15" hidden="false" customHeight="false" outlineLevel="0" collapsed="false">
      <c r="A229" s="8"/>
      <c r="B229" s="14" t="n">
        <v>56</v>
      </c>
      <c r="C229" s="12" t="n">
        <f aca="false">(ABS(C60-E60)/C60)*100</f>
        <v>98.8104575163399</v>
      </c>
      <c r="D229" s="14" t="n">
        <f aca="false">(ABS(D60-F60)/D60)*100</f>
        <v>23.3663060278207</v>
      </c>
      <c r="E229" s="23"/>
      <c r="F229" s="14" t="n">
        <f aca="false">(ABS(C60-G60)/C60)*100</f>
        <v>0</v>
      </c>
      <c r="G229" s="14" t="n">
        <f aca="false">(ABS(D60-H60)/D60)*100</f>
        <v>0</v>
      </c>
      <c r="H229" s="23"/>
    </row>
    <row r="230" customFormat="false" ht="15" hidden="false" customHeight="false" outlineLevel="0" collapsed="false">
      <c r="A230" s="8"/>
      <c r="B230" s="14" t="n">
        <v>57</v>
      </c>
      <c r="C230" s="12" t="n">
        <f aca="false">(ABS(C61-E61)/C61)*100</f>
        <v>94.0455570443479</v>
      </c>
      <c r="D230" s="14" t="n">
        <f aca="false">(ABS(D61-F61)/D61)*100</f>
        <v>22.2386225763325</v>
      </c>
      <c r="E230" s="23"/>
      <c r="F230" s="14" t="n">
        <f aca="false">(ABS(C61-G61)/C61)*100</f>
        <v>0</v>
      </c>
      <c r="G230" s="14" t="n">
        <f aca="false">(ABS(D61-H61)/D61)*100</f>
        <v>0</v>
      </c>
      <c r="H230" s="23"/>
    </row>
    <row r="231" customFormat="false" ht="15" hidden="false" customHeight="false" outlineLevel="0" collapsed="false">
      <c r="A231" s="8"/>
      <c r="B231" s="14" t="n">
        <v>58</v>
      </c>
      <c r="C231" s="12" t="n">
        <f aca="false">(ABS(C62-E62)/C62)*100</f>
        <v>99.5882352941176</v>
      </c>
      <c r="D231" s="14" t="n">
        <f aca="false">(ABS(D62-F62)/D62)*100</f>
        <v>23.5502318392581</v>
      </c>
      <c r="E231" s="23"/>
      <c r="F231" s="14" t="n">
        <f aca="false">(ABS(C62-G62)/C62)*100</f>
        <v>0</v>
      </c>
      <c r="G231" s="14" t="n">
        <f aca="false">(ABS(D62-H62)/D62)*100</f>
        <v>0</v>
      </c>
      <c r="H231" s="23"/>
    </row>
    <row r="232" customFormat="false" ht="15" hidden="false" customHeight="false" outlineLevel="0" collapsed="false">
      <c r="A232" s="8"/>
      <c r="B232" s="14" t="n">
        <v>59</v>
      </c>
      <c r="C232" s="12" t="n">
        <f aca="false">(ABS(C63-E63)/C63)*100</f>
        <v>91.7806451612903</v>
      </c>
      <c r="D232" s="14" t="n">
        <f aca="false">(ABS(D63-F63)/D63)*100</f>
        <v>22.0558139534884</v>
      </c>
      <c r="E232" s="23"/>
      <c r="F232" s="14" t="n">
        <f aca="false">(ABS(C63-G63)/C63)*100</f>
        <v>0</v>
      </c>
      <c r="G232" s="14" t="n">
        <f aca="false">(ABS(D63-H63)/D63)*100</f>
        <v>0</v>
      </c>
      <c r="H232" s="23"/>
    </row>
    <row r="233" customFormat="false" ht="15" hidden="false" customHeight="false" outlineLevel="0" collapsed="false">
      <c r="A233" s="8"/>
      <c r="B233" s="14" t="n">
        <v>60</v>
      </c>
      <c r="C233" s="12" t="n">
        <f aca="false">(ABS(C64-E64)/C64)*100</f>
        <v>95.5774193548387</v>
      </c>
      <c r="D233" s="14" t="n">
        <f aca="false">(ABS(D64-F64)/D64)*100</f>
        <v>22.9682170542636</v>
      </c>
      <c r="E233" s="23"/>
      <c r="F233" s="14" t="n">
        <f aca="false">(ABS(C64-G64)/C64)*100</f>
        <v>0</v>
      </c>
      <c r="G233" s="14" t="n">
        <f aca="false">(ABS(D64-H64)/D64)*100</f>
        <v>0</v>
      </c>
      <c r="H233" s="23"/>
    </row>
    <row r="234" customFormat="false" ht="15" hidden="false" customHeight="false" outlineLevel="0" collapsed="false">
      <c r="A234" s="8"/>
      <c r="B234" s="14" t="n">
        <v>61</v>
      </c>
      <c r="C234" s="12" t="n">
        <f aca="false">(ABS(C65-E65)/C65)*100</f>
        <v>99.7064516129032</v>
      </c>
      <c r="D234" s="14" t="n">
        <f aca="false">(ABS(D65-F65)/D65)*100</f>
        <v>23.9604651162791</v>
      </c>
      <c r="E234" s="23"/>
      <c r="F234" s="14" t="n">
        <f aca="false">(ABS(C65-G65)/C65)*100</f>
        <v>0</v>
      </c>
      <c r="G234" s="14" t="n">
        <f aca="false">(ABS(D65-H65)/D65)*100</f>
        <v>0</v>
      </c>
      <c r="H234" s="23"/>
    </row>
    <row r="235" customFormat="false" ht="15" hidden="false" customHeight="false" outlineLevel="0" collapsed="false">
      <c r="A235" s="8"/>
      <c r="B235" s="14" t="n">
        <v>62</v>
      </c>
      <c r="C235" s="12" t="n">
        <f aca="false">(ABS(C66-E66)/C66)*100</f>
        <v>99.9806476583667</v>
      </c>
      <c r="D235" s="14" t="n">
        <f aca="false">(ABS(D66-F66)/D66)*100</f>
        <v>24.0302024868988</v>
      </c>
      <c r="E235" s="23"/>
      <c r="F235" s="14" t="n">
        <f aca="false">(ABS(C66-G66)/C66)*100</f>
        <v>0.00645078054444588</v>
      </c>
      <c r="G235" s="14" t="n">
        <f aca="false">(ABS(D66-H66)/D66)*100</f>
        <v>0.00155043567242395</v>
      </c>
      <c r="H235" s="23"/>
    </row>
    <row r="236" customFormat="false" ht="15" hidden="false" customHeight="false" outlineLevel="0" collapsed="false">
      <c r="A236" s="8"/>
      <c r="B236" s="14" t="n">
        <v>63</v>
      </c>
      <c r="C236" s="12" t="n">
        <f aca="false">(ABS(C67-E67)/C67)*100</f>
        <v>99.9076433121019</v>
      </c>
      <c r="D236" s="14" t="n">
        <f aca="false">(ABS(D67-F67)/D67)*100</f>
        <v>24.3942457231726</v>
      </c>
      <c r="E236" s="23"/>
      <c r="F236" s="14" t="n">
        <f aca="false">(ABS(C67-G67)/C67)*100</f>
        <v>0</v>
      </c>
      <c r="G236" s="14" t="n">
        <f aca="false">(ABS(D67-H67)/D67)*100</f>
        <v>0</v>
      </c>
      <c r="H236" s="23"/>
    </row>
    <row r="237" customFormat="false" ht="15" hidden="false" customHeight="false" outlineLevel="0" collapsed="false">
      <c r="A237" s="8"/>
      <c r="B237" s="14" t="n">
        <v>64</v>
      </c>
      <c r="C237" s="12" t="n">
        <f aca="false">(ABS(C68-E68)/C68)*100</f>
        <v>99.9140100003185</v>
      </c>
      <c r="D237" s="14" t="n">
        <f aca="false">(ABS(D68-F68)/D68)*100</f>
        <v>24.3948336327089</v>
      </c>
      <c r="E237" s="23"/>
      <c r="F237" s="14" t="n">
        <f aca="false">(ABS(C68-G68)/C68)*100</f>
        <v>0</v>
      </c>
      <c r="G237" s="14" t="n">
        <f aca="false">(ABS(D68-H68)/D68)*100</f>
        <v>0</v>
      </c>
      <c r="H237" s="23"/>
    </row>
    <row r="238" customFormat="false" ht="15" hidden="false" customHeight="false" outlineLevel="0" collapsed="false">
      <c r="A238" s="8"/>
      <c r="B238" s="14" t="n">
        <v>65</v>
      </c>
      <c r="C238" s="12" t="n">
        <f aca="false">(ABS(C69-E69)/C69)*100</f>
        <v>99.8503137042581</v>
      </c>
      <c r="D238" s="14" t="n">
        <f aca="false">(ABS(D69-F69)/D69)*100</f>
        <v>24.3792816541084</v>
      </c>
      <c r="E238" s="23"/>
      <c r="F238" s="14" t="n">
        <f aca="false">(ABS(C69-G69)/C69)*100</f>
        <v>0</v>
      </c>
      <c r="G238" s="14" t="n">
        <f aca="false">(ABS(D69-H69)/D69)*100</f>
        <v>0</v>
      </c>
      <c r="H238" s="23"/>
    </row>
    <row r="239" customFormat="false" ht="15" hidden="false" customHeight="false" outlineLevel="0" collapsed="false">
      <c r="A239" s="8"/>
      <c r="B239" s="14" t="n">
        <v>66</v>
      </c>
      <c r="C239" s="12" t="n">
        <f aca="false">(ABS(C70-E70)/C70)*100</f>
        <v>99.703821656051</v>
      </c>
      <c r="D239" s="14" t="n">
        <f aca="false">(ABS(D70-F70)/D70)*100</f>
        <v>24.3444790046656</v>
      </c>
      <c r="E239" s="23"/>
      <c r="F239" s="14" t="n">
        <f aca="false">(ABS(C70-G70)/C70)*100</f>
        <v>0</v>
      </c>
      <c r="G239" s="14" t="n">
        <f aca="false">(ABS(D70-H70)/D70)*100</f>
        <v>0</v>
      </c>
      <c r="H239" s="23"/>
    </row>
    <row r="240" customFormat="false" ht="15" hidden="false" customHeight="false" outlineLevel="0" collapsed="false">
      <c r="A240" s="8"/>
      <c r="B240" s="14" t="n">
        <v>67</v>
      </c>
      <c r="C240" s="12" t="n">
        <f aca="false">(ABS(C71-E71)/C71)*100</f>
        <v>98.9620148374566</v>
      </c>
      <c r="D240" s="14" t="n">
        <f aca="false">(ABS(D71-F71)/D71)*100</f>
        <v>24.1700559128413</v>
      </c>
      <c r="E240" s="23"/>
      <c r="F240" s="14" t="n">
        <f aca="false">(ABS(C71-G71)/C71)*100</f>
        <v>0.00955201069825198</v>
      </c>
      <c r="G240" s="14" t="n">
        <f aca="false">(ABS(D71-H71)/D71)*100</f>
        <v>0.00233294191752273</v>
      </c>
      <c r="H240" s="23"/>
    </row>
    <row r="241" customFormat="false" ht="15" hidden="false" customHeight="false" outlineLevel="0" collapsed="false">
      <c r="A241" s="8"/>
      <c r="B241" s="14" t="n">
        <v>68</v>
      </c>
      <c r="C241" s="12" t="n">
        <f aca="false">(ABS(C72-E72)/C72)*100</f>
        <v>98.1446540880503</v>
      </c>
      <c r="D241" s="14" t="n">
        <f aca="false">(ABS(D72-F72)/D72)*100</f>
        <v>24.3447737909516</v>
      </c>
      <c r="E241" s="23"/>
      <c r="F241" s="14" t="n">
        <f aca="false">(ABS(C72-G72)/C72)*100</f>
        <v>0</v>
      </c>
      <c r="G241" s="14" t="n">
        <f aca="false">(ABS(D72-H72)/D72)*100</f>
        <v>0</v>
      </c>
      <c r="H241" s="23"/>
    </row>
    <row r="242" customFormat="false" ht="15" hidden="false" customHeight="false" outlineLevel="0" collapsed="false">
      <c r="A242" s="8"/>
      <c r="B242" s="14" t="n">
        <v>69</v>
      </c>
      <c r="C242" s="12" t="n">
        <f aca="false">(ABS(C73-E73)/C73)*100</f>
        <v>97.7263435957106</v>
      </c>
      <c r="D242" s="14" t="n">
        <f aca="false">(ABS(D73-F73)/D73)*100</f>
        <v>24.2400605299491</v>
      </c>
      <c r="E242" s="23"/>
      <c r="F242" s="14" t="n">
        <f aca="false">(ABS(C73-G73)/C73)*100</f>
        <v>0</v>
      </c>
      <c r="G242" s="14" t="n">
        <f aca="false">(ABS(D73-H73)/D73)*100</f>
        <v>0</v>
      </c>
      <c r="H242" s="23"/>
    </row>
    <row r="243" customFormat="false" ht="15" hidden="false" customHeight="false" outlineLevel="0" collapsed="false">
      <c r="A243" s="8"/>
      <c r="B243" s="14" t="n">
        <v>70</v>
      </c>
      <c r="C243" s="12" t="n">
        <f aca="false">(ABS(C74-E74)/C74)*100</f>
        <v>98.9119496855346</v>
      </c>
      <c r="D243" s="14" t="n">
        <f aca="false">(ABS(D74-F74)/D74)*100</f>
        <v>24.5351014040562</v>
      </c>
      <c r="E243" s="23"/>
      <c r="F243" s="14" t="n">
        <f aca="false">(ABS(C74-G74)/C74)*100</f>
        <v>0</v>
      </c>
      <c r="G243" s="14" t="n">
        <f aca="false">(ABS(D74-H74)/D74)*100</f>
        <v>0</v>
      </c>
      <c r="H243" s="23"/>
    </row>
    <row r="244" customFormat="false" ht="15" hidden="false" customHeight="false" outlineLevel="0" collapsed="false">
      <c r="A244" s="8"/>
      <c r="B244" s="14" t="n">
        <v>71</v>
      </c>
      <c r="C244" s="12" t="n">
        <f aca="false">(ABS(C75-E75)/C75)*100</f>
        <v>97.2767295597484</v>
      </c>
      <c r="D244" s="14" t="n">
        <f aca="false">(ABS(D75-F75)/D75)*100</f>
        <v>24.1294851794072</v>
      </c>
      <c r="E244" s="23"/>
      <c r="F244" s="14" t="n">
        <f aca="false">(ABS(C75-G75)/C75)*100</f>
        <v>0</v>
      </c>
      <c r="G244" s="14" t="n">
        <f aca="false">(ABS(D75-H75)/D75)*100</f>
        <v>0</v>
      </c>
      <c r="H244" s="23"/>
    </row>
    <row r="245" customFormat="false" ht="15" hidden="false" customHeight="false" outlineLevel="0" collapsed="false">
      <c r="A245" s="8"/>
      <c r="B245" s="14" t="n">
        <v>72</v>
      </c>
      <c r="C245" s="12" t="n">
        <f aca="false">(ABS(C76-E76)/C76)*100</f>
        <v>99.2861635220126</v>
      </c>
      <c r="D245" s="14" t="n">
        <f aca="false">(ABS(D76-F76)/D76)*100</f>
        <v>24.6279251170047</v>
      </c>
      <c r="E245" s="23"/>
      <c r="F245" s="14" t="n">
        <f aca="false">(ABS(C76-G76)/C76)*100</f>
        <v>0</v>
      </c>
      <c r="G245" s="14" t="n">
        <f aca="false">(ABS(D76-H76)/D76)*100</f>
        <v>0</v>
      </c>
      <c r="H245" s="23"/>
    </row>
    <row r="246" customFormat="false" ht="15" hidden="false" customHeight="false" outlineLevel="0" collapsed="false">
      <c r="A246" s="8"/>
      <c r="B246" s="14" t="n">
        <v>73</v>
      </c>
      <c r="C246" s="12" t="n">
        <f aca="false">(ABS(C77-E77)/C77)*100</f>
        <v>99.8899371069182</v>
      </c>
      <c r="D246" s="14" t="n">
        <f aca="false">(ABS(D77-F77)/D77)*100</f>
        <v>24.7776911076443</v>
      </c>
      <c r="E246" s="23"/>
      <c r="F246" s="14" t="n">
        <f aca="false">(ABS(C77-G77)/C77)*100</f>
        <v>0</v>
      </c>
      <c r="G246" s="14" t="n">
        <f aca="false">(ABS(D77-H77)/D77)*100</f>
        <v>0</v>
      </c>
      <c r="H246" s="23"/>
    </row>
    <row r="247" customFormat="false" ht="15" hidden="false" customHeight="false" outlineLevel="0" collapsed="false">
      <c r="A247" s="8"/>
      <c r="B247" s="14" t="n">
        <v>74</v>
      </c>
      <c r="C247" s="12" t="n">
        <f aca="false">(ABS(C78-E78)/C78)*100</f>
        <v>100</v>
      </c>
      <c r="D247" s="14" t="n">
        <f aca="false">(ABS(D78-F78)/D78)*100</f>
        <v>24.804992199688</v>
      </c>
      <c r="E247" s="23"/>
      <c r="F247" s="14" t="n">
        <f aca="false">(ABS(C78-G78)/C78)*100</f>
        <v>0</v>
      </c>
      <c r="G247" s="14" t="n">
        <f aca="false">(ABS(D78-H78)/D78)*100</f>
        <v>0</v>
      </c>
      <c r="H247" s="23"/>
    </row>
    <row r="248" customFormat="false" ht="15" hidden="false" customHeight="false" outlineLevel="0" collapsed="false">
      <c r="A248" s="8"/>
      <c r="B248" s="14" t="n">
        <v>75</v>
      </c>
      <c r="C248" s="12" t="n">
        <f aca="false">(ABS(C79-E79)/C79)*100</f>
        <v>99.9968557414162</v>
      </c>
      <c r="D248" s="14" t="n">
        <f aca="false">(ABS(D79-F79)/D79)*100</f>
        <v>24.8081063371712</v>
      </c>
      <c r="E248" s="23"/>
      <c r="F248" s="14" t="n">
        <f aca="false">(ABS(C79-G79)/C79)*100</f>
        <v>0.0188655515029556</v>
      </c>
      <c r="G248" s="14" t="n">
        <f aca="false">(ABS(D79-H79)/D79)*100</f>
        <v>0.00468033323972667</v>
      </c>
      <c r="H248" s="23"/>
    </row>
    <row r="249" customFormat="false" ht="15" hidden="false" customHeight="false" outlineLevel="0" collapsed="false">
      <c r="A249" s="8"/>
      <c r="B249" s="14" t="n">
        <v>76</v>
      </c>
      <c r="C249" s="12" t="n">
        <f aca="false">(ABS(C80-E80)/C80)*100</f>
        <v>98.3050314465409</v>
      </c>
      <c r="D249" s="14" t="n">
        <f aca="false">(ABS(D80-F80)/D80)*100</f>
        <v>24.3845553822153</v>
      </c>
      <c r="E249" s="23"/>
      <c r="F249" s="14" t="n">
        <f aca="false">(ABS(C80-G80)/C80)*100</f>
        <v>0</v>
      </c>
      <c r="G249" s="14" t="n">
        <f aca="false">(ABS(D80-H80)/D80)*100</f>
        <v>0</v>
      </c>
      <c r="H249" s="23"/>
    </row>
    <row r="250" customFormat="false" ht="15" hidden="false" customHeight="false" outlineLevel="0" collapsed="false">
      <c r="A250" s="8"/>
      <c r="B250" s="14" t="n">
        <v>77</v>
      </c>
      <c r="C250" s="12" t="n">
        <f aca="false">(ABS(C81-E81)/C81)*100</f>
        <v>98.8396226415094</v>
      </c>
      <c r="D250" s="14" t="n">
        <f aca="false">(ABS(D81-F81)/D81)*100</f>
        <v>24.5171606864275</v>
      </c>
      <c r="E250" s="23"/>
      <c r="F250" s="14" t="n">
        <f aca="false">(ABS(C81-G81)/C81)*100</f>
        <v>0</v>
      </c>
      <c r="G250" s="14" t="n">
        <f aca="false">(ABS(D81-H81)/D81)*100</f>
        <v>0</v>
      </c>
      <c r="H250" s="23"/>
    </row>
    <row r="251" customFormat="false" ht="15" hidden="false" customHeight="false" outlineLevel="0" collapsed="false">
      <c r="A251" s="8"/>
      <c r="B251" s="14" t="n">
        <v>78</v>
      </c>
      <c r="C251" s="12" t="n">
        <f aca="false">(ABS(C82-E82)/C82)*100</f>
        <v>100</v>
      </c>
      <c r="D251" s="14" t="n">
        <f aca="false">(ABS(D82-F82)/D82)*100</f>
        <v>24.804992199688</v>
      </c>
      <c r="E251" s="23"/>
      <c r="F251" s="14" t="n">
        <f aca="false">(ABS(C82-G82)/C82)*100</f>
        <v>0</v>
      </c>
      <c r="G251" s="14" t="n">
        <f aca="false">(ABS(D82-H82)/D82)*100</f>
        <v>0</v>
      </c>
      <c r="H251" s="23"/>
    </row>
    <row r="252" customFormat="false" ht="15" hidden="false" customHeight="false" outlineLevel="0" collapsed="false">
      <c r="A252" s="8"/>
      <c r="B252" s="14" t="n">
        <v>79</v>
      </c>
      <c r="C252" s="12" t="n">
        <f aca="false">(ABS(C83-E83)/C83)*100</f>
        <v>90.5251572327044</v>
      </c>
      <c r="D252" s="14" t="n">
        <f aca="false">(ABS(D83-F83)/D83)*100</f>
        <v>22.4547581903276</v>
      </c>
      <c r="E252" s="23"/>
      <c r="F252" s="14" t="n">
        <f aca="false">(ABS(C83-G83)/C83)*100</f>
        <v>0</v>
      </c>
      <c r="G252" s="14" t="n">
        <f aca="false">(ABS(D83-H83)/D83)*100</f>
        <v>0</v>
      </c>
      <c r="H252" s="23"/>
    </row>
    <row r="253" customFormat="false" ht="15" hidden="false" customHeight="false" outlineLevel="0" collapsed="false">
      <c r="A253" s="8"/>
      <c r="B253" s="14" t="n">
        <v>80</v>
      </c>
      <c r="C253" s="12" t="n">
        <f aca="false">(ABS(C84-E84)/C84)*100</f>
        <v>99.6304692109431</v>
      </c>
      <c r="D253" s="14" t="n">
        <f aca="false">(ABS(D84-F84)/D84)*100</f>
        <v>25.1054406597964</v>
      </c>
      <c r="E253" s="23"/>
      <c r="F253" s="14" t="n">
        <f aca="false">(ABS(C84-G84)/C84)*100</f>
        <v>0.0155265037418874</v>
      </c>
      <c r="G253" s="14" t="n">
        <f aca="false">(ABS(D84-H84)/D84)*100</f>
        <v>0.00391245490895717</v>
      </c>
      <c r="H253" s="23"/>
    </row>
    <row r="254" customFormat="false" ht="15" hidden="false" customHeight="false" outlineLevel="0" collapsed="false">
      <c r="A254" s="8"/>
      <c r="B254" s="14" t="n">
        <v>81</v>
      </c>
      <c r="C254" s="12" t="n">
        <f aca="false">(ABS(C85-E85)/C85)*100</f>
        <v>94.455800496871</v>
      </c>
      <c r="D254" s="14" t="n">
        <f aca="false">(ABS(D85-F85)/D85)*100</f>
        <v>23.428834408468</v>
      </c>
      <c r="E254" s="23"/>
      <c r="F254" s="14" t="n">
        <f aca="false">(ABS(C85-G85)/C85)*100</f>
        <v>0</v>
      </c>
      <c r="G254" s="14" t="n">
        <f aca="false">(ABS(D85-H85)/D85)*100</f>
        <v>0</v>
      </c>
      <c r="H254" s="23"/>
    </row>
    <row r="255" customFormat="false" ht="15" hidden="false" customHeight="false" outlineLevel="0" collapsed="false">
      <c r="A255" s="8"/>
      <c r="B255" s="14" t="n">
        <v>82</v>
      </c>
      <c r="C255" s="12" t="n">
        <f aca="false">(ABS(C86-E86)/C86)*100</f>
        <v>95.2987421383648</v>
      </c>
      <c r="D255" s="14" t="n">
        <f aca="false">(ABS(D86-F86)/D86)*100</f>
        <v>23.6388455538222</v>
      </c>
      <c r="E255" s="23"/>
      <c r="F255" s="14" t="n">
        <f aca="false">(ABS(C86-G86)/C86)*100</f>
        <v>0</v>
      </c>
      <c r="G255" s="14" t="n">
        <f aca="false">(ABS(D86-H86)/D86)*100</f>
        <v>0</v>
      </c>
      <c r="H255" s="23"/>
    </row>
    <row r="256" customFormat="false" ht="15" hidden="false" customHeight="false" outlineLevel="0" collapsed="false">
      <c r="A256" s="8"/>
      <c r="B256" s="14" t="n">
        <v>83</v>
      </c>
      <c r="C256" s="12" t="n">
        <f aca="false">(ABS(C87-E87)/C87)*100</f>
        <v>97.559748427673</v>
      </c>
      <c r="D256" s="14" t="n">
        <f aca="false">(ABS(D87-F87)/D87)*100</f>
        <v>24.1996879875195</v>
      </c>
      <c r="E256" s="23"/>
      <c r="F256" s="14" t="n">
        <f aca="false">(ABS(C87-G87)/C87)*100</f>
        <v>0</v>
      </c>
      <c r="G256" s="14" t="n">
        <f aca="false">(ABS(D87-H87)/D87)*100</f>
        <v>0</v>
      </c>
      <c r="H256" s="23"/>
    </row>
    <row r="257" customFormat="false" ht="15" hidden="false" customHeight="false" outlineLevel="0" collapsed="false">
      <c r="A257" s="8"/>
      <c r="B257" s="14" t="n">
        <v>84</v>
      </c>
      <c r="C257" s="12" t="n">
        <f aca="false">(ABS(C88-E88)/C88)*100</f>
        <v>93.9496855345912</v>
      </c>
      <c r="D257" s="14" t="n">
        <f aca="false">(ABS(D88-F88)/D88)*100</f>
        <v>23.3042121684867</v>
      </c>
      <c r="E257" s="23"/>
      <c r="F257" s="14" t="n">
        <f aca="false">(ABS(C88-G88)/C88)*100</f>
        <v>0</v>
      </c>
      <c r="G257" s="14" t="n">
        <f aca="false">(ABS(D88-H88)/D88)*100</f>
        <v>0</v>
      </c>
      <c r="H257" s="23"/>
    </row>
    <row r="258" customFormat="false" ht="15" hidden="false" customHeight="false" outlineLevel="0" collapsed="false">
      <c r="A258" s="8"/>
      <c r="B258" s="14" t="n">
        <v>85</v>
      </c>
      <c r="C258" s="12" t="n">
        <f aca="false">(ABS(C89-E89)/C89)*100</f>
        <v>97.6036982295041</v>
      </c>
      <c r="D258" s="14" t="n">
        <f aca="false">(ABS(D89-F89)/D89)*100</f>
        <v>24.2096395503935</v>
      </c>
      <c r="E258" s="23"/>
      <c r="F258" s="14" t="n">
        <f aca="false">(ABS(C89-G89)/C89)*100</f>
        <v>0</v>
      </c>
      <c r="G258" s="14" t="n">
        <f aca="false">(ABS(D89-H89)/D89)*100</f>
        <v>0</v>
      </c>
      <c r="H258" s="23"/>
    </row>
    <row r="259" customFormat="false" ht="15" hidden="false" customHeight="false" outlineLevel="0" collapsed="false">
      <c r="A259" s="8"/>
      <c r="B259" s="14" t="n">
        <v>86</v>
      </c>
      <c r="C259" s="12" t="n">
        <f aca="false">(ABS(C90-E90)/C90)*100</f>
        <v>91.0154407371301</v>
      </c>
      <c r="D259" s="14" t="n">
        <f aca="false">(ABS(D90-F90)/D90)*100</f>
        <v>22.5754869306792</v>
      </c>
      <c r="E259" s="23"/>
      <c r="F259" s="14" t="n">
        <f aca="false">(ABS(C90-G90)/C90)*100</f>
        <v>0</v>
      </c>
      <c r="G259" s="14" t="n">
        <f aca="false">(ABS(D90-H90)/D90)*100</f>
        <v>0</v>
      </c>
      <c r="H259" s="23"/>
    </row>
    <row r="260" customFormat="false" ht="15" hidden="false" customHeight="false" outlineLevel="0" collapsed="false">
      <c r="A260" s="8"/>
      <c r="B260" s="14" t="n">
        <v>87</v>
      </c>
      <c r="C260" s="12" t="n">
        <f aca="false">(ABS(C91-E91)/C91)*100</f>
        <v>93.311320754717</v>
      </c>
      <c r="D260" s="14" t="n">
        <f aca="false">(ABS(D91-F91)/D91)*100</f>
        <v>23.1458658346334</v>
      </c>
      <c r="E260" s="23"/>
      <c r="F260" s="14" t="n">
        <f aca="false">(ABS(C91-G91)/C91)*100</f>
        <v>0</v>
      </c>
      <c r="G260" s="14" t="n">
        <f aca="false">(ABS(D91-H91)/D91)*100</f>
        <v>0</v>
      </c>
      <c r="H260" s="23"/>
    </row>
    <row r="261" customFormat="false" ht="15" hidden="false" customHeight="false" outlineLevel="0" collapsed="false">
      <c r="A261" s="8"/>
      <c r="B261" s="14" t="n">
        <v>88</v>
      </c>
      <c r="C261" s="12" t="n">
        <f aca="false">(ABS(C92-E92)/C92)*100</f>
        <v>94.5220125786164</v>
      </c>
      <c r="D261" s="14" t="n">
        <f aca="false">(ABS(D92-F92)/D92)*100</f>
        <v>23.4461778471139</v>
      </c>
      <c r="E261" s="23"/>
      <c r="F261" s="14" t="n">
        <f aca="false">(ABS(C92-G92)/C92)*100</f>
        <v>0</v>
      </c>
      <c r="G261" s="14" t="n">
        <f aca="false">(ABS(D92-H92)/D92)*100</f>
        <v>0</v>
      </c>
      <c r="H261" s="23"/>
    </row>
    <row r="262" customFormat="false" ht="15" hidden="false" customHeight="false" outlineLevel="0" collapsed="false">
      <c r="A262" s="8"/>
      <c r="B262" s="14" t="n">
        <v>89</v>
      </c>
      <c r="C262" s="12" t="n">
        <f aca="false">(ABS(C93-E93)/C93)*100</f>
        <v>96.660272335608</v>
      </c>
      <c r="D262" s="14" t="n">
        <f aca="false">(ABS(D93-F93)/D93)*100</f>
        <v>23.9756320153509</v>
      </c>
      <c r="E262" s="23"/>
      <c r="F262" s="14" t="n">
        <f aca="false">(ABS(C93-G93)/C93)*100</f>
        <v>0</v>
      </c>
      <c r="G262" s="14" t="n">
        <f aca="false">(ABS(D93-H93)/D93)*100</f>
        <v>0</v>
      </c>
      <c r="H262" s="23"/>
    </row>
    <row r="263" customFormat="false" ht="15" hidden="false" customHeight="false" outlineLevel="0" collapsed="false">
      <c r="A263" s="8"/>
      <c r="B263" s="14" t="n">
        <v>90</v>
      </c>
      <c r="C263" s="12" t="n">
        <f aca="false">(ABS(C94-E94)/C94)*100</f>
        <v>89.2075471698113</v>
      </c>
      <c r="D263" s="14" t="n">
        <f aca="false">(ABS(D94-F94)/D94)*100</f>
        <v>22.1279251170047</v>
      </c>
      <c r="E263" s="23"/>
      <c r="F263" s="14" t="n">
        <f aca="false">(ABS(C94-G94)/C94)*100</f>
        <v>0</v>
      </c>
      <c r="G263" s="14" t="n">
        <f aca="false">(ABS(D94-H94)/D94)*100</f>
        <v>0</v>
      </c>
      <c r="H263" s="23"/>
    </row>
    <row r="264" customFormat="false" ht="15" hidden="false" customHeight="false" outlineLevel="0" collapsed="false">
      <c r="A264" s="8"/>
      <c r="B264" s="14" t="n">
        <v>91</v>
      </c>
      <c r="C264" s="12" t="n">
        <f aca="false">(ABS(C95-E95)/C95)*100</f>
        <v>99.3521808861914</v>
      </c>
      <c r="D264" s="14" t="n">
        <f aca="false">(ABS(D95-F95)/D95)*100</f>
        <v>24.6433335153392</v>
      </c>
      <c r="E264" s="23"/>
      <c r="F264" s="14" t="n">
        <f aca="false">(ABS(C95-G95)/C95)*100</f>
        <v>0</v>
      </c>
      <c r="G264" s="14" t="n">
        <f aca="false">(ABS(D95-H95)/D95)*100</f>
        <v>0</v>
      </c>
      <c r="H264" s="23"/>
    </row>
    <row r="265" customFormat="false" ht="15" hidden="false" customHeight="false" outlineLevel="0" collapsed="false">
      <c r="A265" s="8"/>
      <c r="B265" s="14" t="n">
        <v>92</v>
      </c>
      <c r="C265" s="12" t="n">
        <f aca="false">(ABS(C96-E96)/C96)*100</f>
        <v>99.125786163522</v>
      </c>
      <c r="D265" s="14" t="n">
        <f aca="false">(ABS(D96-F96)/D96)*100</f>
        <v>24.588143525741</v>
      </c>
      <c r="E265" s="23"/>
      <c r="F265" s="14" t="n">
        <f aca="false">(ABS(C96-G96)/C96)*100</f>
        <v>0</v>
      </c>
      <c r="G265" s="14" t="n">
        <f aca="false">(ABS(D96-H96)/D96)*100</f>
        <v>0</v>
      </c>
      <c r="H265" s="23"/>
    </row>
    <row r="266" customFormat="false" ht="15" hidden="false" customHeight="false" outlineLevel="0" collapsed="false">
      <c r="A266" s="8"/>
      <c r="B266" s="14" t="n">
        <v>93</v>
      </c>
      <c r="C266" s="12" t="n">
        <f aca="false">(ABS(C97-E97)/C97)*100</f>
        <v>98.7451829676104</v>
      </c>
      <c r="D266" s="14" t="n">
        <f aca="false">(ABS(D97-F97)/D97)*100</f>
        <v>24.1094548253902</v>
      </c>
      <c r="E266" s="23"/>
      <c r="F266" s="14" t="n">
        <f aca="false">(ABS(C97-G97)/C97)*100</f>
        <v>0</v>
      </c>
      <c r="G266" s="14" t="n">
        <f aca="false">(ABS(D97-H97)/D97)*100</f>
        <v>0</v>
      </c>
      <c r="H266" s="23"/>
    </row>
    <row r="267" customFormat="false" ht="15" hidden="false" customHeight="false" outlineLevel="0" collapsed="false">
      <c r="A267" s="8"/>
      <c r="B267" s="14" t="n">
        <v>94</v>
      </c>
      <c r="C267" s="12" t="n">
        <f aca="false">(ABS(C98-E98)/C98)*100</f>
        <v>99.8789808917198</v>
      </c>
      <c r="D267" s="14" t="n">
        <f aca="false">(ABS(D98-F98)/D98)*100</f>
        <v>24.3872472783826</v>
      </c>
      <c r="E267" s="23"/>
      <c r="F267" s="14" t="n">
        <f aca="false">(ABS(C98-G98)/C98)*100</f>
        <v>0</v>
      </c>
      <c r="G267" s="14" t="n">
        <f aca="false">(ABS(D98-H98)/D98)*100</f>
        <v>0</v>
      </c>
      <c r="H267" s="23"/>
    </row>
    <row r="268" customFormat="false" ht="15" hidden="false" customHeight="false" outlineLevel="0" collapsed="false">
      <c r="A268" s="8"/>
      <c r="B268" s="14" t="n">
        <v>95</v>
      </c>
      <c r="C268" s="12" t="n">
        <f aca="false">(ABS(C99-E99)/C99)*100</f>
        <v>99.8152866242038</v>
      </c>
      <c r="D268" s="14" t="n">
        <f aca="false">(ABS(D99-F99)/D99)*100</f>
        <v>24.3716951788491</v>
      </c>
      <c r="E268" s="23"/>
      <c r="F268" s="14" t="n">
        <f aca="false">(ABS(C99-G99)/C99)*100</f>
        <v>0</v>
      </c>
      <c r="G268" s="14" t="n">
        <f aca="false">(ABS(D99-H99)/D99)*100</f>
        <v>0</v>
      </c>
      <c r="H268" s="23"/>
    </row>
    <row r="269" customFormat="false" ht="15" hidden="false" customHeight="false" outlineLevel="0" collapsed="false">
      <c r="A269" s="8"/>
      <c r="B269" s="14" t="n">
        <v>96</v>
      </c>
      <c r="C269" s="12" t="n">
        <f aca="false">(ABS(C100-E100)/C100)*100</f>
        <v>98.7579222268225</v>
      </c>
      <c r="D269" s="14" t="n">
        <f aca="false">(ABS(D100-F100)/D100)*100</f>
        <v>24.1125652211103</v>
      </c>
      <c r="E269" s="23"/>
      <c r="F269" s="14" t="n">
        <f aca="false">(ABS(C100-G100)/C100)*100</f>
        <v>0</v>
      </c>
      <c r="G269" s="14" t="n">
        <f aca="false">(ABS(D100-H100)/D100)*100</f>
        <v>0</v>
      </c>
      <c r="H269" s="23"/>
    </row>
    <row r="270" customFormat="false" ht="15" hidden="false" customHeight="false" outlineLevel="0" collapsed="false">
      <c r="A270" s="8"/>
      <c r="B270" s="14" t="n">
        <v>97</v>
      </c>
      <c r="C270" s="12" t="n">
        <f aca="false">(ABS(C101-E101)/C101)*100</f>
        <v>100</v>
      </c>
      <c r="D270" s="14" t="n">
        <f aca="false">(ABS(D101-F101)/D101)*100</f>
        <v>24.4158288038196</v>
      </c>
      <c r="E270" s="23"/>
      <c r="F270" s="14" t="n">
        <f aca="false">(ABS(C101-G101)/C101)*100</f>
        <v>0</v>
      </c>
      <c r="G270" s="14" t="n">
        <f aca="false">(ABS(D101-H101)/D101)*100</f>
        <v>0</v>
      </c>
      <c r="H270" s="23"/>
    </row>
    <row r="271" customFormat="false" ht="15" hidden="false" customHeight="false" outlineLevel="0" collapsed="false">
      <c r="A271" s="8"/>
      <c r="B271" s="14" t="n">
        <v>98</v>
      </c>
      <c r="C271" s="12" t="n">
        <f aca="false">(ABS(C102-E102)/C102)*100</f>
        <v>87.4483870967742</v>
      </c>
      <c r="D271" s="14" t="n">
        <f aca="false">(ABS(D102-F102)/D102)*100</f>
        <v>21.0147286821705</v>
      </c>
      <c r="E271" s="23"/>
      <c r="F271" s="14" t="n">
        <f aca="false">(ABS(C102-G102)/C102)*100</f>
        <v>0</v>
      </c>
      <c r="G271" s="14" t="n">
        <f aca="false">(ABS(D102-H102)/D102)*100</f>
        <v>0</v>
      </c>
      <c r="H271" s="23"/>
    </row>
    <row r="272" customFormat="false" ht="15" hidden="false" customHeight="false" outlineLevel="0" collapsed="false">
      <c r="A272" s="8"/>
      <c r="B272" s="14" t="n">
        <v>99</v>
      </c>
      <c r="C272" s="12" t="n">
        <f aca="false">(ABS(C103-E103)/C103)*100</f>
        <v>85.5285654375948</v>
      </c>
      <c r="D272" s="14" t="n">
        <f aca="false">(ABS(D103-F103)/D103)*100</f>
        <v>20.5525538561717</v>
      </c>
      <c r="E272" s="23"/>
      <c r="F272" s="14" t="n">
        <f aca="false">(ABS(C103-G103)/C103)*100</f>
        <v>0</v>
      </c>
      <c r="G272" s="14" t="n">
        <f aca="false">(ABS(D103-H103)/D103)*100</f>
        <v>0</v>
      </c>
      <c r="H272" s="23"/>
    </row>
    <row r="273" customFormat="false" ht="15" hidden="false" customHeight="false" outlineLevel="0" collapsed="false">
      <c r="A273" s="8"/>
      <c r="B273" s="14" t="n">
        <v>100</v>
      </c>
      <c r="C273" s="12" t="n">
        <f aca="false">(ABS(C104-E104)/C104)*100</f>
        <v>80.3870967741936</v>
      </c>
      <c r="D273" s="14" t="n">
        <f aca="false">(ABS(D104-F104)/D104)*100</f>
        <v>19.3178294573643</v>
      </c>
      <c r="E273" s="23"/>
      <c r="F273" s="14" t="n">
        <f aca="false">(ABS(C104-G104)/C104)*100</f>
        <v>0</v>
      </c>
      <c r="G273" s="14" t="n">
        <f aca="false">(ABS(D104-H104)/D104)*100</f>
        <v>0</v>
      </c>
      <c r="H273" s="23"/>
    </row>
    <row r="274" customFormat="false" ht="15" hidden="false" customHeight="false" outlineLevel="0" collapsed="false">
      <c r="A274" s="8"/>
      <c r="B274" s="14" t="n">
        <v>101</v>
      </c>
      <c r="C274" s="12" t="n">
        <f aca="false">(ABS(C105-E105)/C105)*100</f>
        <v>79.1735217265073</v>
      </c>
      <c r="D274" s="14" t="n">
        <f aca="false">(ABS(D105-F105)/D105)*100</f>
        <v>19.025433911365</v>
      </c>
      <c r="E274" s="23"/>
      <c r="F274" s="14" t="n">
        <f aca="false">(ABS(C105-G105)/C105)*100</f>
        <v>0</v>
      </c>
      <c r="G274" s="14" t="n">
        <f aca="false">(ABS(D105-H105)/D105)*100</f>
        <v>0</v>
      </c>
      <c r="H274" s="23"/>
    </row>
    <row r="275" customFormat="false" ht="15" hidden="false" customHeight="false" outlineLevel="0" collapsed="false">
      <c r="A275" s="8"/>
      <c r="B275" s="14" t="n">
        <v>102</v>
      </c>
      <c r="C275" s="12" t="n">
        <f aca="false">(ABS(C106-E106)/C106)*100</f>
        <v>79.2156862745098</v>
      </c>
      <c r="D275" s="14" t="n">
        <f aca="false">(ABS(D106-F106)/D106)*100</f>
        <v>18.7326120556414</v>
      </c>
      <c r="E275" s="23"/>
      <c r="F275" s="14" t="n">
        <f aca="false">(ABS(C106-G106)/C106)*100</f>
        <v>0</v>
      </c>
      <c r="G275" s="14" t="n">
        <f aca="false">(ABS(D106-H106)/D106)*100</f>
        <v>0</v>
      </c>
      <c r="H275" s="23"/>
    </row>
    <row r="276" customFormat="false" ht="15" hidden="false" customHeight="false" outlineLevel="0" collapsed="false">
      <c r="A276" s="8"/>
      <c r="B276" s="14" t="n">
        <v>103</v>
      </c>
      <c r="C276" s="12" t="n">
        <f aca="false">(ABS(C107-E107)/C107)*100</f>
        <v>88.6989770907546</v>
      </c>
      <c r="D276" s="14" t="n">
        <f aca="false">(ABS(D107-F107)/D107)*100</f>
        <v>20.9743355924606</v>
      </c>
      <c r="E276" s="23"/>
      <c r="F276" s="14" t="n">
        <f aca="false">(ABS(C107-G107)/C107)*100</f>
        <v>0</v>
      </c>
      <c r="G276" s="14" t="n">
        <f aca="false">(ABS(D107-H107)/D107)*100</f>
        <v>0</v>
      </c>
      <c r="H276" s="23"/>
    </row>
    <row r="277" customFormat="false" ht="15" hidden="false" customHeight="false" outlineLevel="0" collapsed="false">
      <c r="A277" s="8"/>
      <c r="B277" s="14" t="n">
        <v>104</v>
      </c>
      <c r="C277" s="12" t="n">
        <f aca="false">(ABS(C108-E108)/C108)*100</f>
        <v>79.5915032679739</v>
      </c>
      <c r="D277" s="14" t="n">
        <f aca="false">(ABS(D108-F108)/D108)*100</f>
        <v>18.8214837712519</v>
      </c>
      <c r="E277" s="23"/>
      <c r="F277" s="14" t="n">
        <f aca="false">(ABS(C108-G108)/C108)*100</f>
        <v>0</v>
      </c>
      <c r="G277" s="14" t="n">
        <f aca="false">(ABS(D108-H108)/D108)*100</f>
        <v>0</v>
      </c>
      <c r="H277" s="23"/>
    </row>
    <row r="278" customFormat="false" ht="15" hidden="false" customHeight="false" outlineLevel="0" collapsed="false">
      <c r="A278" s="8"/>
      <c r="B278" s="14" t="n">
        <v>105</v>
      </c>
      <c r="C278" s="12" t="n">
        <f aca="false">(ABS(C109-E109)/C109)*100</f>
        <v>87.2549668874172</v>
      </c>
      <c r="D278" s="14" t="n">
        <f aca="false">(ABS(D109-F109)/D109)*100</f>
        <v>20.3012326656394</v>
      </c>
      <c r="E278" s="23"/>
      <c r="F278" s="14" t="n">
        <f aca="false">(ABS(C109-G109)/C109)*100</f>
        <v>0</v>
      </c>
      <c r="G278" s="14" t="n">
        <f aca="false">(ABS(D109-H109)/D109)*100</f>
        <v>0</v>
      </c>
      <c r="H278" s="23"/>
    </row>
    <row r="279" customFormat="false" ht="15" hidden="false" customHeight="false" outlineLevel="0" collapsed="false">
      <c r="A279" s="8"/>
      <c r="B279" s="14" t="n">
        <v>106</v>
      </c>
      <c r="C279" s="12" t="n">
        <f aca="false">(ABS(C110-E110)/C110)*100</f>
        <v>82.6716116427696</v>
      </c>
      <c r="D279" s="14" t="n">
        <f aca="false">(ABS(D110-F110)/D110)*100</f>
        <v>19.2340582892274</v>
      </c>
      <c r="E279" s="23"/>
      <c r="F279" s="14" t="n">
        <f aca="false">(ABS(C110-G110)/C110)*100</f>
        <v>0</v>
      </c>
      <c r="G279" s="14" t="n">
        <f aca="false">(ABS(D110-H110)/D110)*100</f>
        <v>0</v>
      </c>
      <c r="H279" s="23"/>
    </row>
    <row r="280" customFormat="false" ht="15" hidden="false" customHeight="false" outlineLevel="0" collapsed="false">
      <c r="A280" s="8"/>
      <c r="B280" s="14" t="n">
        <v>107</v>
      </c>
      <c r="C280" s="12" t="n">
        <f aca="false">(ABS(C111-E111)/C111)*100</f>
        <v>99.7781456953642</v>
      </c>
      <c r="D280" s="14" t="n">
        <f aca="false">(ABS(D111-F111)/D111)*100</f>
        <v>23.2149460708783</v>
      </c>
      <c r="E280" s="23"/>
      <c r="F280" s="14" t="n">
        <f aca="false">(ABS(C111-G111)/C111)*100</f>
        <v>0.00662251655629139</v>
      </c>
      <c r="G280" s="14" t="n">
        <f aca="false">(ABS(D111-H111)/D111)*100</f>
        <v>0.00154083204930663</v>
      </c>
      <c r="H280" s="23"/>
    </row>
    <row r="281" customFormat="false" ht="15" hidden="false" customHeight="false" outlineLevel="0" collapsed="false">
      <c r="A281" s="8"/>
      <c r="B281" s="14" t="n">
        <v>108</v>
      </c>
      <c r="C281" s="12" t="n">
        <f aca="false">(ABS(C112-E112)/C112)*100</f>
        <v>90.3892617449665</v>
      </c>
      <c r="D281" s="14" t="n">
        <f aca="false">(ABS(D112-F112)/D112)*100</f>
        <v>20.6881720430108</v>
      </c>
      <c r="E281" s="23"/>
      <c r="F281" s="14" t="n">
        <f aca="false">(ABS(C112-G112)/C112)*100</f>
        <v>0</v>
      </c>
      <c r="G281" s="14" t="n">
        <f aca="false">(ABS(D112-H112)/D112)*100</f>
        <v>0</v>
      </c>
      <c r="H281" s="23"/>
    </row>
    <row r="282" customFormat="false" ht="15" hidden="false" customHeight="false" outlineLevel="0" collapsed="false">
      <c r="A282" s="8"/>
      <c r="B282" s="14" t="n">
        <v>109</v>
      </c>
      <c r="C282" s="12" t="n">
        <f aca="false">(ABS(C113-E113)/C113)*100</f>
        <v>78.6543624161074</v>
      </c>
      <c r="D282" s="14" t="n">
        <f aca="false">(ABS(D113-F113)/D113)*100</f>
        <v>18.0023041474654</v>
      </c>
      <c r="E282" s="23"/>
      <c r="F282" s="14" t="n">
        <f aca="false">(ABS(C113-G113)/C113)*100</f>
        <v>0</v>
      </c>
      <c r="G282" s="14" t="n">
        <f aca="false">(ABS(D113-H113)/D113)*100</f>
        <v>0</v>
      </c>
      <c r="H282" s="23"/>
    </row>
    <row r="283" customFormat="false" ht="15" hidden="false" customHeight="false" outlineLevel="0" collapsed="false">
      <c r="A283" s="8"/>
      <c r="B283" s="14" t="n">
        <v>110</v>
      </c>
      <c r="C283" s="12" t="n">
        <f aca="false">(ABS(C114-E114)/C114)*100</f>
        <v>75.2642706131078</v>
      </c>
      <c r="D283" s="14" t="n">
        <f aca="false">(ABS(D114-F114)/D114)*100</f>
        <v>17.2256741499681</v>
      </c>
      <c r="E283" s="23"/>
      <c r="F283" s="14" t="n">
        <f aca="false">(ABS(C114-G114)/C114)*100</f>
        <v>0</v>
      </c>
      <c r="G283" s="14" t="n">
        <f aca="false">(ABS(D114-H114)/D114)*100</f>
        <v>0</v>
      </c>
      <c r="H283" s="23"/>
    </row>
    <row r="284" customFormat="false" ht="15" hidden="false" customHeight="false" outlineLevel="0" collapsed="false">
      <c r="A284" s="8"/>
      <c r="B284" s="14" t="n">
        <v>111</v>
      </c>
      <c r="C284" s="12" t="n">
        <f aca="false">(ABS(C115-E115)/C115)*100</f>
        <v>99.9489900020404</v>
      </c>
      <c r="D284" s="14" t="n">
        <f aca="false">(ABS(D115-F115)/D115)*100</f>
        <v>22.5056281299294</v>
      </c>
      <c r="E284" s="23"/>
      <c r="F284" s="14" t="n">
        <f aca="false">(ABS(C115-G115)/C115)*100</f>
        <v>0.01360266612256</v>
      </c>
      <c r="G284" s="14" t="n">
        <f aca="false">(ABS(D115-H115)/D115)*100</f>
        <v>0.00306292785273443</v>
      </c>
      <c r="H284" s="23"/>
    </row>
    <row r="285" customFormat="false" ht="15" hidden="false" customHeight="false" outlineLevel="0" collapsed="false">
      <c r="A285" s="8"/>
      <c r="B285" s="14" t="n">
        <v>112</v>
      </c>
      <c r="C285" s="12" t="n">
        <f aca="false">(ABS(C116-E116)/C116)*100</f>
        <v>83.3327664206265</v>
      </c>
      <c r="D285" s="14" t="n">
        <f aca="false">(ABS(D116-F116)/D116)*100</f>
        <v>18.7586618785461</v>
      </c>
      <c r="E285" s="23"/>
      <c r="F285" s="14" t="n">
        <f aca="false">(ABS(C116-G116)/C116)*100</f>
        <v>0</v>
      </c>
      <c r="G285" s="14" t="n">
        <f aca="false">(ABS(D116-H116)/D116)*100</f>
        <v>0</v>
      </c>
      <c r="H285" s="23"/>
    </row>
    <row r="286" customFormat="false" ht="15" hidden="false" customHeight="false" outlineLevel="0" collapsed="false">
      <c r="A286" s="8"/>
      <c r="B286" s="14" t="n">
        <v>113</v>
      </c>
      <c r="C286" s="12" t="n">
        <f aca="false">(ABS(C117-E117)/C117)*100</f>
        <v>88.1789027207835</v>
      </c>
      <c r="D286" s="14" t="n">
        <f aca="false">(ABS(D117-F117)/D117)*100</f>
        <v>19.5196983229136</v>
      </c>
      <c r="E286" s="23"/>
      <c r="F286" s="14" t="n">
        <f aca="false">(ABS(C117-G117)/C117)*100</f>
        <v>0</v>
      </c>
      <c r="G286" s="14" t="n">
        <f aca="false">(ABS(D117-H117)/D117)*100</f>
        <v>0</v>
      </c>
      <c r="H286" s="23"/>
    </row>
    <row r="287" customFormat="false" ht="15" hidden="false" customHeight="false" outlineLevel="0" collapsed="false">
      <c r="A287" s="8"/>
      <c r="B287" s="14" t="n">
        <v>114</v>
      </c>
      <c r="C287" s="12" t="n">
        <f aca="false">(ABS(C118-E118)/C118)*100</f>
        <v>89.8617193696334</v>
      </c>
      <c r="D287" s="14" t="n">
        <f aca="false">(ABS(D118-F118)/D118)*100</f>
        <v>19.8922145632476</v>
      </c>
      <c r="E287" s="23"/>
      <c r="F287" s="14" t="n">
        <f aca="false">(ABS(C118-G118)/C118)*100</f>
        <v>0</v>
      </c>
      <c r="G287" s="14" t="n">
        <f aca="false">(ABS(D118-H118)/D118)*100</f>
        <v>0</v>
      </c>
      <c r="H287" s="23"/>
    </row>
    <row r="288" customFormat="false" ht="15" hidden="false" customHeight="false" outlineLevel="0" collapsed="false">
      <c r="A288" s="8"/>
      <c r="B288" s="14" t="n">
        <v>115</v>
      </c>
      <c r="C288" s="12" t="n">
        <f aca="false">(ABS(C119-E119)/C119)*100</f>
        <v>78.7132867132867</v>
      </c>
      <c r="D288" s="14" t="n">
        <f aca="false">(ABS(D119-F119)/D119)*100</f>
        <v>17.1324200913242</v>
      </c>
      <c r="E288" s="23"/>
      <c r="F288" s="14" t="n">
        <f aca="false">(ABS(C119-G119)/C119)*100</f>
        <v>0</v>
      </c>
      <c r="G288" s="14" t="n">
        <f aca="false">(ABS(D119-H119)/D119)*100</f>
        <v>0</v>
      </c>
      <c r="H288" s="23"/>
    </row>
    <row r="289" customFormat="false" ht="15" hidden="false" customHeight="false" outlineLevel="0" collapsed="false">
      <c r="A289" s="8"/>
      <c r="B289" s="14" t="n">
        <v>116</v>
      </c>
      <c r="C289" s="12" t="n">
        <f aca="false">(ABS(C120-E120)/C120)*100</f>
        <v>89.7727272727273</v>
      </c>
      <c r="D289" s="14" t="n">
        <f aca="false">(ABS(D120-F120)/D120)*100</f>
        <v>19.5395738203957</v>
      </c>
      <c r="E289" s="23"/>
      <c r="F289" s="14" t="n">
        <f aca="false">(ABS(C120-G120)/C120)*100</f>
        <v>0</v>
      </c>
      <c r="G289" s="14" t="n">
        <f aca="false">(ABS(D120-H120)/D120)*100</f>
        <v>0</v>
      </c>
      <c r="H289" s="23"/>
    </row>
    <row r="290" customFormat="false" ht="15" hidden="false" customHeight="false" outlineLevel="0" collapsed="false">
      <c r="A290" s="8"/>
      <c r="B290" s="14" t="n">
        <v>117</v>
      </c>
      <c r="C290" s="12" t="n">
        <f aca="false">(ABS(C121-E121)/C121)*100</f>
        <v>83.8333333333333</v>
      </c>
      <c r="D290" s="14" t="n">
        <f aca="false">(ABS(D121-F121)/D121)*100</f>
        <v>17.9370257966616</v>
      </c>
      <c r="E290" s="23"/>
      <c r="F290" s="14" t="n">
        <f aca="false">(ABS(C121-G121)/C121)*100</f>
        <v>0</v>
      </c>
      <c r="G290" s="14" t="n">
        <f aca="false">(ABS(D121-H121)/D121)*100</f>
        <v>0</v>
      </c>
      <c r="H290" s="23"/>
    </row>
    <row r="291" customFormat="false" ht="15" hidden="false" customHeight="false" outlineLevel="0" collapsed="false">
      <c r="A291" s="8"/>
      <c r="B291" s="14" t="n">
        <v>118</v>
      </c>
      <c r="C291" s="12" t="n">
        <f aca="false">(ABS(C122-E122)/C122)*100</f>
        <v>77.1445795950211</v>
      </c>
      <c r="D291" s="14" t="n">
        <f aca="false">(ABS(D122-F122)/D122)*100</f>
        <v>16.5051858483623</v>
      </c>
      <c r="E291" s="23"/>
      <c r="F291" s="14" t="n">
        <f aca="false">(ABS(C122-G122)/C122)*100</f>
        <v>0</v>
      </c>
      <c r="G291" s="14" t="n">
        <f aca="false">(ABS(D122-H122)/D122)*100</f>
        <v>0</v>
      </c>
      <c r="H291" s="23"/>
    </row>
    <row r="292" customFormat="false" ht="15" hidden="false" customHeight="false" outlineLevel="0" collapsed="false">
      <c r="A292" s="8"/>
      <c r="B292" s="14" t="n">
        <v>119</v>
      </c>
      <c r="C292" s="12" t="n">
        <f aca="false">(ABS(C123-E123)/C123)*100</f>
        <v>99.2446043165468</v>
      </c>
      <c r="D292" s="14" t="n">
        <f aca="false">(ABS(D123-F123)/D123)*100</f>
        <v>20.8698940998487</v>
      </c>
      <c r="E292" s="23"/>
      <c r="F292" s="14" t="n">
        <f aca="false">(ABS(C123-G123)/C123)*100</f>
        <v>0</v>
      </c>
      <c r="G292" s="14" t="n">
        <f aca="false">(ABS(D123-H123)/D123)*100</f>
        <v>0</v>
      </c>
      <c r="H292" s="23"/>
    </row>
    <row r="293" customFormat="false" ht="15" hidden="false" customHeight="false" outlineLevel="0" collapsed="false">
      <c r="A293" s="8"/>
      <c r="B293" s="14" t="n">
        <v>120</v>
      </c>
      <c r="C293" s="12" t="n">
        <f aca="false">(ABS(C124-E124)/C124)*100</f>
        <v>99.9784164898018</v>
      </c>
      <c r="D293" s="14" t="n">
        <f aca="false">(ABS(D124-F124)/D124)*100</f>
        <v>21.0232902928117</v>
      </c>
      <c r="E293" s="23"/>
      <c r="F293" s="14" t="n">
        <f aca="false">(ABS(C124-G124)/C124)*100</f>
        <v>0</v>
      </c>
      <c r="G293" s="14" t="n">
        <f aca="false">(ABS(D124-H124)/D124)*100</f>
        <v>0</v>
      </c>
      <c r="H293" s="23"/>
    </row>
    <row r="294" customFormat="false" ht="15" hidden="false" customHeight="false" outlineLevel="0" collapsed="false">
      <c r="A294" s="8"/>
      <c r="B294" s="14" t="n">
        <v>121</v>
      </c>
      <c r="C294" s="12" t="n">
        <f aca="false">(ABS(C125-E125)/C125)*100</f>
        <v>99.6094890510949</v>
      </c>
      <c r="D294" s="14" t="n">
        <f aca="false">(ABS(D125-F125)/D125)*100</f>
        <v>20.5829562594268</v>
      </c>
      <c r="E294" s="23"/>
      <c r="F294" s="14" t="n">
        <f aca="false">(ABS(C125-G125)/C125)*100</f>
        <v>0</v>
      </c>
      <c r="G294" s="14" t="n">
        <f aca="false">(ABS(D125-H125)/D125)*100</f>
        <v>0</v>
      </c>
      <c r="H294" s="23"/>
    </row>
    <row r="295" customFormat="false" ht="15" hidden="false" customHeight="false" outlineLevel="0" collapsed="false">
      <c r="A295" s="8"/>
      <c r="B295" s="14" t="n">
        <v>122</v>
      </c>
      <c r="C295" s="12" t="n">
        <f aca="false">(ABS(C126-E126)/C126)*100</f>
        <v>99.9562027811234</v>
      </c>
      <c r="D295" s="14" t="n">
        <f aca="false">(ABS(D126-F126)/D126)*100</f>
        <v>20.6536903944917</v>
      </c>
      <c r="E295" s="23"/>
      <c r="F295" s="14" t="n">
        <f aca="false">(ABS(C126-G126)/C126)*100</f>
        <v>0</v>
      </c>
      <c r="G295" s="14" t="n">
        <f aca="false">(ABS(D126-H126)/D126)*100</f>
        <v>0</v>
      </c>
      <c r="H295" s="23"/>
    </row>
    <row r="296" customFormat="false" ht="15" hidden="false" customHeight="false" outlineLevel="0" collapsed="false">
      <c r="A296" s="8"/>
      <c r="B296" s="14" t="n">
        <v>123</v>
      </c>
      <c r="C296" s="12" t="n">
        <f aca="false">(ABS(C127-E127)/C127)*100</f>
        <v>99.9111111111111</v>
      </c>
      <c r="D296" s="14" t="n">
        <f aca="false">(ABS(D127-F127)/D127)*100</f>
        <v>20.2827067669173</v>
      </c>
      <c r="E296" s="23"/>
      <c r="F296" s="14" t="n">
        <f aca="false">(ABS(C127-G127)/C127)*100</f>
        <v>0</v>
      </c>
      <c r="G296" s="14" t="n">
        <f aca="false">(ABS(D127-H127)/D127)*100</f>
        <v>0</v>
      </c>
      <c r="H296" s="23"/>
    </row>
    <row r="297" customFormat="false" ht="15" hidden="false" customHeight="false" outlineLevel="0" collapsed="false">
      <c r="A297" s="8"/>
      <c r="B297" s="14" t="n">
        <v>124</v>
      </c>
      <c r="C297" s="12" t="n">
        <f aca="false">(ABS(C128-E128)/C128)*100</f>
        <v>99.5526315789474</v>
      </c>
      <c r="D297" s="14" t="n">
        <f aca="false">(ABS(D128-F128)/D128)*100</f>
        <v>19.8508245877061</v>
      </c>
      <c r="E297" s="23"/>
      <c r="F297" s="14" t="n">
        <f aca="false">(ABS(C128-G128)/C128)*100</f>
        <v>0</v>
      </c>
      <c r="G297" s="14" t="n">
        <f aca="false">(ABS(D128-H128)/D128)*100</f>
        <v>0</v>
      </c>
      <c r="H297" s="23"/>
    </row>
    <row r="298" customFormat="false" ht="15" hidden="false" customHeight="false" outlineLevel="0" collapsed="false">
      <c r="A298" s="8"/>
      <c r="B298" s="14" t="n">
        <v>125</v>
      </c>
      <c r="C298" s="12" t="n">
        <f aca="false">(ABS(C129-E129)/C129)*100</f>
        <v>99.6052631578947</v>
      </c>
      <c r="D298" s="14" t="n">
        <f aca="false">(ABS(D129-F129)/D129)*100</f>
        <v>19.8613193403298</v>
      </c>
      <c r="E298" s="23"/>
      <c r="F298" s="14" t="n">
        <f aca="false">(ABS(C129-G129)/C129)*100</f>
        <v>0</v>
      </c>
      <c r="G298" s="14" t="n">
        <f aca="false">(ABS(D129-H129)/D129)*100</f>
        <v>0</v>
      </c>
      <c r="H298" s="23"/>
    </row>
    <row r="299" customFormat="false" ht="15" hidden="false" customHeight="false" outlineLevel="0" collapsed="false">
      <c r="A299" s="8"/>
      <c r="B299" s="14" t="n">
        <v>126</v>
      </c>
      <c r="C299" s="12" t="n">
        <f aca="false">(ABS(C130-E130)/C130)*100</f>
        <v>99.675572519084</v>
      </c>
      <c r="D299" s="14" t="n">
        <f aca="false">(ABS(D130-F130)/D130)*100</f>
        <v>19.5179372197309</v>
      </c>
      <c r="E299" s="23"/>
      <c r="F299" s="14" t="n">
        <f aca="false">(ABS(C130-G130)/C130)*100</f>
        <v>0</v>
      </c>
      <c r="G299" s="14" t="n">
        <f aca="false">(ABS(D130-H130)/D130)*100</f>
        <v>0</v>
      </c>
      <c r="H299" s="23"/>
    </row>
    <row r="300" customFormat="false" ht="15" hidden="false" customHeight="false" outlineLevel="0" collapsed="false">
      <c r="A300" s="8"/>
      <c r="B300" s="14" t="n">
        <v>127</v>
      </c>
      <c r="C300" s="12" t="n">
        <f aca="false">(ABS(C131-E131)/C131)*100</f>
        <v>100</v>
      </c>
      <c r="D300" s="14" t="n">
        <f aca="false">(ABS(D131-F131)/D131)*100</f>
        <v>19.2250372578241</v>
      </c>
      <c r="E300" s="23"/>
      <c r="F300" s="14" t="n">
        <f aca="false">(ABS(C131-G131)/C131)*100</f>
        <v>0</v>
      </c>
      <c r="G300" s="14" t="n">
        <f aca="false">(ABS(D131-H131)/D131)*100</f>
        <v>0</v>
      </c>
      <c r="H300" s="23"/>
    </row>
    <row r="301" customFormat="false" ht="15" hidden="false" customHeight="false" outlineLevel="0" collapsed="false">
      <c r="A301" s="8"/>
      <c r="B301" s="14" t="n">
        <v>128</v>
      </c>
      <c r="C301" s="12" t="n">
        <f aca="false">(ABS(C132-E132)/C132)*100</f>
        <v>100</v>
      </c>
      <c r="D301" s="14" t="n">
        <f aca="false">(ABS(D132-F132)/D132)*100</f>
        <v>19.2250372578241</v>
      </c>
      <c r="E301" s="23"/>
      <c r="F301" s="14" t="n">
        <f aca="false">(ABS(C132-G132)/C132)*100</f>
        <v>0</v>
      </c>
      <c r="G301" s="14" t="n">
        <f aca="false">(ABS(D132-H132)/D132)*100</f>
        <v>0</v>
      </c>
      <c r="H301" s="23"/>
    </row>
    <row r="302" customFormat="false" ht="15" hidden="false" customHeight="false" outlineLevel="0" collapsed="false">
      <c r="A302" s="8"/>
      <c r="B302" s="14" t="n">
        <v>129</v>
      </c>
      <c r="C302" s="12" t="n">
        <f aca="false">(ABS(C133-E133)/C133)*100</f>
        <v>100</v>
      </c>
      <c r="D302" s="14" t="n">
        <f aca="false">(ABS(D133-F133)/D133)*100</f>
        <v>18.8707280832095</v>
      </c>
      <c r="E302" s="23"/>
      <c r="F302" s="14" t="n">
        <f aca="false">(ABS(C133-G133)/C133)*100</f>
        <v>0</v>
      </c>
      <c r="G302" s="14" t="n">
        <f aca="false">(ABS(D133-H133)/D133)*100</f>
        <v>0</v>
      </c>
      <c r="H302" s="23"/>
    </row>
    <row r="303" customFormat="false" ht="15" hidden="false" customHeight="false" outlineLevel="0" collapsed="false">
      <c r="A303" s="8"/>
      <c r="B303" s="14" t="n">
        <v>130</v>
      </c>
      <c r="C303" s="12" t="n">
        <f aca="false">(ABS(C134-E134)/C134)*100</f>
        <v>100</v>
      </c>
      <c r="D303" s="14" t="n">
        <f aca="false">(ABS(D134-F134)/D134)*100</f>
        <v>18.5176406100696</v>
      </c>
      <c r="E303" s="23"/>
      <c r="F303" s="14" t="n">
        <f aca="false">(ABS(C134-G134)/C134)*100</f>
        <v>0</v>
      </c>
      <c r="G303" s="14" t="n">
        <f aca="false">(ABS(D134-H134)/D134)*100</f>
        <v>0</v>
      </c>
      <c r="H303" s="23"/>
    </row>
    <row r="304" customFormat="false" ht="15" hidden="false" customHeight="false" outlineLevel="0" collapsed="false">
      <c r="A304" s="8"/>
      <c r="B304" s="14" t="n">
        <v>131</v>
      </c>
      <c r="C304" s="12" t="n">
        <f aca="false">(ABS(C135-E135)/C135)*100</f>
        <v>99.9634250416548</v>
      </c>
      <c r="D304" s="14" t="n">
        <f aca="false">(ABS(D135-F135)/D135)*100</f>
        <v>18.167852104614</v>
      </c>
      <c r="E304" s="23"/>
      <c r="F304" s="14" t="n">
        <f aca="false">(ABS(C135-G135)/C135)*100</f>
        <v>0.0284471898240338</v>
      </c>
      <c r="G304" s="14" t="n">
        <f aca="false">(ABS(D135-H135)/D135)*100</f>
        <v>0.00517013434963403</v>
      </c>
      <c r="H304" s="23"/>
    </row>
    <row r="305" customFormat="false" ht="15" hidden="false" customHeight="false" outlineLevel="0" collapsed="false">
      <c r="A305" s="8"/>
      <c r="B305" s="14" t="n">
        <v>132</v>
      </c>
      <c r="C305" s="12" t="n">
        <f aca="false">(ABS(C136-E136)/C136)*100</f>
        <v>99.6157024793388</v>
      </c>
      <c r="D305" s="14" t="n">
        <f aca="false">(ABS(D136-F136)/D136)*100</f>
        <v>17.7518409425626</v>
      </c>
      <c r="E305" s="23"/>
      <c r="F305" s="14" t="n">
        <f aca="false">(ABS(C136-G136)/C136)*100</f>
        <v>0</v>
      </c>
      <c r="G305" s="14" t="n">
        <f aca="false">(ABS(D136-H136)/D136)*100</f>
        <v>0</v>
      </c>
      <c r="H305" s="23"/>
    </row>
    <row r="306" customFormat="false" ht="15" hidden="false" customHeight="false" outlineLevel="0" collapsed="false">
      <c r="A306" s="8"/>
      <c r="B306" s="14" t="n">
        <v>133</v>
      </c>
      <c r="C306" s="12" t="n">
        <f aca="false">(ABS(C137-E137)/C137)*100</f>
        <v>98.4957983193277</v>
      </c>
      <c r="D306" s="14" t="n">
        <f aca="false">(ABS(D137-F137)/D137)*100</f>
        <v>17.2114537444934</v>
      </c>
      <c r="E306" s="23"/>
      <c r="F306" s="14" t="n">
        <f aca="false">(ABS(C137-G137)/C137)*100</f>
        <v>0</v>
      </c>
      <c r="G306" s="14" t="n">
        <f aca="false">(ABS(D137-H137)/D137)*100</f>
        <v>0</v>
      </c>
      <c r="H306" s="23"/>
    </row>
    <row r="307" customFormat="false" ht="15" hidden="false" customHeight="false" outlineLevel="0" collapsed="false">
      <c r="A307" s="8"/>
      <c r="B307" s="14" t="n">
        <v>134</v>
      </c>
      <c r="C307" s="12" t="n">
        <f aca="false">(ABS(C138-E138)/C138)*100</f>
        <v>99.2226890756303</v>
      </c>
      <c r="D307" s="14" t="n">
        <f aca="false">(ABS(D138-F138)/D138)*100</f>
        <v>17.3384728340676</v>
      </c>
      <c r="E307" s="23"/>
      <c r="F307" s="14" t="n">
        <f aca="false">(ABS(C138-G138)/C138)*100</f>
        <v>0</v>
      </c>
      <c r="G307" s="14" t="n">
        <f aca="false">(ABS(D138-H138)/D138)*100</f>
        <v>0</v>
      </c>
      <c r="H307" s="23"/>
    </row>
    <row r="308" customFormat="false" ht="15" hidden="false" customHeight="false" outlineLevel="0" collapsed="false">
      <c r="A308" s="8"/>
      <c r="B308" s="14" t="n">
        <v>135</v>
      </c>
      <c r="C308" s="12" t="n">
        <f aca="false">(ABS(C139-E139)/C139)*100</f>
        <v>94.7905982905983</v>
      </c>
      <c r="D308" s="14" t="n">
        <f aca="false">(ABS(D139-F139)/D139)*100</f>
        <v>16.2379209370425</v>
      </c>
      <c r="E308" s="23"/>
      <c r="F308" s="14" t="n">
        <f aca="false">(ABS(C139-G139)/C139)*100</f>
        <v>0</v>
      </c>
      <c r="G308" s="14" t="n">
        <f aca="false">(ABS(D139-H139)/D139)*100</f>
        <v>0</v>
      </c>
      <c r="H308" s="23"/>
    </row>
    <row r="309" customFormat="false" ht="15" hidden="false" customHeight="false" outlineLevel="0" collapsed="false">
      <c r="A309" s="8"/>
      <c r="B309" s="14" t="n">
        <v>136</v>
      </c>
      <c r="C309" s="12" t="n">
        <f aca="false">(ABS(C140-E140)/C140)*100</f>
        <v>99.9869565217391</v>
      </c>
      <c r="D309" s="14" t="n">
        <f aca="false">(ABS(D140-F140)/D140)*100</f>
        <v>16.7861313868613</v>
      </c>
      <c r="E309" s="23"/>
      <c r="F309" s="14" t="n">
        <f aca="false">(ABS(C140-G140)/C140)*100</f>
        <v>0.0130434782608696</v>
      </c>
      <c r="G309" s="14" t="n">
        <f aca="false">(ABS(D140-H140)/D140)*100</f>
        <v>0.00218978102189781</v>
      </c>
      <c r="H309" s="23"/>
    </row>
    <row r="310" customFormat="false" ht="15" hidden="false" customHeight="false" outlineLevel="0" collapsed="false">
      <c r="A310" s="8"/>
      <c r="B310" s="14" t="n">
        <v>137</v>
      </c>
      <c r="C310" s="12" t="n">
        <f aca="false">(ABS(C141-E141)/C141)*100</f>
        <v>100</v>
      </c>
      <c r="D310" s="14" t="n">
        <f aca="false">(ABS(D141-F141)/D141)*100</f>
        <v>16.448326055313</v>
      </c>
      <c r="E310" s="23"/>
      <c r="F310" s="14" t="n">
        <f aca="false">(ABS(C141-G141)/C141)*100</f>
        <v>0</v>
      </c>
      <c r="G310" s="14" t="n">
        <f aca="false">(ABS(D141-H141)/D141)*100</f>
        <v>0</v>
      </c>
      <c r="H310" s="23"/>
    </row>
    <row r="311" customFormat="false" ht="15" hidden="false" customHeight="false" outlineLevel="0" collapsed="false">
      <c r="A311" s="8"/>
      <c r="B311" s="14" t="n">
        <v>138</v>
      </c>
      <c r="C311" s="12" t="n">
        <f aca="false">(ABS(C142-E142)/C142)*100</f>
        <v>100</v>
      </c>
      <c r="D311" s="14" t="n">
        <f aca="false">(ABS(D142-F142)/D142)*100</f>
        <v>16.1103047895501</v>
      </c>
      <c r="E311" s="23"/>
      <c r="F311" s="14" t="n">
        <f aca="false">(ABS(C142-G142)/C142)*100</f>
        <v>0</v>
      </c>
      <c r="G311" s="14" t="n">
        <f aca="false">(ABS(D142-H142)/D142)*100</f>
        <v>0</v>
      </c>
      <c r="H311" s="23"/>
    </row>
    <row r="312" customFormat="false" ht="15" hidden="false" customHeight="false" outlineLevel="0" collapsed="false">
      <c r="A312" s="8"/>
      <c r="B312" s="14" t="n">
        <v>139</v>
      </c>
      <c r="C312" s="12" t="n">
        <f aca="false">(ABS(C143-E143)/C143)*100</f>
        <v>100</v>
      </c>
      <c r="D312" s="14" t="n">
        <f aca="false">(ABS(D143-F143)/D143)*100</f>
        <v>15.7734025079413</v>
      </c>
      <c r="E312" s="23"/>
      <c r="F312" s="14" t="n">
        <f aca="false">(ABS(C143-G143)/C143)*100</f>
        <v>0</v>
      </c>
      <c r="G312" s="14" t="n">
        <f aca="false">(ABS(D143-H143)/D143)*100</f>
        <v>0</v>
      </c>
      <c r="H312" s="23"/>
    </row>
    <row r="313" customFormat="false" ht="15" hidden="false" customHeight="false" outlineLevel="0" collapsed="false">
      <c r="A313" s="8"/>
      <c r="B313" s="14" t="n">
        <v>140</v>
      </c>
      <c r="C313" s="12" t="n">
        <f aca="false">(ABS(C144-E144)/C144)*100</f>
        <v>99.8952380952381</v>
      </c>
      <c r="D313" s="14" t="n">
        <f aca="false">(ABS(D144-F144)/D144)*100</f>
        <v>15.0920863309353</v>
      </c>
      <c r="E313" s="23"/>
      <c r="F313" s="14" t="n">
        <f aca="false">(ABS(C144-G144)/C144)*100</f>
        <v>0.0238095238095238</v>
      </c>
      <c r="G313" s="14" t="n">
        <f aca="false">(ABS(D144-H144)/D144)*100</f>
        <v>0.00359712230215827</v>
      </c>
      <c r="H313" s="23"/>
    </row>
    <row r="314" customFormat="false" ht="15" hidden="false" customHeight="false" outlineLevel="0" collapsed="false">
      <c r="A314" s="8"/>
      <c r="B314" s="14" t="n">
        <v>141</v>
      </c>
      <c r="C314" s="12" t="n">
        <f aca="false">(ABS(C145-E145)/C145)*100</f>
        <v>97.6995874787673</v>
      </c>
      <c r="D314" s="14" t="n">
        <f aca="false">(ABS(D145-F145)/D145)*100</f>
        <v>14.4416944653682</v>
      </c>
      <c r="E314" s="23"/>
      <c r="F314" s="14" t="n">
        <f aca="false">(ABS(C145-G145)/C145)*100</f>
        <v>0.0145595729191944</v>
      </c>
      <c r="G314" s="14" t="n">
        <f aca="false">(ABS(D145-H145)/D145)*100</f>
        <v>0.00215215753793178</v>
      </c>
      <c r="H314" s="23"/>
    </row>
    <row r="315" customFormat="false" ht="15" hidden="false" customHeight="false" outlineLevel="0" collapsed="false">
      <c r="A315" s="8"/>
      <c r="B315" s="14" t="n">
        <v>142</v>
      </c>
      <c r="C315" s="12" t="n">
        <f aca="false">(ABS(C146-E146)/C146)*100</f>
        <v>92.7227722772277</v>
      </c>
      <c r="D315" s="14" t="n">
        <f aca="false">(ABS(D146-F146)/D146)*100</f>
        <v>13.3977110157368</v>
      </c>
      <c r="E315" s="23"/>
      <c r="F315" s="14" t="n">
        <f aca="false">(ABS(C146-G146)/C146)*100</f>
        <v>0.0346534653465347</v>
      </c>
      <c r="G315" s="14" t="n">
        <f aca="false">(ABS(D146-H146)/D146)*100</f>
        <v>0.0050071530758226</v>
      </c>
      <c r="H315" s="23"/>
    </row>
    <row r="316" customFormat="false" ht="15" hidden="false" customHeight="false" outlineLevel="0" collapsed="false">
      <c r="A316" s="8"/>
      <c r="B316" s="14" t="n">
        <v>143</v>
      </c>
      <c r="C316" s="12" t="n">
        <f aca="false">(ABS(C147-E147)/C147)*100</f>
        <v>99.9090863174908</v>
      </c>
      <c r="D316" s="14" t="n">
        <f aca="false">(ABS(D147-F147)/D147)*100</f>
        <v>14.1090291795351</v>
      </c>
      <c r="E316" s="23"/>
      <c r="F316" s="14" t="n">
        <f aca="false">(ABS(C147-G147)/C147)*100</f>
        <v>0.0353553209758069</v>
      </c>
      <c r="G316" s="14" t="n">
        <f aca="false">(ABS(D147-H147)/D147)*100</f>
        <v>0.00499283172017318</v>
      </c>
      <c r="H316" s="23"/>
    </row>
    <row r="317" customFormat="false" ht="15" hidden="false" customHeight="false" outlineLevel="0" collapsed="false">
      <c r="A317" s="8"/>
      <c r="B317" s="14" t="n">
        <v>144</v>
      </c>
      <c r="C317" s="12" t="n">
        <f aca="false">(ABS(C148-E148)/C148)*100</f>
        <v>97.3453608247423</v>
      </c>
      <c r="D317" s="14" t="n">
        <f aca="false">(ABS(D148-F148)/D148)*100</f>
        <v>13.4317211948791</v>
      </c>
      <c r="E317" s="23"/>
      <c r="F317" s="14" t="n">
        <f aca="false">(ABS(C148-G148)/C148)*100</f>
        <v>0.0360824742268041</v>
      </c>
      <c r="G317" s="14" t="n">
        <f aca="false">(ABS(D148-H148)/D148)*100</f>
        <v>0.00497866287339972</v>
      </c>
      <c r="H317" s="23"/>
    </row>
    <row r="318" customFormat="false" ht="15" hidden="false" customHeight="false" outlineLevel="0" collapsed="false">
      <c r="A318" s="8"/>
      <c r="B318" s="14" t="n">
        <v>145</v>
      </c>
      <c r="C318" s="12" t="n">
        <f aca="false">(ABS(C149-E149)/C149)*100</f>
        <v>99.8548387096774</v>
      </c>
      <c r="D318" s="14" t="n">
        <f aca="false">(ABS(D149-F149)/D149)*100</f>
        <v>13.1350777934936</v>
      </c>
      <c r="E318" s="23"/>
      <c r="F318" s="14" t="n">
        <f aca="false">(ABS(C149-G149)/C149)*100</f>
        <v>0.0376344086021505</v>
      </c>
      <c r="G318" s="14" t="n">
        <f aca="false">(ABS(D149-H149)/D149)*100</f>
        <v>0.00495049504950495</v>
      </c>
      <c r="H318" s="23"/>
    </row>
    <row r="319" customFormat="false" ht="15" hidden="false" customHeight="false" outlineLevel="0" collapsed="false">
      <c r="A319" s="8"/>
      <c r="B319" s="14" t="n">
        <v>146</v>
      </c>
      <c r="C319" s="12" t="n">
        <f aca="false">(ABS(C150-E150)/C150)*100</f>
        <v>99.8516483516484</v>
      </c>
      <c r="D319" s="14" t="n">
        <f aca="false">(ABS(D150-F150)/D150)*100</f>
        <v>12.8159379407616</v>
      </c>
      <c r="E319" s="23"/>
      <c r="F319" s="14" t="n">
        <f aca="false">(ABS(C150-G150)/C150)*100</f>
        <v>0.0384615384615385</v>
      </c>
      <c r="G319" s="14" t="n">
        <f aca="false">(ABS(D150-H150)/D150)*100</f>
        <v>0.00493653032440056</v>
      </c>
      <c r="H319" s="23"/>
    </row>
    <row r="320" customFormat="false" ht="15" hidden="false" customHeight="false" outlineLevel="0" collapsed="false">
      <c r="A320" s="8"/>
      <c r="B320" s="14" t="n">
        <v>147</v>
      </c>
      <c r="C320" s="12" t="n">
        <f aca="false">(ABS(C151-E151)/C151)*100</f>
        <v>97.500143669904</v>
      </c>
      <c r="D320" s="14" t="n">
        <f aca="false">(ABS(D151-F151)/D151)*100</f>
        <v>11.8976991423502</v>
      </c>
      <c r="E320" s="23"/>
      <c r="F320" s="14" t="n">
        <f aca="false">(ABS(C151-G151)/C151)*100</f>
        <v>0</v>
      </c>
      <c r="G320" s="14" t="n">
        <f aca="false">(ABS(D151-H151)/D151)*100</f>
        <v>0</v>
      </c>
      <c r="H320" s="23"/>
    </row>
    <row r="321" customFormat="false" ht="15" hidden="false" customHeight="false" outlineLevel="0" collapsed="false">
      <c r="A321" s="8"/>
      <c r="B321" s="14" t="n">
        <v>148</v>
      </c>
      <c r="C321" s="12" t="n">
        <f aca="false">(ABS(C152-E152)/C152)*100</f>
        <v>99.2705882352941</v>
      </c>
      <c r="D321" s="14" t="n">
        <f aca="false">(ABS(D152-F152)/D152)*100</f>
        <v>11.8013986013986</v>
      </c>
      <c r="E321" s="23"/>
      <c r="F321" s="14" t="n">
        <f aca="false">(ABS(C152-G152)/C152)*100</f>
        <v>0</v>
      </c>
      <c r="G321" s="14" t="n">
        <f aca="false">(ABS(D152-H152)/D152)*100</f>
        <v>0</v>
      </c>
      <c r="H321" s="23"/>
    </row>
    <row r="322" customFormat="false" ht="15" hidden="false" customHeight="false" outlineLevel="0" collapsed="false">
      <c r="A322" s="8"/>
      <c r="B322" s="14" t="n">
        <v>149</v>
      </c>
      <c r="C322" s="12" t="n">
        <f aca="false">(ABS(C153-E153)/C153)*100</f>
        <v>93.9320987654321</v>
      </c>
      <c r="D322" s="14" t="n">
        <f aca="false">(ABS(D153-F153)/D153)*100</f>
        <v>10.5820584144645</v>
      </c>
      <c r="E322" s="23"/>
      <c r="F322" s="14" t="n">
        <f aca="false">(ABS(C153-G153)/C153)*100</f>
        <v>0</v>
      </c>
      <c r="G322" s="14" t="n">
        <f aca="false">(ABS(D153-H153)/D153)*100</f>
        <v>0</v>
      </c>
      <c r="H322" s="23"/>
    </row>
    <row r="323" customFormat="false" ht="15" hidden="false" customHeight="false" outlineLevel="0" collapsed="false">
      <c r="A323" s="8"/>
      <c r="B323" s="14" t="n">
        <v>150</v>
      </c>
      <c r="C323" s="12" t="n">
        <f aca="false">(ABS(C154-E154)/C154)*100</f>
        <v>99.5584415584416</v>
      </c>
      <c r="D323" s="14" t="n">
        <f aca="false">(ABS(D154-F154)/D154)*100</f>
        <v>10.6030428769018</v>
      </c>
      <c r="E323" s="23"/>
      <c r="F323" s="14" t="n">
        <f aca="false">(ABS(C154-G154)/C154)*100</f>
        <v>0.0584415584415584</v>
      </c>
      <c r="G323" s="14" t="n">
        <f aca="false">(ABS(D154-H154)/D154)*100</f>
        <v>0.00622406639004149</v>
      </c>
      <c r="H323" s="23"/>
    </row>
    <row r="324" customFormat="false" ht="15" hidden="false" customHeight="false" outlineLevel="0" collapsed="false">
      <c r="A324" s="8"/>
      <c r="B324" s="14" t="n">
        <v>151</v>
      </c>
      <c r="C324" s="12" t="n">
        <f aca="false">(ABS(C155-E155)/C155)*100</f>
        <v>99.8013698630137</v>
      </c>
      <c r="D324" s="14" t="n">
        <f aca="false">(ABS(D155-F155)/D155)*100</f>
        <v>10.0213204951857</v>
      </c>
      <c r="E324" s="23"/>
      <c r="F324" s="14" t="n">
        <f aca="false">(ABS(C155-G155)/C155)*100</f>
        <v>0.0479452054794521</v>
      </c>
      <c r="G324" s="14" t="n">
        <f aca="false">(ABS(D155-H155)/D155)*100</f>
        <v>0.00481430536451169</v>
      </c>
      <c r="H324" s="23"/>
    </row>
    <row r="325" customFormat="false" ht="15" hidden="false" customHeight="false" outlineLevel="0" collapsed="false">
      <c r="A325" s="8"/>
      <c r="B325" s="14" t="n">
        <v>152</v>
      </c>
      <c r="C325" s="12" t="n">
        <f aca="false">(ABS(C156-E156)/C156)*100</f>
        <v>99.8986021583255</v>
      </c>
      <c r="D325" s="14" t="n">
        <f aca="false">(ABS(D156-F156)/D156)*100</f>
        <v>9.43478825935578</v>
      </c>
      <c r="E325" s="23"/>
      <c r="F325" s="14" t="n">
        <f aca="false">(ABS(C156-G156)/C156)*100</f>
        <v>0</v>
      </c>
      <c r="G325" s="14" t="n">
        <f aca="false">(ABS(D156-H156)/D156)*100</f>
        <v>0</v>
      </c>
      <c r="H325" s="23"/>
    </row>
    <row r="326" customFormat="false" ht="15" hidden="false" customHeight="false" outlineLevel="0" collapsed="false">
      <c r="A326" s="8"/>
      <c r="B326" s="14" t="n">
        <v>153</v>
      </c>
      <c r="C326" s="12" t="n">
        <f aca="false">(ABS(C157-E157)/C157)*100</f>
        <v>99.8769136087391</v>
      </c>
      <c r="D326" s="14" t="n">
        <f aca="false">(ABS(D157-F157)/D157)*100</f>
        <v>8.83191270807682</v>
      </c>
      <c r="E326" s="23"/>
      <c r="F326" s="14" t="n">
        <f aca="false">(ABS(C157-G157)/C157)*100</f>
        <v>0</v>
      </c>
      <c r="G326" s="14" t="n">
        <f aca="false">(ABS(D157-H157)/D157)*100</f>
        <v>0</v>
      </c>
      <c r="H326" s="23"/>
    </row>
    <row r="327" customFormat="false" ht="15" hidden="false" customHeight="false" outlineLevel="0" collapsed="false">
      <c r="A327" s="8"/>
      <c r="B327" s="14" t="n">
        <v>154</v>
      </c>
      <c r="C327" s="12" t="n">
        <f aca="false">(ABS(C158-E158)/C158)*100</f>
        <v>100</v>
      </c>
      <c r="D327" s="14" t="n">
        <f aca="false">(ABS(D158-F158)/D158)*100</f>
        <v>8.25439783491204</v>
      </c>
      <c r="E327" s="23"/>
      <c r="F327" s="14" t="n">
        <f aca="false">(ABS(C158-G158)/C158)*100</f>
        <v>0.0819672131147541</v>
      </c>
      <c r="G327" s="14" t="n">
        <f aca="false">(ABS(D158-H158)/D158)*100</f>
        <v>0.006765899864682</v>
      </c>
      <c r="H327" s="23"/>
    </row>
    <row r="328" customFormat="false" ht="15" hidden="false" customHeight="false" outlineLevel="0" collapsed="false">
      <c r="A328" s="8"/>
      <c r="B328" s="14" t="n">
        <v>155</v>
      </c>
      <c r="C328" s="12" t="n">
        <f aca="false">(ABS(C159-E159)/C159)*100</f>
        <v>99.5727661121716</v>
      </c>
      <c r="D328" s="14" t="n">
        <f aca="false">(ABS(D159-F159)/D159)*100</f>
        <v>7.35172719279995</v>
      </c>
      <c r="E328" s="23"/>
      <c r="F328" s="14" t="n">
        <f aca="false">(ABS(C159-G159)/C159)*100</f>
        <v>0.0272702481592583</v>
      </c>
      <c r="G328" s="14" t="n">
        <f aca="false">(ABS(D159-H159)/D159)*100</f>
        <v>0.00201343633178746</v>
      </c>
      <c r="H328" s="23"/>
    </row>
    <row r="329" customFormat="false" ht="15" hidden="false" customHeight="false" outlineLevel="0" collapsed="false">
      <c r="A329" s="8"/>
      <c r="B329" s="14" t="n">
        <v>156</v>
      </c>
      <c r="C329" s="12" t="n">
        <f aca="false">(ABS(C160-E160)/C160)*100</f>
        <v>100</v>
      </c>
      <c r="D329" s="14" t="n">
        <f aca="false">(ABS(D160-F160)/D160)*100</f>
        <v>6.52463382157124</v>
      </c>
      <c r="E329" s="23"/>
      <c r="F329" s="14" t="n">
        <f aca="false">(ABS(C160-G160)/C160)*100</f>
        <v>0.13265306122449</v>
      </c>
      <c r="G329" s="14" t="n">
        <f aca="false">(ABS(D160-H160)/D160)*100</f>
        <v>0.00865512649800266</v>
      </c>
      <c r="H329" s="23"/>
    </row>
    <row r="330" customFormat="false" ht="15" hidden="false" customHeight="false" outlineLevel="0" collapsed="false">
      <c r="A330" s="8"/>
      <c r="B330" s="14" t="n">
        <v>157</v>
      </c>
      <c r="C330" s="12" t="n">
        <f aca="false">(ABS(C161-E161)/C161)*100</f>
        <v>100</v>
      </c>
      <c r="D330" s="14" t="n">
        <f aca="false">(ABS(D161-F161)/D161)*100</f>
        <v>5.68031704095112</v>
      </c>
      <c r="E330" s="23"/>
      <c r="F330" s="14" t="n">
        <f aca="false">(ABS(C161-G161)/C161)*100</f>
        <v>0</v>
      </c>
      <c r="G330" s="14" t="n">
        <f aca="false">(ABS(D161-H161)/D161)*100</f>
        <v>0</v>
      </c>
      <c r="H330" s="23"/>
    </row>
    <row r="331" customFormat="false" ht="15" hidden="false" customHeight="false" outlineLevel="0" collapsed="false">
      <c r="A331" s="8"/>
      <c r="B331" s="14" t="n">
        <v>158</v>
      </c>
      <c r="C331" s="12" t="n">
        <f aca="false">(ABS(C162-E162)/C162)*100</f>
        <v>99.7714285714286</v>
      </c>
      <c r="D331" s="14" t="n">
        <f aca="false">(ABS(D162-F162)/D162)*100</f>
        <v>4.56470588235294</v>
      </c>
      <c r="E331" s="23"/>
      <c r="F331" s="14" t="n">
        <f aca="false">(ABS(C162-G162)/C162)*100</f>
        <v>0.0142857142857143</v>
      </c>
      <c r="G331" s="14" t="n">
        <f aca="false">(ABS(D162-H162)/D162)*100</f>
        <v>0.00065359477124183</v>
      </c>
      <c r="H331" s="23"/>
    </row>
    <row r="332" customFormat="false" ht="15" hidden="false" customHeight="false" outlineLevel="0" collapsed="false">
      <c r="A332" s="8"/>
      <c r="B332" s="14" t="n">
        <v>159</v>
      </c>
      <c r="C332" s="12" t="n">
        <f aca="false">(ABS(C163-E163)/C163)*100</f>
        <v>93.28</v>
      </c>
      <c r="D332" s="14" t="n">
        <f aca="false">(ABS(D163-F163)/D163)*100</f>
        <v>3.00903225806452</v>
      </c>
      <c r="E332" s="23"/>
      <c r="F332" s="14" t="n">
        <f aca="false">(ABS(C163-G163)/C163)*100</f>
        <v>0.04</v>
      </c>
      <c r="G332" s="14" t="n">
        <f aca="false">(ABS(D163-H163)/D163)*100</f>
        <v>0.00129032258064516</v>
      </c>
      <c r="H332" s="23"/>
    </row>
    <row r="333" customFormat="false" ht="15" hidden="false" customHeight="false" outlineLevel="0" collapsed="false">
      <c r="A333" s="8"/>
      <c r="B333" s="14" t="n">
        <v>160</v>
      </c>
      <c r="C333" s="12" t="n">
        <f aca="false">(ABS(C164-E164)/C164)*100</f>
        <v>100</v>
      </c>
      <c r="D333" s="14" t="n">
        <f aca="false">(ABS(D164-F164)/D164)*100</f>
        <v>0.125156445556946</v>
      </c>
      <c r="E333" s="24" t="s">
        <v>11</v>
      </c>
      <c r="F333" s="14" t="n">
        <f aca="false">(ABS(C164-G164)/C164)*100</f>
        <v>100</v>
      </c>
      <c r="G333" s="14" t="n">
        <f aca="false">(ABS(D164-H164)/D164)*100</f>
        <v>0.125156445556946</v>
      </c>
      <c r="H333" s="24" t="s">
        <v>11</v>
      </c>
    </row>
    <row r="334" customFormat="false" ht="15" hidden="false" customHeight="false" outlineLevel="0" collapsed="false">
      <c r="A334" s="8"/>
      <c r="B334" s="16" t="s">
        <v>8</v>
      </c>
      <c r="C334" s="17" t="n">
        <f aca="false">(ABS(SUM(C4:C164)-SUM(E4:E164))/SUM(C4:C164))*100</f>
        <v>96.439846214025</v>
      </c>
      <c r="D334" s="19" t="n">
        <f aca="false">(ABS(SUM(D4:D164)-SUM(F4:F164))/SUM(D4:D164))*100</f>
        <v>17.81313534006</v>
      </c>
      <c r="E334" s="25" t="n">
        <f aca="false">SUM(C173:D333)/(161*2)</f>
        <v>57.2257837548989</v>
      </c>
      <c r="F334" s="19" t="n">
        <f aca="false">(ABS(SUM(C4:C164)-SUM(G4:G164))/SUM(C4:C164))*100</f>
        <v>0.00064737312171536</v>
      </c>
      <c r="G334" s="19" t="n">
        <f aca="false">(ABS(SUM(D4:D164)-SUM(H4:H164))/SUM(D4:D164))*100</f>
        <v>0.000119574485913643</v>
      </c>
      <c r="H334" s="25" t="n">
        <f aca="false">SUM(F173:G333)/(161*2)</f>
        <v>0.315536273737519</v>
      </c>
    </row>
  </sheetData>
  <mergeCells count="11">
    <mergeCell ref="B1:B3"/>
    <mergeCell ref="C1:D2"/>
    <mergeCell ref="E1:H1"/>
    <mergeCell ref="E2:F2"/>
    <mergeCell ref="G2:H2"/>
    <mergeCell ref="A3:A165"/>
    <mergeCell ref="B170:B172"/>
    <mergeCell ref="C170:H170"/>
    <mergeCell ref="C171:E171"/>
    <mergeCell ref="F171:H171"/>
    <mergeCell ref="A172:A3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4"/>
  <sheetViews>
    <sheetView showFormulas="false" showGridLines="true" showRowColHeaders="true" showZeros="true" rightToLeft="false" tabSelected="true" showOutlineSymbols="true" defaultGridColor="true" view="normal" topLeftCell="G307" colorId="64" zoomScale="100" zoomScaleNormal="100" zoomScalePageLayoutView="100" workbookViewId="0">
      <selection pane="topLeft" activeCell="H334" activeCellId="0" sqref="H334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3.07"/>
  </cols>
  <sheetData>
    <row r="1" customFormat="false" ht="15" hidden="false" customHeight="false" outlineLevel="0" collapsed="false">
      <c r="A1" s="2"/>
      <c r="B1" s="3" t="s">
        <v>0</v>
      </c>
      <c r="C1" s="4" t="s">
        <v>14</v>
      </c>
      <c r="D1" s="4"/>
      <c r="E1" s="28" t="s">
        <v>15</v>
      </c>
      <c r="F1" s="28"/>
      <c r="G1" s="28"/>
      <c r="H1" s="28"/>
      <c r="I1" s="21" t="s">
        <v>16</v>
      </c>
      <c r="J1" s="21"/>
      <c r="K1" s="21"/>
      <c r="L1" s="21"/>
    </row>
    <row r="2" customFormat="false" ht="15" hidden="false" customHeight="false" outlineLevel="0" collapsed="false">
      <c r="A2" s="2"/>
      <c r="B2" s="3"/>
      <c r="C2" s="3"/>
      <c r="D2" s="4"/>
      <c r="E2" s="6" t="s">
        <v>3</v>
      </c>
      <c r="F2" s="6"/>
      <c r="G2" s="29" t="s">
        <v>4</v>
      </c>
      <c r="H2" s="29"/>
      <c r="I2" s="30" t="s">
        <v>3</v>
      </c>
      <c r="J2" s="30"/>
      <c r="K2" s="7" t="s">
        <v>4</v>
      </c>
      <c r="L2" s="7"/>
    </row>
    <row r="3" customFormat="false" ht="15" hidden="false" customHeight="false" outlineLevel="0" collapsed="false">
      <c r="A3" s="8" t="s">
        <v>10</v>
      </c>
      <c r="B3" s="3"/>
      <c r="C3" s="31" t="s">
        <v>13</v>
      </c>
      <c r="D3" s="10" t="s">
        <v>7</v>
      </c>
      <c r="E3" s="9" t="s">
        <v>6</v>
      </c>
      <c r="F3" s="11" t="s">
        <v>7</v>
      </c>
      <c r="G3" s="9" t="s">
        <v>6</v>
      </c>
      <c r="H3" s="32" t="s">
        <v>7</v>
      </c>
      <c r="I3" s="31" t="s">
        <v>13</v>
      </c>
      <c r="J3" s="11" t="s">
        <v>7</v>
      </c>
      <c r="K3" s="26" t="s">
        <v>13</v>
      </c>
      <c r="L3" s="10" t="s">
        <v>7</v>
      </c>
    </row>
    <row r="4" customFormat="false" ht="15" hidden="false" customHeight="false" outlineLevel="0" collapsed="false">
      <c r="A4" s="8"/>
      <c r="B4" s="14" t="n">
        <v>0</v>
      </c>
      <c r="C4" s="12" t="n">
        <v>200</v>
      </c>
      <c r="D4" s="13" t="n">
        <v>159800</v>
      </c>
      <c r="E4" s="33" t="n">
        <f aca="false">'Color clustering'!E4</f>
        <v>200</v>
      </c>
      <c r="F4" s="15" t="n">
        <f aca="false">'Color clustering'!F4</f>
        <v>159800</v>
      </c>
      <c r="G4" s="33" t="n">
        <f aca="false">'Color clustering'!G4</f>
        <v>200</v>
      </c>
      <c r="H4" s="14" t="n">
        <f aca="false">'Color clustering'!H4</f>
        <v>159800</v>
      </c>
      <c r="I4" s="12" t="n">
        <f aca="false">'Color classification'!E4</f>
        <v>200</v>
      </c>
      <c r="J4" s="15" t="n">
        <f aca="false">'Color classification'!F4</f>
        <v>159800</v>
      </c>
      <c r="K4" s="14" t="n">
        <f aca="false">'Color classification'!G4</f>
        <v>200</v>
      </c>
      <c r="L4" s="13" t="n">
        <f aca="false">'Color classification'!H4</f>
        <v>159800</v>
      </c>
    </row>
    <row r="5" customFormat="false" ht="15" hidden="false" customHeight="false" outlineLevel="0" collapsed="false">
      <c r="A5" s="8"/>
      <c r="B5" s="14" t="n">
        <v>1</v>
      </c>
      <c r="C5" s="12" t="n">
        <v>5000</v>
      </c>
      <c r="D5" s="13" t="n">
        <v>155000</v>
      </c>
      <c r="E5" s="33" t="n">
        <f aca="false">'Color clustering'!E5</f>
        <v>0</v>
      </c>
      <c r="F5" s="15" t="n">
        <f aca="false">'Color clustering'!F5</f>
        <v>160000</v>
      </c>
      <c r="G5" s="33" t="n">
        <f aca="false">'Color clustering'!G5</f>
        <v>4999</v>
      </c>
      <c r="H5" s="14" t="n">
        <f aca="false">'Color clustering'!H5</f>
        <v>155001</v>
      </c>
      <c r="I5" s="12" t="n">
        <f aca="false">'Color classification'!E5</f>
        <v>0</v>
      </c>
      <c r="J5" s="15" t="n">
        <f aca="false">'Color classification'!F5</f>
        <v>160000</v>
      </c>
      <c r="K5" s="14" t="n">
        <f aca="false">'Color classification'!G5</f>
        <v>4999</v>
      </c>
      <c r="L5" s="13" t="n">
        <f aca="false">'Color classification'!H5</f>
        <v>155001</v>
      </c>
    </row>
    <row r="6" customFormat="false" ht="15" hidden="false" customHeight="false" outlineLevel="0" collapsed="false">
      <c r="A6" s="8"/>
      <c r="B6" s="14" t="n">
        <v>2</v>
      </c>
      <c r="C6" s="12" t="n">
        <v>7000</v>
      </c>
      <c r="D6" s="13" t="n">
        <v>153000</v>
      </c>
      <c r="E6" s="33" t="n">
        <f aca="false">'Color clustering'!E6</f>
        <v>0</v>
      </c>
      <c r="F6" s="15" t="n">
        <f aca="false">'Color clustering'!F6</f>
        <v>160000</v>
      </c>
      <c r="G6" s="33" t="n">
        <f aca="false">'Color clustering'!G6</f>
        <v>7014</v>
      </c>
      <c r="H6" s="14" t="n">
        <f aca="false">'Color clustering'!H6</f>
        <v>152986</v>
      </c>
      <c r="I6" s="12" t="n">
        <f aca="false">'Color classification'!E6</f>
        <v>0</v>
      </c>
      <c r="J6" s="15" t="n">
        <f aca="false">'Color classification'!F6</f>
        <v>160000</v>
      </c>
      <c r="K6" s="14" t="n">
        <f aca="false">'Color classification'!G6</f>
        <v>7013</v>
      </c>
      <c r="L6" s="13" t="n">
        <f aca="false">'Color classification'!H6</f>
        <v>152987</v>
      </c>
    </row>
    <row r="7" customFormat="false" ht="15" hidden="false" customHeight="false" outlineLevel="0" collapsed="false">
      <c r="A7" s="8"/>
      <c r="B7" s="14" t="n">
        <v>3</v>
      </c>
      <c r="C7" s="12" t="n">
        <v>8600</v>
      </c>
      <c r="D7" s="13" t="n">
        <v>151400</v>
      </c>
      <c r="E7" s="33" t="n">
        <f aca="false">'Color clustering'!E7</f>
        <v>0</v>
      </c>
      <c r="F7" s="15" t="n">
        <f aca="false">'Color clustering'!F7</f>
        <v>160000</v>
      </c>
      <c r="G7" s="33" t="n">
        <f aca="false">'Color clustering'!G7</f>
        <v>8599</v>
      </c>
      <c r="H7" s="14" t="n">
        <f aca="false">'Color clustering'!H7</f>
        <v>151401</v>
      </c>
      <c r="I7" s="12" t="n">
        <f aca="false">'Color classification'!E7</f>
        <v>0</v>
      </c>
      <c r="J7" s="15" t="n">
        <f aca="false">'Color classification'!F7</f>
        <v>160000</v>
      </c>
      <c r="K7" s="14" t="n">
        <f aca="false">'Color classification'!G7</f>
        <v>8599</v>
      </c>
      <c r="L7" s="13" t="n">
        <f aca="false">'Color classification'!H7</f>
        <v>151401</v>
      </c>
    </row>
    <row r="8" customFormat="false" ht="15" hidden="false" customHeight="false" outlineLevel="0" collapsed="false">
      <c r="A8" s="8"/>
      <c r="B8" s="14" t="n">
        <v>4</v>
      </c>
      <c r="C8" s="12" t="n">
        <v>9800</v>
      </c>
      <c r="D8" s="13" t="n">
        <v>150200</v>
      </c>
      <c r="E8" s="33" t="n">
        <f aca="false">'Color clustering'!E8</f>
        <v>1</v>
      </c>
      <c r="F8" s="15" t="n">
        <f aca="false">'Color clustering'!F8</f>
        <v>159999</v>
      </c>
      <c r="G8" s="33" t="n">
        <f aca="false">'Color clustering'!G8</f>
        <v>9810</v>
      </c>
      <c r="H8" s="14" t="n">
        <f aca="false">'Color clustering'!H8</f>
        <v>150190</v>
      </c>
      <c r="I8" s="12" t="n">
        <f aca="false">'Color classification'!E8</f>
        <v>1</v>
      </c>
      <c r="J8" s="15" t="n">
        <f aca="false">'Color classification'!F8</f>
        <v>159999</v>
      </c>
      <c r="K8" s="14" t="n">
        <f aca="false">'Color classification'!G8</f>
        <v>9807</v>
      </c>
      <c r="L8" s="13" t="n">
        <f aca="false">'Color classification'!H8</f>
        <v>150193</v>
      </c>
    </row>
    <row r="9" customFormat="false" ht="15" hidden="false" customHeight="false" outlineLevel="0" collapsed="false">
      <c r="A9" s="8"/>
      <c r="B9" s="14" t="n">
        <v>5</v>
      </c>
      <c r="C9" s="12" t="n">
        <v>11000</v>
      </c>
      <c r="D9" s="13" t="n">
        <v>149000</v>
      </c>
      <c r="E9" s="33" t="n">
        <f aca="false">'Color clustering'!E9</f>
        <v>2</v>
      </c>
      <c r="F9" s="15" t="n">
        <f aca="false">'Color clustering'!F9</f>
        <v>159998</v>
      </c>
      <c r="G9" s="33" t="n">
        <f aca="false">'Color clustering'!G9</f>
        <v>11002</v>
      </c>
      <c r="H9" s="14" t="n">
        <f aca="false">'Color clustering'!H9</f>
        <v>148998</v>
      </c>
      <c r="I9" s="12" t="n">
        <f aca="false">'Color classification'!E9</f>
        <v>9</v>
      </c>
      <c r="J9" s="15" t="n">
        <f aca="false">'Color classification'!F9</f>
        <v>159991</v>
      </c>
      <c r="K9" s="14" t="n">
        <f aca="false">'Color classification'!G9</f>
        <v>11001</v>
      </c>
      <c r="L9" s="13" t="n">
        <f aca="false">'Color classification'!H9</f>
        <v>148999</v>
      </c>
    </row>
    <row r="10" customFormat="false" ht="15" hidden="false" customHeight="false" outlineLevel="0" collapsed="false">
      <c r="A10" s="8"/>
      <c r="B10" s="14" t="n">
        <v>6</v>
      </c>
      <c r="C10" s="12" t="n">
        <v>12200</v>
      </c>
      <c r="D10" s="13" t="n">
        <v>147800</v>
      </c>
      <c r="E10" s="33" t="n">
        <f aca="false">'Color clustering'!E10</f>
        <v>82</v>
      </c>
      <c r="F10" s="15" t="n">
        <f aca="false">'Color clustering'!F10</f>
        <v>159918</v>
      </c>
      <c r="G10" s="33" t="n">
        <f aca="false">'Color clustering'!G10</f>
        <v>12201</v>
      </c>
      <c r="H10" s="14" t="n">
        <f aca="false">'Color clustering'!H10</f>
        <v>147799</v>
      </c>
      <c r="I10" s="12" t="n">
        <f aca="false">'Color classification'!E10</f>
        <v>13</v>
      </c>
      <c r="J10" s="15" t="n">
        <f aca="false">'Color classification'!F10</f>
        <v>159987</v>
      </c>
      <c r="K10" s="14" t="n">
        <f aca="false">'Color classification'!G10</f>
        <v>12202</v>
      </c>
      <c r="L10" s="13" t="n">
        <f aca="false">'Color classification'!H10</f>
        <v>147798</v>
      </c>
    </row>
    <row r="11" customFormat="false" ht="15" hidden="false" customHeight="false" outlineLevel="0" collapsed="false">
      <c r="A11" s="8"/>
      <c r="B11" s="14" t="n">
        <v>7</v>
      </c>
      <c r="C11" s="12" t="n">
        <v>13000</v>
      </c>
      <c r="D11" s="13" t="n">
        <v>147000</v>
      </c>
      <c r="E11" s="33" t="n">
        <f aca="false">'Color clustering'!E11</f>
        <v>2</v>
      </c>
      <c r="F11" s="15" t="n">
        <f aca="false">'Color clustering'!F11</f>
        <v>159998</v>
      </c>
      <c r="G11" s="33" t="n">
        <f aca="false">'Color clustering'!G11</f>
        <v>13001</v>
      </c>
      <c r="H11" s="14" t="n">
        <f aca="false">'Color clustering'!H11</f>
        <v>146999</v>
      </c>
      <c r="I11" s="12" t="n">
        <f aca="false">'Color classification'!E11</f>
        <v>38</v>
      </c>
      <c r="J11" s="15" t="n">
        <f aca="false">'Color classification'!F11</f>
        <v>159962</v>
      </c>
      <c r="K11" s="14" t="n">
        <f aca="false">'Color classification'!G11</f>
        <v>13002</v>
      </c>
      <c r="L11" s="13" t="n">
        <f aca="false">'Color classification'!H11</f>
        <v>146998</v>
      </c>
    </row>
    <row r="12" customFormat="false" ht="15" hidden="false" customHeight="false" outlineLevel="0" collapsed="false">
      <c r="A12" s="8"/>
      <c r="B12" s="14" t="n">
        <v>8</v>
      </c>
      <c r="C12" s="12" t="n">
        <v>13800</v>
      </c>
      <c r="D12" s="13" t="n">
        <v>146200</v>
      </c>
      <c r="E12" s="33" t="n">
        <f aca="false">'Color clustering'!E12</f>
        <v>7</v>
      </c>
      <c r="F12" s="15" t="n">
        <f aca="false">'Color clustering'!F12</f>
        <v>159993</v>
      </c>
      <c r="G12" s="33" t="n">
        <f aca="false">'Color clustering'!G12</f>
        <v>13802</v>
      </c>
      <c r="H12" s="14" t="n">
        <f aca="false">'Color clustering'!H12</f>
        <v>146198</v>
      </c>
      <c r="I12" s="12" t="n">
        <f aca="false">'Color classification'!E12</f>
        <v>43</v>
      </c>
      <c r="J12" s="15" t="n">
        <f aca="false">'Color classification'!F12</f>
        <v>159957</v>
      </c>
      <c r="K12" s="14" t="n">
        <f aca="false">'Color classification'!G12</f>
        <v>13801</v>
      </c>
      <c r="L12" s="13" t="n">
        <f aca="false">'Color classification'!H12</f>
        <v>146199</v>
      </c>
    </row>
    <row r="13" customFormat="false" ht="15" hidden="false" customHeight="false" outlineLevel="0" collapsed="false">
      <c r="A13" s="8"/>
      <c r="B13" s="14" t="n">
        <v>9</v>
      </c>
      <c r="C13" s="12" t="n">
        <v>14600</v>
      </c>
      <c r="D13" s="13" t="n">
        <v>145400</v>
      </c>
      <c r="E13" s="33" t="n">
        <f aca="false">'Color clustering'!E13</f>
        <v>20</v>
      </c>
      <c r="F13" s="15" t="n">
        <f aca="false">'Color clustering'!F13</f>
        <v>159980</v>
      </c>
      <c r="G13" s="33" t="n">
        <f aca="false">'Color clustering'!G13</f>
        <v>14601</v>
      </c>
      <c r="H13" s="14" t="n">
        <f aca="false">'Color clustering'!H13</f>
        <v>145399</v>
      </c>
      <c r="I13" s="12" t="n">
        <f aca="false">'Color classification'!E13</f>
        <v>41</v>
      </c>
      <c r="J13" s="15" t="n">
        <f aca="false">'Color classification'!F13</f>
        <v>159959</v>
      </c>
      <c r="K13" s="14" t="n">
        <f aca="false">'Color classification'!G13</f>
        <v>14602</v>
      </c>
      <c r="L13" s="13" t="n">
        <f aca="false">'Color classification'!H13</f>
        <v>145398</v>
      </c>
    </row>
    <row r="14" customFormat="false" ht="15" hidden="false" customHeight="false" outlineLevel="0" collapsed="false">
      <c r="A14" s="8"/>
      <c r="B14" s="14" t="n">
        <v>10</v>
      </c>
      <c r="C14" s="12" t="n">
        <v>15400</v>
      </c>
      <c r="D14" s="13" t="n">
        <v>144600</v>
      </c>
      <c r="E14" s="33" t="n">
        <f aca="false">'Color clustering'!E14</f>
        <v>8</v>
      </c>
      <c r="F14" s="15" t="n">
        <f aca="false">'Color clustering'!F14</f>
        <v>159992</v>
      </c>
      <c r="G14" s="33" t="n">
        <f aca="false">'Color clustering'!G14</f>
        <v>15402</v>
      </c>
      <c r="H14" s="14" t="n">
        <f aca="false">'Color clustering'!H14</f>
        <v>144598</v>
      </c>
      <c r="I14" s="12" t="n">
        <f aca="false">'Color classification'!E14</f>
        <v>3</v>
      </c>
      <c r="J14" s="15" t="n">
        <f aca="false">'Color classification'!F14</f>
        <v>159997</v>
      </c>
      <c r="K14" s="14" t="n">
        <f aca="false">'Color classification'!G14</f>
        <v>15402</v>
      </c>
      <c r="L14" s="13" t="n">
        <f aca="false">'Color classification'!H14</f>
        <v>144598</v>
      </c>
    </row>
    <row r="15" customFormat="false" ht="15" hidden="false" customHeight="false" outlineLevel="0" collapsed="false">
      <c r="A15" s="8"/>
      <c r="B15" s="14" t="n">
        <v>11</v>
      </c>
      <c r="C15" s="12" t="n">
        <v>16200</v>
      </c>
      <c r="D15" s="13" t="n">
        <v>143800</v>
      </c>
      <c r="E15" s="33" t="n">
        <f aca="false">'Color clustering'!E15</f>
        <v>7</v>
      </c>
      <c r="F15" s="15" t="n">
        <f aca="false">'Color clustering'!F15</f>
        <v>159993</v>
      </c>
      <c r="G15" s="33" t="n">
        <f aca="false">'Color clustering'!G15</f>
        <v>16201</v>
      </c>
      <c r="H15" s="14" t="n">
        <f aca="false">'Color clustering'!H15</f>
        <v>143799</v>
      </c>
      <c r="I15" s="12" t="n">
        <f aca="false">'Color classification'!E15</f>
        <v>0</v>
      </c>
      <c r="J15" s="15" t="n">
        <f aca="false">'Color classification'!F15</f>
        <v>160000</v>
      </c>
      <c r="K15" s="14" t="n">
        <f aca="false">'Color classification'!G15</f>
        <v>16202</v>
      </c>
      <c r="L15" s="13" t="n">
        <f aca="false">'Color classification'!H15</f>
        <v>143798</v>
      </c>
    </row>
    <row r="16" customFormat="false" ht="15" hidden="false" customHeight="false" outlineLevel="0" collapsed="false">
      <c r="A16" s="8"/>
      <c r="B16" s="14" t="n">
        <v>12</v>
      </c>
      <c r="C16" s="12" t="n">
        <v>17000</v>
      </c>
      <c r="D16" s="13" t="n">
        <v>143000</v>
      </c>
      <c r="E16" s="33" t="n">
        <f aca="false">'Color clustering'!E16</f>
        <v>6</v>
      </c>
      <c r="F16" s="15" t="n">
        <f aca="false">'Color clustering'!F16</f>
        <v>159994</v>
      </c>
      <c r="G16" s="33" t="n">
        <f aca="false">'Color clustering'!G16</f>
        <v>17001</v>
      </c>
      <c r="H16" s="14" t="n">
        <f aca="false">'Color clustering'!H16</f>
        <v>142999</v>
      </c>
      <c r="I16" s="12" t="n">
        <f aca="false">'Color classification'!E16</f>
        <v>7</v>
      </c>
      <c r="J16" s="15" t="n">
        <f aca="false">'Color classification'!F16</f>
        <v>159993</v>
      </c>
      <c r="K16" s="14" t="n">
        <f aca="false">'Color classification'!G16</f>
        <v>17001</v>
      </c>
      <c r="L16" s="13" t="n">
        <f aca="false">'Color classification'!H16</f>
        <v>142999</v>
      </c>
    </row>
    <row r="17" customFormat="false" ht="15" hidden="false" customHeight="false" outlineLevel="0" collapsed="false">
      <c r="A17" s="8"/>
      <c r="B17" s="14" t="n">
        <v>13</v>
      </c>
      <c r="C17" s="12" t="n">
        <v>17400</v>
      </c>
      <c r="D17" s="13" t="n">
        <v>142600</v>
      </c>
      <c r="E17" s="33" t="n">
        <f aca="false">'Color clustering'!E17</f>
        <v>14</v>
      </c>
      <c r="F17" s="15" t="n">
        <f aca="false">'Color clustering'!F17</f>
        <v>159986</v>
      </c>
      <c r="G17" s="33" t="n">
        <f aca="false">'Color clustering'!G17</f>
        <v>17414</v>
      </c>
      <c r="H17" s="14" t="n">
        <f aca="false">'Color clustering'!H17</f>
        <v>142586</v>
      </c>
      <c r="I17" s="12" t="n">
        <f aca="false">'Color classification'!E17</f>
        <v>53</v>
      </c>
      <c r="J17" s="15" t="n">
        <f aca="false">'Color classification'!F17</f>
        <v>159947</v>
      </c>
      <c r="K17" s="14" t="n">
        <f aca="false">'Color classification'!G17</f>
        <v>17402</v>
      </c>
      <c r="L17" s="13" t="n">
        <f aca="false">'Color classification'!H17</f>
        <v>142598</v>
      </c>
    </row>
    <row r="18" customFormat="false" ht="15" hidden="false" customHeight="false" outlineLevel="0" collapsed="false">
      <c r="A18" s="8"/>
      <c r="B18" s="14" t="n">
        <v>14</v>
      </c>
      <c r="C18" s="12" t="n">
        <v>18200</v>
      </c>
      <c r="D18" s="13" t="n">
        <v>141800</v>
      </c>
      <c r="E18" s="33" t="n">
        <f aca="false">'Color clustering'!E18</f>
        <v>2</v>
      </c>
      <c r="F18" s="15" t="n">
        <f aca="false">'Color clustering'!F18</f>
        <v>159998</v>
      </c>
      <c r="G18" s="33" t="n">
        <f aca="false">'Color clustering'!G18</f>
        <v>18201</v>
      </c>
      <c r="H18" s="14" t="n">
        <f aca="false">'Color clustering'!H18</f>
        <v>141799</v>
      </c>
      <c r="I18" s="12" t="n">
        <f aca="false">'Color classification'!E18</f>
        <v>12</v>
      </c>
      <c r="J18" s="15" t="n">
        <f aca="false">'Color classification'!F18</f>
        <v>159988</v>
      </c>
      <c r="K18" s="14" t="n">
        <f aca="false">'Color classification'!G18</f>
        <v>18201</v>
      </c>
      <c r="L18" s="13" t="n">
        <f aca="false">'Color classification'!H18</f>
        <v>141799</v>
      </c>
    </row>
    <row r="19" customFormat="false" ht="15" hidden="false" customHeight="false" outlineLevel="0" collapsed="false">
      <c r="A19" s="8"/>
      <c r="B19" s="14" t="n">
        <v>15</v>
      </c>
      <c r="C19" s="12" t="n">
        <v>18600</v>
      </c>
      <c r="D19" s="13" t="n">
        <v>141400</v>
      </c>
      <c r="E19" s="33" t="n">
        <f aca="false">'Color clustering'!E19</f>
        <v>2</v>
      </c>
      <c r="F19" s="15" t="n">
        <f aca="false">'Color clustering'!F19</f>
        <v>159998</v>
      </c>
      <c r="G19" s="33" t="n">
        <f aca="false">'Color clustering'!G19</f>
        <v>18601</v>
      </c>
      <c r="H19" s="14" t="n">
        <f aca="false">'Color clustering'!H19</f>
        <v>141399</v>
      </c>
      <c r="I19" s="12" t="n">
        <f aca="false">'Color classification'!E19</f>
        <v>5</v>
      </c>
      <c r="J19" s="15" t="n">
        <f aca="false">'Color classification'!F19</f>
        <v>159995</v>
      </c>
      <c r="K19" s="14" t="n">
        <f aca="false">'Color classification'!G19</f>
        <v>18603</v>
      </c>
      <c r="L19" s="13" t="n">
        <f aca="false">'Color classification'!H19</f>
        <v>141397</v>
      </c>
    </row>
    <row r="20" customFormat="false" ht="15" hidden="false" customHeight="false" outlineLevel="0" collapsed="false">
      <c r="A20" s="8"/>
      <c r="B20" s="14" t="n">
        <v>16</v>
      </c>
      <c r="C20" s="12" t="n">
        <v>19400</v>
      </c>
      <c r="D20" s="13" t="n">
        <v>140600</v>
      </c>
      <c r="E20" s="33" t="n">
        <f aca="false">'Color clustering'!E20</f>
        <v>853</v>
      </c>
      <c r="F20" s="15" t="n">
        <f aca="false">'Color clustering'!F20</f>
        <v>159147</v>
      </c>
      <c r="G20" s="33" t="n">
        <f aca="false">'Color clustering'!G20</f>
        <v>19402</v>
      </c>
      <c r="H20" s="14" t="n">
        <f aca="false">'Color clustering'!H20</f>
        <v>140598</v>
      </c>
      <c r="I20" s="12" t="n">
        <f aca="false">'Color classification'!E20</f>
        <v>8</v>
      </c>
      <c r="J20" s="15" t="n">
        <f aca="false">'Color classification'!F20</f>
        <v>159992</v>
      </c>
      <c r="K20" s="14" t="n">
        <f aca="false">'Color classification'!G20</f>
        <v>19403</v>
      </c>
      <c r="L20" s="13" t="n">
        <f aca="false">'Color classification'!H20</f>
        <v>140597</v>
      </c>
    </row>
    <row r="21" customFormat="false" ht="15" hidden="false" customHeight="false" outlineLevel="0" collapsed="false">
      <c r="A21" s="8"/>
      <c r="B21" s="14" t="n">
        <v>17</v>
      </c>
      <c r="C21" s="12" t="n">
        <v>19800</v>
      </c>
      <c r="D21" s="13" t="n">
        <v>140200</v>
      </c>
      <c r="E21" s="33" t="n">
        <f aca="false">'Color clustering'!E21</f>
        <v>24</v>
      </c>
      <c r="F21" s="15" t="n">
        <f aca="false">'Color clustering'!F21</f>
        <v>159976</v>
      </c>
      <c r="G21" s="33" t="n">
        <f aca="false">'Color clustering'!G21</f>
        <v>19803</v>
      </c>
      <c r="H21" s="14" t="n">
        <f aca="false">'Color clustering'!H21</f>
        <v>140197</v>
      </c>
      <c r="I21" s="12" t="n">
        <f aca="false">'Color classification'!E21</f>
        <v>2</v>
      </c>
      <c r="J21" s="15" t="n">
        <f aca="false">'Color classification'!F21</f>
        <v>159998</v>
      </c>
      <c r="K21" s="14" t="n">
        <f aca="false">'Color classification'!G21</f>
        <v>19802</v>
      </c>
      <c r="L21" s="13" t="n">
        <f aca="false">'Color classification'!H21</f>
        <v>140198</v>
      </c>
    </row>
    <row r="22" customFormat="false" ht="15" hidden="false" customHeight="false" outlineLevel="0" collapsed="false">
      <c r="A22" s="8"/>
      <c r="B22" s="14" t="n">
        <v>18</v>
      </c>
      <c r="C22" s="12" t="n">
        <v>20200</v>
      </c>
      <c r="D22" s="13" t="n">
        <v>139800</v>
      </c>
      <c r="E22" s="33" t="n">
        <f aca="false">'Color clustering'!E22</f>
        <v>11</v>
      </c>
      <c r="F22" s="15" t="n">
        <f aca="false">'Color clustering'!F22</f>
        <v>159989</v>
      </c>
      <c r="G22" s="33" t="n">
        <f aca="false">'Color clustering'!G22</f>
        <v>20202</v>
      </c>
      <c r="H22" s="14" t="n">
        <f aca="false">'Color clustering'!H22</f>
        <v>139798</v>
      </c>
      <c r="I22" s="12" t="n">
        <f aca="false">'Color classification'!E22</f>
        <v>91</v>
      </c>
      <c r="J22" s="15" t="n">
        <f aca="false">'Color classification'!F22</f>
        <v>159909</v>
      </c>
      <c r="K22" s="14" t="n">
        <f aca="false">'Color classification'!G22</f>
        <v>20202</v>
      </c>
      <c r="L22" s="13" t="n">
        <f aca="false">'Color classification'!H22</f>
        <v>139798</v>
      </c>
    </row>
    <row r="23" customFormat="false" ht="15" hidden="false" customHeight="false" outlineLevel="0" collapsed="false">
      <c r="A23" s="8"/>
      <c r="B23" s="14" t="n">
        <v>19</v>
      </c>
      <c r="C23" s="12" t="n">
        <v>20600</v>
      </c>
      <c r="D23" s="13" t="n">
        <v>139400</v>
      </c>
      <c r="E23" s="33" t="n">
        <f aca="false">'Color clustering'!E23</f>
        <v>8</v>
      </c>
      <c r="F23" s="15" t="n">
        <f aca="false">'Color clustering'!F23</f>
        <v>159992</v>
      </c>
      <c r="G23" s="33" t="n">
        <f aca="false">'Color clustering'!G23</f>
        <v>20603</v>
      </c>
      <c r="H23" s="14" t="n">
        <f aca="false">'Color clustering'!H23</f>
        <v>139397</v>
      </c>
      <c r="I23" s="12" t="n">
        <f aca="false">'Color classification'!E23</f>
        <v>50</v>
      </c>
      <c r="J23" s="15" t="n">
        <f aca="false">'Color classification'!F23</f>
        <v>159950</v>
      </c>
      <c r="K23" s="14" t="n">
        <f aca="false">'Color classification'!G23</f>
        <v>20603</v>
      </c>
      <c r="L23" s="13" t="n">
        <f aca="false">'Color classification'!H23</f>
        <v>139397</v>
      </c>
    </row>
    <row r="24" customFormat="false" ht="15" hidden="false" customHeight="false" outlineLevel="0" collapsed="false">
      <c r="A24" s="8"/>
      <c r="B24" s="14" t="n">
        <v>20</v>
      </c>
      <c r="C24" s="12" t="n">
        <v>21000</v>
      </c>
      <c r="D24" s="13" t="n">
        <v>139000</v>
      </c>
      <c r="E24" s="33" t="n">
        <f aca="false">'Color clustering'!E24</f>
        <v>8</v>
      </c>
      <c r="F24" s="15" t="n">
        <f aca="false">'Color clustering'!F24</f>
        <v>159992</v>
      </c>
      <c r="G24" s="33" t="n">
        <f aca="false">'Color clustering'!G24</f>
        <v>21001</v>
      </c>
      <c r="H24" s="14" t="n">
        <f aca="false">'Color clustering'!H24</f>
        <v>138999</v>
      </c>
      <c r="I24" s="12" t="n">
        <f aca="false">'Color classification'!E24</f>
        <v>29</v>
      </c>
      <c r="J24" s="15" t="n">
        <f aca="false">'Color classification'!F24</f>
        <v>159971</v>
      </c>
      <c r="K24" s="14" t="n">
        <f aca="false">'Color classification'!G24</f>
        <v>21002</v>
      </c>
      <c r="L24" s="13" t="n">
        <f aca="false">'Color classification'!H24</f>
        <v>138998</v>
      </c>
    </row>
    <row r="25" customFormat="false" ht="15" hidden="false" customHeight="false" outlineLevel="0" collapsed="false">
      <c r="A25" s="8"/>
      <c r="B25" s="14" t="n">
        <v>21</v>
      </c>
      <c r="C25" s="12" t="n">
        <v>21800</v>
      </c>
      <c r="D25" s="13" t="n">
        <v>138200</v>
      </c>
      <c r="E25" s="33" t="n">
        <f aca="false">'Color clustering'!E25</f>
        <v>1088</v>
      </c>
      <c r="F25" s="15" t="n">
        <f aca="false">'Color clustering'!F25</f>
        <v>158912</v>
      </c>
      <c r="G25" s="33" t="n">
        <f aca="false">'Color clustering'!G25</f>
        <v>21799</v>
      </c>
      <c r="H25" s="14" t="n">
        <f aca="false">'Color clustering'!H25</f>
        <v>138201</v>
      </c>
      <c r="I25" s="12" t="n">
        <f aca="false">'Color classification'!E25</f>
        <v>9</v>
      </c>
      <c r="J25" s="15" t="n">
        <f aca="false">'Color classification'!F25</f>
        <v>159991</v>
      </c>
      <c r="K25" s="14" t="n">
        <f aca="false">'Color classification'!G25</f>
        <v>21801</v>
      </c>
      <c r="L25" s="13" t="n">
        <f aca="false">'Color classification'!H25</f>
        <v>138199</v>
      </c>
    </row>
    <row r="26" customFormat="false" ht="15" hidden="false" customHeight="false" outlineLevel="0" collapsed="false">
      <c r="A26" s="8"/>
      <c r="B26" s="14" t="n">
        <v>22</v>
      </c>
      <c r="C26" s="12" t="n">
        <v>22200</v>
      </c>
      <c r="D26" s="13" t="n">
        <v>137800</v>
      </c>
      <c r="E26" s="33" t="n">
        <f aca="false">'Color clustering'!E26</f>
        <v>20</v>
      </c>
      <c r="F26" s="15" t="n">
        <f aca="false">'Color clustering'!F26</f>
        <v>159980</v>
      </c>
      <c r="G26" s="33" t="n">
        <f aca="false">'Color clustering'!G26</f>
        <v>22200</v>
      </c>
      <c r="H26" s="14" t="n">
        <f aca="false">'Color clustering'!H26</f>
        <v>137800</v>
      </c>
      <c r="I26" s="12" t="n">
        <f aca="false">'Color classification'!E26</f>
        <v>9</v>
      </c>
      <c r="J26" s="15" t="n">
        <f aca="false">'Color classification'!F26</f>
        <v>159991</v>
      </c>
      <c r="K26" s="14" t="n">
        <f aca="false">'Color classification'!G26</f>
        <v>22202</v>
      </c>
      <c r="L26" s="13" t="n">
        <f aca="false">'Color classification'!H26</f>
        <v>137798</v>
      </c>
    </row>
    <row r="27" customFormat="false" ht="15" hidden="false" customHeight="false" outlineLevel="0" collapsed="false">
      <c r="A27" s="8"/>
      <c r="B27" s="14" t="n">
        <v>23</v>
      </c>
      <c r="C27" s="12" t="n">
        <v>22600</v>
      </c>
      <c r="D27" s="13" t="n">
        <v>137400</v>
      </c>
      <c r="E27" s="33" t="n">
        <f aca="false">'Color clustering'!E27</f>
        <v>65</v>
      </c>
      <c r="F27" s="15" t="n">
        <f aca="false">'Color clustering'!F27</f>
        <v>159935</v>
      </c>
      <c r="G27" s="33" t="n">
        <f aca="false">'Color clustering'!G27</f>
        <v>22601</v>
      </c>
      <c r="H27" s="14" t="n">
        <f aca="false">'Color clustering'!H27</f>
        <v>137399</v>
      </c>
      <c r="I27" s="12" t="n">
        <f aca="false">'Color classification'!E27</f>
        <v>10</v>
      </c>
      <c r="J27" s="15" t="n">
        <f aca="false">'Color classification'!F27</f>
        <v>159990</v>
      </c>
      <c r="K27" s="14" t="n">
        <f aca="false">'Color classification'!G27</f>
        <v>22603</v>
      </c>
      <c r="L27" s="13" t="n">
        <f aca="false">'Color classification'!H27</f>
        <v>137397</v>
      </c>
    </row>
    <row r="28" customFormat="false" ht="15" hidden="false" customHeight="false" outlineLevel="0" collapsed="false">
      <c r="A28" s="8"/>
      <c r="B28" s="14" t="n">
        <v>24</v>
      </c>
      <c r="C28" s="12" t="n">
        <v>23000</v>
      </c>
      <c r="D28" s="13" t="n">
        <v>137000</v>
      </c>
      <c r="E28" s="33" t="n">
        <f aca="false">'Color clustering'!E28</f>
        <v>1811</v>
      </c>
      <c r="F28" s="15" t="n">
        <f aca="false">'Color clustering'!F28</f>
        <v>158189</v>
      </c>
      <c r="G28" s="33" t="n">
        <f aca="false">'Color clustering'!G28</f>
        <v>23001</v>
      </c>
      <c r="H28" s="14" t="n">
        <f aca="false">'Color clustering'!H28</f>
        <v>136999</v>
      </c>
      <c r="I28" s="12" t="n">
        <f aca="false">'Color classification'!E28</f>
        <v>125</v>
      </c>
      <c r="J28" s="15" t="n">
        <f aca="false">'Color classification'!F28</f>
        <v>159875</v>
      </c>
      <c r="K28" s="14" t="n">
        <f aca="false">'Color classification'!G28</f>
        <v>23001</v>
      </c>
      <c r="L28" s="13" t="n">
        <f aca="false">'Color classification'!H28</f>
        <v>136999</v>
      </c>
    </row>
    <row r="29" customFormat="false" ht="15" hidden="false" customHeight="false" outlineLevel="0" collapsed="false">
      <c r="A29" s="8"/>
      <c r="B29" s="14" t="n">
        <v>25</v>
      </c>
      <c r="C29" s="12" t="n">
        <v>23400</v>
      </c>
      <c r="D29" s="13" t="n">
        <v>136600</v>
      </c>
      <c r="E29" s="33" t="n">
        <f aca="false">'Color clustering'!E29</f>
        <v>45</v>
      </c>
      <c r="F29" s="15" t="n">
        <f aca="false">'Color clustering'!F29</f>
        <v>159955</v>
      </c>
      <c r="G29" s="33" t="n">
        <f aca="false">'Color clustering'!G29</f>
        <v>23400</v>
      </c>
      <c r="H29" s="14" t="n">
        <f aca="false">'Color clustering'!H29</f>
        <v>136600</v>
      </c>
      <c r="I29" s="12" t="n">
        <f aca="false">'Color classification'!E29</f>
        <v>18</v>
      </c>
      <c r="J29" s="15" t="n">
        <f aca="false">'Color classification'!F29</f>
        <v>159982</v>
      </c>
      <c r="K29" s="14" t="n">
        <f aca="false">'Color classification'!G29</f>
        <v>23402</v>
      </c>
      <c r="L29" s="13" t="n">
        <f aca="false">'Color classification'!H29</f>
        <v>136598</v>
      </c>
    </row>
    <row r="30" customFormat="false" ht="15" hidden="false" customHeight="false" outlineLevel="0" collapsed="false">
      <c r="A30" s="8"/>
      <c r="B30" s="14" t="n">
        <v>26</v>
      </c>
      <c r="C30" s="12" t="n">
        <v>23800</v>
      </c>
      <c r="D30" s="13" t="n">
        <v>136200</v>
      </c>
      <c r="E30" s="33" t="n">
        <f aca="false">'Color clustering'!E30</f>
        <v>1095</v>
      </c>
      <c r="F30" s="15" t="n">
        <f aca="false">'Color clustering'!F30</f>
        <v>158905</v>
      </c>
      <c r="G30" s="33" t="n">
        <f aca="false">'Color clustering'!G30</f>
        <v>23802</v>
      </c>
      <c r="H30" s="14" t="n">
        <f aca="false">'Color clustering'!H30</f>
        <v>136198</v>
      </c>
      <c r="I30" s="12" t="n">
        <f aca="false">'Color classification'!E30</f>
        <v>112</v>
      </c>
      <c r="J30" s="15" t="n">
        <f aca="false">'Color classification'!F30</f>
        <v>159888</v>
      </c>
      <c r="K30" s="14" t="n">
        <f aca="false">'Color classification'!G30</f>
        <v>23802</v>
      </c>
      <c r="L30" s="13" t="n">
        <f aca="false">'Color classification'!H30</f>
        <v>136198</v>
      </c>
    </row>
    <row r="31" customFormat="false" ht="15" hidden="false" customHeight="false" outlineLevel="0" collapsed="false">
      <c r="A31" s="8"/>
      <c r="B31" s="14" t="n">
        <v>27</v>
      </c>
      <c r="C31" s="12" t="n">
        <v>23800</v>
      </c>
      <c r="D31" s="13" t="n">
        <v>136200</v>
      </c>
      <c r="E31" s="33" t="n">
        <f aca="false">'Color clustering'!E31</f>
        <v>953</v>
      </c>
      <c r="F31" s="15" t="n">
        <f aca="false">'Color clustering'!F31</f>
        <v>159047</v>
      </c>
      <c r="G31" s="33" t="n">
        <f aca="false">'Color clustering'!G31</f>
        <v>23801</v>
      </c>
      <c r="H31" s="14" t="n">
        <f aca="false">'Color clustering'!H31</f>
        <v>136199</v>
      </c>
      <c r="I31" s="12" t="n">
        <f aca="false">'Color classification'!E31</f>
        <v>16</v>
      </c>
      <c r="J31" s="15" t="n">
        <f aca="false">'Color classification'!F31</f>
        <v>159984</v>
      </c>
      <c r="K31" s="14" t="n">
        <f aca="false">'Color classification'!G31</f>
        <v>23802</v>
      </c>
      <c r="L31" s="13" t="n">
        <f aca="false">'Color classification'!H31</f>
        <v>136198</v>
      </c>
    </row>
    <row r="32" customFormat="false" ht="15" hidden="false" customHeight="false" outlineLevel="0" collapsed="false">
      <c r="A32" s="8"/>
      <c r="B32" s="14" t="n">
        <v>28</v>
      </c>
      <c r="C32" s="12" t="n">
        <v>24200</v>
      </c>
      <c r="D32" s="13" t="n">
        <v>135800</v>
      </c>
      <c r="E32" s="33" t="n">
        <f aca="false">'Color clustering'!E32</f>
        <v>30</v>
      </c>
      <c r="F32" s="15" t="n">
        <f aca="false">'Color clustering'!F32</f>
        <v>159970</v>
      </c>
      <c r="G32" s="33" t="n">
        <f aca="false">'Color clustering'!G32</f>
        <v>24199</v>
      </c>
      <c r="H32" s="14" t="n">
        <f aca="false">'Color clustering'!H32</f>
        <v>135801</v>
      </c>
      <c r="I32" s="12" t="n">
        <f aca="false">'Color classification'!E32</f>
        <v>91</v>
      </c>
      <c r="J32" s="15" t="n">
        <f aca="false">'Color classification'!F32</f>
        <v>159909</v>
      </c>
      <c r="K32" s="14" t="n">
        <f aca="false">'Color classification'!G32</f>
        <v>24201</v>
      </c>
      <c r="L32" s="13" t="n">
        <f aca="false">'Color classification'!H32</f>
        <v>135799</v>
      </c>
    </row>
    <row r="33" customFormat="false" ht="15" hidden="false" customHeight="false" outlineLevel="0" collapsed="false">
      <c r="A33" s="8"/>
      <c r="B33" s="14" t="n">
        <v>29</v>
      </c>
      <c r="C33" s="12" t="n">
        <v>24600</v>
      </c>
      <c r="D33" s="13" t="n">
        <v>135400</v>
      </c>
      <c r="E33" s="33" t="n">
        <f aca="false">'Color clustering'!E33</f>
        <v>7</v>
      </c>
      <c r="F33" s="15" t="n">
        <f aca="false">'Color clustering'!F33</f>
        <v>159993</v>
      </c>
      <c r="G33" s="33" t="n">
        <f aca="false">'Color clustering'!G33</f>
        <v>24601</v>
      </c>
      <c r="H33" s="14" t="n">
        <f aca="false">'Color clustering'!H33</f>
        <v>135399</v>
      </c>
      <c r="I33" s="12" t="n">
        <f aca="false">'Color classification'!E33</f>
        <v>10</v>
      </c>
      <c r="J33" s="15" t="n">
        <f aca="false">'Color classification'!F33</f>
        <v>159990</v>
      </c>
      <c r="K33" s="14" t="n">
        <f aca="false">'Color classification'!G33</f>
        <v>24602</v>
      </c>
      <c r="L33" s="13" t="n">
        <f aca="false">'Color classification'!H33</f>
        <v>135398</v>
      </c>
    </row>
    <row r="34" customFormat="false" ht="15" hidden="false" customHeight="false" outlineLevel="0" collapsed="false">
      <c r="A34" s="8"/>
      <c r="B34" s="14" t="n">
        <v>30</v>
      </c>
      <c r="C34" s="12" t="n">
        <v>25000</v>
      </c>
      <c r="D34" s="13" t="n">
        <v>135000</v>
      </c>
      <c r="E34" s="33" t="n">
        <f aca="false">'Color clustering'!E34</f>
        <v>4</v>
      </c>
      <c r="F34" s="15" t="n">
        <f aca="false">'Color clustering'!F34</f>
        <v>159996</v>
      </c>
      <c r="G34" s="33" t="n">
        <f aca="false">'Color clustering'!G34</f>
        <v>25016</v>
      </c>
      <c r="H34" s="14" t="n">
        <f aca="false">'Color clustering'!H34</f>
        <v>134984</v>
      </c>
      <c r="I34" s="12" t="n">
        <f aca="false">'Color classification'!E34</f>
        <v>8</v>
      </c>
      <c r="J34" s="15" t="n">
        <f aca="false">'Color classification'!F34</f>
        <v>159992</v>
      </c>
      <c r="K34" s="14" t="n">
        <f aca="false">'Color classification'!G34</f>
        <v>25005</v>
      </c>
      <c r="L34" s="13" t="n">
        <f aca="false">'Color classification'!H34</f>
        <v>134995</v>
      </c>
    </row>
    <row r="35" customFormat="false" ht="15" hidden="false" customHeight="false" outlineLevel="0" collapsed="false">
      <c r="A35" s="8"/>
      <c r="B35" s="14" t="n">
        <v>31</v>
      </c>
      <c r="C35" s="12" t="n">
        <v>25400</v>
      </c>
      <c r="D35" s="13" t="n">
        <v>134600</v>
      </c>
      <c r="E35" s="33" t="n">
        <f aca="false">'Color clustering'!E35</f>
        <v>806</v>
      </c>
      <c r="F35" s="15" t="n">
        <f aca="false">'Color clustering'!F35</f>
        <v>159194</v>
      </c>
      <c r="G35" s="33" t="n">
        <f aca="false">'Color clustering'!G35</f>
        <v>25401</v>
      </c>
      <c r="H35" s="14" t="n">
        <f aca="false">'Color clustering'!H35</f>
        <v>134599</v>
      </c>
      <c r="I35" s="12" t="n">
        <f aca="false">'Color classification'!E35</f>
        <v>11</v>
      </c>
      <c r="J35" s="15" t="n">
        <f aca="false">'Color classification'!F35</f>
        <v>159989</v>
      </c>
      <c r="K35" s="14" t="n">
        <f aca="false">'Color classification'!G35</f>
        <v>25402</v>
      </c>
      <c r="L35" s="13" t="n">
        <f aca="false">'Color classification'!H35</f>
        <v>134598</v>
      </c>
    </row>
    <row r="36" customFormat="false" ht="15" hidden="false" customHeight="false" outlineLevel="0" collapsed="false">
      <c r="A36" s="8"/>
      <c r="B36" s="14" t="n">
        <v>32</v>
      </c>
      <c r="C36" s="12" t="n">
        <v>25800</v>
      </c>
      <c r="D36" s="13" t="n">
        <v>134200</v>
      </c>
      <c r="E36" s="33" t="n">
        <f aca="false">'Color clustering'!E36</f>
        <v>312</v>
      </c>
      <c r="F36" s="15" t="n">
        <f aca="false">'Color clustering'!F36</f>
        <v>159688</v>
      </c>
      <c r="G36" s="33" t="n">
        <f aca="false">'Color clustering'!G36</f>
        <v>25801</v>
      </c>
      <c r="H36" s="14" t="n">
        <f aca="false">'Color clustering'!H36</f>
        <v>134199</v>
      </c>
      <c r="I36" s="12" t="n">
        <f aca="false">'Color classification'!E36</f>
        <v>20</v>
      </c>
      <c r="J36" s="15" t="n">
        <f aca="false">'Color classification'!F36</f>
        <v>159980</v>
      </c>
      <c r="K36" s="14" t="n">
        <f aca="false">'Color classification'!G36</f>
        <v>25802</v>
      </c>
      <c r="L36" s="13" t="n">
        <f aca="false">'Color classification'!H36</f>
        <v>134198</v>
      </c>
    </row>
    <row r="37" customFormat="false" ht="15" hidden="false" customHeight="false" outlineLevel="0" collapsed="false">
      <c r="A37" s="8"/>
      <c r="B37" s="14" t="n">
        <v>33</v>
      </c>
      <c r="C37" s="12" t="n">
        <v>25800</v>
      </c>
      <c r="D37" s="13" t="n">
        <v>134200</v>
      </c>
      <c r="E37" s="33" t="n">
        <f aca="false">'Color clustering'!E37</f>
        <v>469</v>
      </c>
      <c r="F37" s="15" t="n">
        <f aca="false">'Color clustering'!F37</f>
        <v>159531</v>
      </c>
      <c r="G37" s="33" t="n">
        <f aca="false">'Color clustering'!G37</f>
        <v>25801</v>
      </c>
      <c r="H37" s="14" t="n">
        <f aca="false">'Color clustering'!H37</f>
        <v>134199</v>
      </c>
      <c r="I37" s="12" t="n">
        <f aca="false">'Color classification'!E37</f>
        <v>84</v>
      </c>
      <c r="J37" s="15" t="n">
        <f aca="false">'Color classification'!F37</f>
        <v>159916</v>
      </c>
      <c r="K37" s="14" t="n">
        <f aca="false">'Color classification'!G37</f>
        <v>25801</v>
      </c>
      <c r="L37" s="13" t="n">
        <f aca="false">'Color classification'!H37</f>
        <v>134199</v>
      </c>
    </row>
    <row r="38" customFormat="false" ht="15" hidden="false" customHeight="false" outlineLevel="0" collapsed="false">
      <c r="A38" s="8"/>
      <c r="B38" s="14" t="n">
        <v>34</v>
      </c>
      <c r="C38" s="12" t="n">
        <v>26200</v>
      </c>
      <c r="D38" s="13" t="n">
        <v>133800</v>
      </c>
      <c r="E38" s="33" t="n">
        <f aca="false">'Color clustering'!E38</f>
        <v>22</v>
      </c>
      <c r="F38" s="15" t="n">
        <f aca="false">'Color clustering'!F38</f>
        <v>159978</v>
      </c>
      <c r="G38" s="33" t="n">
        <f aca="false">'Color clustering'!G38</f>
        <v>26200</v>
      </c>
      <c r="H38" s="14" t="n">
        <f aca="false">'Color clustering'!H38</f>
        <v>133800</v>
      </c>
      <c r="I38" s="12" t="n">
        <f aca="false">'Color classification'!E38</f>
        <v>17</v>
      </c>
      <c r="J38" s="15" t="n">
        <f aca="false">'Color classification'!F38</f>
        <v>159983</v>
      </c>
      <c r="K38" s="14" t="n">
        <f aca="false">'Color classification'!G38</f>
        <v>26201</v>
      </c>
      <c r="L38" s="13" t="n">
        <f aca="false">'Color classification'!H38</f>
        <v>133799</v>
      </c>
    </row>
    <row r="39" customFormat="false" ht="15" hidden="false" customHeight="false" outlineLevel="0" collapsed="false">
      <c r="A39" s="8"/>
      <c r="B39" s="14" t="n">
        <v>35</v>
      </c>
      <c r="C39" s="12" t="n">
        <v>26600</v>
      </c>
      <c r="D39" s="13" t="n">
        <v>133400</v>
      </c>
      <c r="E39" s="33" t="n">
        <f aca="false">'Color clustering'!E39</f>
        <v>69</v>
      </c>
      <c r="F39" s="15" t="n">
        <f aca="false">'Color clustering'!F39</f>
        <v>159931</v>
      </c>
      <c r="G39" s="33" t="n">
        <f aca="false">'Color clustering'!G39</f>
        <v>26602</v>
      </c>
      <c r="H39" s="14" t="n">
        <f aca="false">'Color clustering'!H39</f>
        <v>133398</v>
      </c>
      <c r="I39" s="12" t="n">
        <f aca="false">'Color classification'!E39</f>
        <v>14</v>
      </c>
      <c r="J39" s="15" t="n">
        <f aca="false">'Color classification'!F39</f>
        <v>159986</v>
      </c>
      <c r="K39" s="14" t="n">
        <f aca="false">'Color classification'!G39</f>
        <v>26602</v>
      </c>
      <c r="L39" s="13" t="n">
        <f aca="false">'Color classification'!H39</f>
        <v>133398</v>
      </c>
    </row>
    <row r="40" customFormat="false" ht="15" hidden="false" customHeight="false" outlineLevel="0" collapsed="false">
      <c r="A40" s="8"/>
      <c r="B40" s="14" t="n">
        <v>36</v>
      </c>
      <c r="C40" s="12" t="n">
        <v>26600</v>
      </c>
      <c r="D40" s="13" t="n">
        <v>133400</v>
      </c>
      <c r="E40" s="33" t="n">
        <f aca="false">'Color clustering'!E40</f>
        <v>12</v>
      </c>
      <c r="F40" s="15" t="n">
        <f aca="false">'Color clustering'!F40</f>
        <v>159988</v>
      </c>
      <c r="G40" s="33" t="n">
        <f aca="false">'Color clustering'!G40</f>
        <v>26602</v>
      </c>
      <c r="H40" s="14" t="n">
        <f aca="false">'Color clustering'!H40</f>
        <v>133398</v>
      </c>
      <c r="I40" s="12" t="n">
        <f aca="false">'Color classification'!E40</f>
        <v>1706</v>
      </c>
      <c r="J40" s="15" t="n">
        <f aca="false">'Color classification'!F40</f>
        <v>158294</v>
      </c>
      <c r="K40" s="14" t="n">
        <f aca="false">'Color classification'!G40</f>
        <v>26602</v>
      </c>
      <c r="L40" s="13" t="n">
        <f aca="false">'Color classification'!H40</f>
        <v>133398</v>
      </c>
    </row>
    <row r="41" customFormat="false" ht="15" hidden="false" customHeight="false" outlineLevel="0" collapsed="false">
      <c r="A41" s="8"/>
      <c r="B41" s="14" t="n">
        <v>37</v>
      </c>
      <c r="C41" s="12" t="n">
        <v>27000</v>
      </c>
      <c r="D41" s="13" t="n">
        <v>133000</v>
      </c>
      <c r="E41" s="33" t="n">
        <f aca="false">'Color clustering'!E41</f>
        <v>61</v>
      </c>
      <c r="F41" s="15" t="n">
        <f aca="false">'Color clustering'!F41</f>
        <v>159939</v>
      </c>
      <c r="G41" s="33" t="n">
        <f aca="false">'Color clustering'!G41</f>
        <v>27010</v>
      </c>
      <c r="H41" s="14" t="n">
        <f aca="false">'Color clustering'!H41</f>
        <v>132990</v>
      </c>
      <c r="I41" s="12" t="n">
        <f aca="false">'Color classification'!E41</f>
        <v>7</v>
      </c>
      <c r="J41" s="15" t="n">
        <f aca="false">'Color classification'!F41</f>
        <v>159993</v>
      </c>
      <c r="K41" s="14" t="n">
        <f aca="false">'Color classification'!G41</f>
        <v>27003</v>
      </c>
      <c r="L41" s="13" t="n">
        <f aca="false">'Color classification'!H41</f>
        <v>132997</v>
      </c>
    </row>
    <row r="42" customFormat="false" ht="15" hidden="false" customHeight="false" outlineLevel="0" collapsed="false">
      <c r="A42" s="8"/>
      <c r="B42" s="14" t="n">
        <v>38</v>
      </c>
      <c r="C42" s="12" t="n">
        <v>27400</v>
      </c>
      <c r="D42" s="13" t="n">
        <v>132600</v>
      </c>
      <c r="E42" s="33" t="n">
        <f aca="false">'Color clustering'!E42</f>
        <v>624</v>
      </c>
      <c r="F42" s="15" t="n">
        <f aca="false">'Color clustering'!F42</f>
        <v>159376</v>
      </c>
      <c r="G42" s="33" t="n">
        <f aca="false">'Color clustering'!G42</f>
        <v>27401</v>
      </c>
      <c r="H42" s="14" t="n">
        <f aca="false">'Color clustering'!H42</f>
        <v>132599</v>
      </c>
      <c r="I42" s="12" t="n">
        <f aca="false">'Color classification'!E42</f>
        <v>53</v>
      </c>
      <c r="J42" s="15" t="n">
        <f aca="false">'Color classification'!F42</f>
        <v>159947</v>
      </c>
      <c r="K42" s="14" t="n">
        <f aca="false">'Color classification'!G42</f>
        <v>27401</v>
      </c>
      <c r="L42" s="13" t="n">
        <f aca="false">'Color classification'!H42</f>
        <v>132599</v>
      </c>
    </row>
    <row r="43" customFormat="false" ht="15" hidden="false" customHeight="false" outlineLevel="0" collapsed="false">
      <c r="A43" s="8"/>
      <c r="B43" s="14" t="n">
        <v>39</v>
      </c>
      <c r="C43" s="12" t="n">
        <v>27400</v>
      </c>
      <c r="D43" s="13" t="n">
        <v>132600</v>
      </c>
      <c r="E43" s="33" t="n">
        <f aca="false">'Color clustering'!E43</f>
        <v>45</v>
      </c>
      <c r="F43" s="15" t="n">
        <f aca="false">'Color clustering'!F43</f>
        <v>159955</v>
      </c>
      <c r="G43" s="33" t="n">
        <f aca="false">'Color clustering'!G43</f>
        <v>27401</v>
      </c>
      <c r="H43" s="14" t="n">
        <f aca="false">'Color clustering'!H43</f>
        <v>132599</v>
      </c>
      <c r="I43" s="12" t="n">
        <f aca="false">'Color classification'!E43</f>
        <v>796</v>
      </c>
      <c r="J43" s="15" t="n">
        <f aca="false">'Color classification'!F43</f>
        <v>159204</v>
      </c>
      <c r="K43" s="14" t="n">
        <f aca="false">'Color classification'!G43</f>
        <v>27401</v>
      </c>
      <c r="L43" s="13" t="n">
        <f aca="false">'Color classification'!H43</f>
        <v>132599</v>
      </c>
    </row>
    <row r="44" customFormat="false" ht="15" hidden="false" customHeight="false" outlineLevel="0" collapsed="false">
      <c r="A44" s="8"/>
      <c r="B44" s="14" t="n">
        <v>40</v>
      </c>
      <c r="C44" s="12" t="n">
        <v>27800</v>
      </c>
      <c r="D44" s="13" t="n">
        <v>132200</v>
      </c>
      <c r="E44" s="33" t="n">
        <f aca="false">'Color clustering'!E44</f>
        <v>24</v>
      </c>
      <c r="F44" s="15" t="n">
        <f aca="false">'Color clustering'!F44</f>
        <v>159976</v>
      </c>
      <c r="G44" s="33" t="n">
        <f aca="false">'Color clustering'!G44</f>
        <v>27802</v>
      </c>
      <c r="H44" s="14" t="n">
        <f aca="false">'Color clustering'!H44</f>
        <v>132198</v>
      </c>
      <c r="I44" s="12" t="n">
        <f aca="false">'Color classification'!E44</f>
        <v>7</v>
      </c>
      <c r="J44" s="15" t="n">
        <f aca="false">'Color classification'!F44</f>
        <v>159993</v>
      </c>
      <c r="K44" s="14" t="n">
        <f aca="false">'Color classification'!G44</f>
        <v>27800</v>
      </c>
      <c r="L44" s="13" t="n">
        <f aca="false">'Color classification'!H44</f>
        <v>132200</v>
      </c>
    </row>
    <row r="45" customFormat="false" ht="15" hidden="false" customHeight="false" outlineLevel="0" collapsed="false">
      <c r="A45" s="8"/>
      <c r="B45" s="14" t="n">
        <v>41</v>
      </c>
      <c r="C45" s="12" t="n">
        <v>27800</v>
      </c>
      <c r="D45" s="13" t="n">
        <v>132200</v>
      </c>
      <c r="E45" s="33" t="n">
        <f aca="false">'Color clustering'!E45</f>
        <v>47</v>
      </c>
      <c r="F45" s="15" t="n">
        <f aca="false">'Color clustering'!F45</f>
        <v>159953</v>
      </c>
      <c r="G45" s="33" t="n">
        <f aca="false">'Color clustering'!G45</f>
        <v>27802</v>
      </c>
      <c r="H45" s="14" t="n">
        <f aca="false">'Color clustering'!H45</f>
        <v>132198</v>
      </c>
      <c r="I45" s="12" t="n">
        <f aca="false">'Color classification'!E45</f>
        <v>21</v>
      </c>
      <c r="J45" s="15" t="n">
        <f aca="false">'Color classification'!F45</f>
        <v>159979</v>
      </c>
      <c r="K45" s="14" t="n">
        <f aca="false">'Color classification'!G45</f>
        <v>27800</v>
      </c>
      <c r="L45" s="13" t="n">
        <f aca="false">'Color classification'!H45</f>
        <v>132200</v>
      </c>
    </row>
    <row r="46" customFormat="false" ht="15" hidden="false" customHeight="false" outlineLevel="0" collapsed="false">
      <c r="A46" s="8"/>
      <c r="B46" s="14" t="n">
        <v>42</v>
      </c>
      <c r="C46" s="12" t="n">
        <v>28200</v>
      </c>
      <c r="D46" s="13" t="n">
        <v>131800</v>
      </c>
      <c r="E46" s="33" t="n">
        <f aca="false">'Color clustering'!E46</f>
        <v>11</v>
      </c>
      <c r="F46" s="15" t="n">
        <f aca="false">'Color clustering'!F46</f>
        <v>159989</v>
      </c>
      <c r="G46" s="33" t="n">
        <f aca="false">'Color clustering'!G46</f>
        <v>28202</v>
      </c>
      <c r="H46" s="14" t="n">
        <f aca="false">'Color clustering'!H46</f>
        <v>131798</v>
      </c>
      <c r="I46" s="12" t="n">
        <f aca="false">'Color classification'!E46</f>
        <v>95</v>
      </c>
      <c r="J46" s="15" t="n">
        <f aca="false">'Color classification'!F46</f>
        <v>159905</v>
      </c>
      <c r="K46" s="14" t="n">
        <f aca="false">'Color classification'!G46</f>
        <v>28201</v>
      </c>
      <c r="L46" s="13" t="n">
        <f aca="false">'Color classification'!H46</f>
        <v>131799</v>
      </c>
    </row>
    <row r="47" customFormat="false" ht="15" hidden="false" customHeight="false" outlineLevel="0" collapsed="false">
      <c r="A47" s="8"/>
      <c r="B47" s="14" t="n">
        <v>43</v>
      </c>
      <c r="C47" s="12" t="n">
        <v>28200</v>
      </c>
      <c r="D47" s="13" t="n">
        <v>131800</v>
      </c>
      <c r="E47" s="33" t="n">
        <f aca="false">'Color clustering'!E47</f>
        <v>21</v>
      </c>
      <c r="F47" s="15" t="n">
        <f aca="false">'Color clustering'!F47</f>
        <v>159979</v>
      </c>
      <c r="G47" s="33" t="n">
        <f aca="false">'Color clustering'!G47</f>
        <v>28202</v>
      </c>
      <c r="H47" s="14" t="n">
        <f aca="false">'Color clustering'!H47</f>
        <v>131798</v>
      </c>
      <c r="I47" s="12" t="n">
        <f aca="false">'Color classification'!E47</f>
        <v>191</v>
      </c>
      <c r="J47" s="15" t="n">
        <f aca="false">'Color classification'!F47</f>
        <v>159809</v>
      </c>
      <c r="K47" s="14" t="n">
        <f aca="false">'Color classification'!G47</f>
        <v>28200</v>
      </c>
      <c r="L47" s="13" t="n">
        <f aca="false">'Color classification'!H47</f>
        <v>131800</v>
      </c>
    </row>
    <row r="48" customFormat="false" ht="15" hidden="false" customHeight="false" outlineLevel="0" collapsed="false">
      <c r="A48" s="8"/>
      <c r="B48" s="14" t="n">
        <v>44</v>
      </c>
      <c r="C48" s="12" t="n">
        <v>28600</v>
      </c>
      <c r="D48" s="13" t="n">
        <v>131400</v>
      </c>
      <c r="E48" s="33" t="n">
        <f aca="false">'Color clustering'!E48</f>
        <v>4</v>
      </c>
      <c r="F48" s="15" t="n">
        <f aca="false">'Color clustering'!F48</f>
        <v>159996</v>
      </c>
      <c r="G48" s="33" t="n">
        <f aca="false">'Color clustering'!G48</f>
        <v>28601</v>
      </c>
      <c r="H48" s="14" t="n">
        <f aca="false">'Color clustering'!H48</f>
        <v>131399</v>
      </c>
      <c r="I48" s="12" t="n">
        <f aca="false">'Color classification'!E48</f>
        <v>183</v>
      </c>
      <c r="J48" s="15" t="n">
        <f aca="false">'Color classification'!F48</f>
        <v>159817</v>
      </c>
      <c r="K48" s="14" t="n">
        <f aca="false">'Color classification'!G48</f>
        <v>28601</v>
      </c>
      <c r="L48" s="13" t="n">
        <f aca="false">'Color classification'!H48</f>
        <v>131399</v>
      </c>
    </row>
    <row r="49" customFormat="false" ht="15" hidden="false" customHeight="false" outlineLevel="0" collapsed="false">
      <c r="A49" s="8"/>
      <c r="B49" s="14" t="n">
        <v>45</v>
      </c>
      <c r="C49" s="12" t="n">
        <v>28600</v>
      </c>
      <c r="D49" s="13" t="n">
        <v>131400</v>
      </c>
      <c r="E49" s="33" t="n">
        <f aca="false">'Color clustering'!E49</f>
        <v>12</v>
      </c>
      <c r="F49" s="15" t="n">
        <f aca="false">'Color clustering'!F49</f>
        <v>159988</v>
      </c>
      <c r="G49" s="33" t="n">
        <f aca="false">'Color clustering'!G49</f>
        <v>28601</v>
      </c>
      <c r="H49" s="14" t="n">
        <f aca="false">'Color clustering'!H49</f>
        <v>131399</v>
      </c>
      <c r="I49" s="12" t="n">
        <f aca="false">'Color classification'!E49</f>
        <v>13</v>
      </c>
      <c r="J49" s="15" t="n">
        <f aca="false">'Color classification'!F49</f>
        <v>159987</v>
      </c>
      <c r="K49" s="14" t="n">
        <f aca="false">'Color classification'!G49</f>
        <v>28599</v>
      </c>
      <c r="L49" s="13" t="n">
        <f aca="false">'Color classification'!H49</f>
        <v>131401</v>
      </c>
    </row>
    <row r="50" customFormat="false" ht="15" hidden="false" customHeight="false" outlineLevel="0" collapsed="false">
      <c r="A50" s="8"/>
      <c r="B50" s="14" t="n">
        <v>46</v>
      </c>
      <c r="C50" s="12" t="n">
        <v>29000</v>
      </c>
      <c r="D50" s="13" t="n">
        <v>131000</v>
      </c>
      <c r="E50" s="33" t="n">
        <f aca="false">'Color clustering'!E50</f>
        <v>7</v>
      </c>
      <c r="F50" s="15" t="n">
        <f aca="false">'Color clustering'!F50</f>
        <v>159993</v>
      </c>
      <c r="G50" s="33" t="n">
        <f aca="false">'Color clustering'!G50</f>
        <v>29002</v>
      </c>
      <c r="H50" s="14" t="n">
        <f aca="false">'Color clustering'!H50</f>
        <v>130998</v>
      </c>
      <c r="I50" s="12" t="n">
        <f aca="false">'Color classification'!E50</f>
        <v>636</v>
      </c>
      <c r="J50" s="15" t="n">
        <f aca="false">'Color classification'!F50</f>
        <v>159364</v>
      </c>
      <c r="K50" s="14" t="n">
        <f aca="false">'Color classification'!G50</f>
        <v>29001</v>
      </c>
      <c r="L50" s="13" t="n">
        <f aca="false">'Color classification'!H50</f>
        <v>130999</v>
      </c>
    </row>
    <row r="51" customFormat="false" ht="15" hidden="false" customHeight="false" outlineLevel="0" collapsed="false">
      <c r="A51" s="8"/>
      <c r="B51" s="14" t="n">
        <v>47</v>
      </c>
      <c r="C51" s="12" t="n">
        <v>29000</v>
      </c>
      <c r="D51" s="13" t="n">
        <v>131000</v>
      </c>
      <c r="E51" s="33" t="n">
        <f aca="false">'Color clustering'!E51</f>
        <v>6</v>
      </c>
      <c r="F51" s="15" t="n">
        <f aca="false">'Color clustering'!F51</f>
        <v>159994</v>
      </c>
      <c r="G51" s="33" t="n">
        <f aca="false">'Color clustering'!G51</f>
        <v>29002</v>
      </c>
      <c r="H51" s="14" t="n">
        <f aca="false">'Color clustering'!H51</f>
        <v>130998</v>
      </c>
      <c r="I51" s="12" t="n">
        <f aca="false">'Color classification'!E51</f>
        <v>214</v>
      </c>
      <c r="J51" s="15" t="n">
        <f aca="false">'Color classification'!F51</f>
        <v>159786</v>
      </c>
      <c r="K51" s="14" t="n">
        <f aca="false">'Color classification'!G51</f>
        <v>29001</v>
      </c>
      <c r="L51" s="13" t="n">
        <f aca="false">'Color classification'!H51</f>
        <v>130999</v>
      </c>
    </row>
    <row r="52" customFormat="false" ht="15" hidden="false" customHeight="false" outlineLevel="0" collapsed="false">
      <c r="A52" s="8"/>
      <c r="B52" s="14" t="n">
        <v>48</v>
      </c>
      <c r="C52" s="12" t="n">
        <v>29400</v>
      </c>
      <c r="D52" s="13" t="n">
        <v>130600</v>
      </c>
      <c r="E52" s="33" t="n">
        <f aca="false">'Color clustering'!E52</f>
        <v>2</v>
      </c>
      <c r="F52" s="15" t="n">
        <f aca="false">'Color clustering'!F52</f>
        <v>159998</v>
      </c>
      <c r="G52" s="33" t="n">
        <f aca="false">'Color clustering'!G52</f>
        <v>29402</v>
      </c>
      <c r="H52" s="14" t="n">
        <f aca="false">'Color clustering'!H52</f>
        <v>130598</v>
      </c>
      <c r="I52" s="12" t="n">
        <f aca="false">'Color classification'!E52</f>
        <v>227</v>
      </c>
      <c r="J52" s="15" t="n">
        <f aca="false">'Color classification'!F52</f>
        <v>159773</v>
      </c>
      <c r="K52" s="14" t="n">
        <f aca="false">'Color classification'!G52</f>
        <v>29401</v>
      </c>
      <c r="L52" s="13" t="n">
        <f aca="false">'Color classification'!H52</f>
        <v>130599</v>
      </c>
    </row>
    <row r="53" customFormat="false" ht="15" hidden="false" customHeight="false" outlineLevel="0" collapsed="false">
      <c r="A53" s="8"/>
      <c r="B53" s="14" t="n">
        <v>49</v>
      </c>
      <c r="C53" s="12" t="n">
        <v>29400</v>
      </c>
      <c r="D53" s="13" t="n">
        <v>130600</v>
      </c>
      <c r="E53" s="33" t="n">
        <f aca="false">'Color clustering'!E53</f>
        <v>498</v>
      </c>
      <c r="F53" s="15" t="n">
        <f aca="false">'Color clustering'!F53</f>
        <v>159502</v>
      </c>
      <c r="G53" s="33" t="n">
        <f aca="false">'Color clustering'!G53</f>
        <v>29402</v>
      </c>
      <c r="H53" s="14" t="n">
        <f aca="false">'Color clustering'!H53</f>
        <v>130598</v>
      </c>
      <c r="I53" s="12" t="n">
        <f aca="false">'Color classification'!E53</f>
        <v>110</v>
      </c>
      <c r="J53" s="15" t="n">
        <f aca="false">'Color classification'!F53</f>
        <v>159890</v>
      </c>
      <c r="K53" s="14" t="n">
        <f aca="false">'Color classification'!G53</f>
        <v>29400</v>
      </c>
      <c r="L53" s="13" t="n">
        <f aca="false">'Color classification'!H53</f>
        <v>130600</v>
      </c>
    </row>
    <row r="54" customFormat="false" ht="15" hidden="false" customHeight="false" outlineLevel="0" collapsed="false">
      <c r="A54" s="8"/>
      <c r="B54" s="14" t="n">
        <v>50</v>
      </c>
      <c r="C54" s="12" t="n">
        <v>29800</v>
      </c>
      <c r="D54" s="13" t="n">
        <v>130200</v>
      </c>
      <c r="E54" s="33" t="n">
        <f aca="false">'Color clustering'!E54</f>
        <v>6</v>
      </c>
      <c r="F54" s="15" t="n">
        <f aca="false">'Color clustering'!F54</f>
        <v>159994</v>
      </c>
      <c r="G54" s="33" t="n">
        <f aca="false">'Color clustering'!G54</f>
        <v>29801</v>
      </c>
      <c r="H54" s="14" t="n">
        <f aca="false">'Color clustering'!H54</f>
        <v>130199</v>
      </c>
      <c r="I54" s="12" t="n">
        <f aca="false">'Color classification'!E54</f>
        <v>45</v>
      </c>
      <c r="J54" s="15" t="n">
        <f aca="false">'Color classification'!F54</f>
        <v>159955</v>
      </c>
      <c r="K54" s="14" t="n">
        <f aca="false">'Color classification'!G54</f>
        <v>29801</v>
      </c>
      <c r="L54" s="13" t="n">
        <f aca="false">'Color classification'!H54</f>
        <v>130199</v>
      </c>
    </row>
    <row r="55" customFormat="false" ht="15" hidden="false" customHeight="false" outlineLevel="0" collapsed="false">
      <c r="A55" s="8"/>
      <c r="B55" s="14" t="n">
        <v>51</v>
      </c>
      <c r="C55" s="12" t="n">
        <v>29800</v>
      </c>
      <c r="D55" s="13" t="n">
        <v>130200</v>
      </c>
      <c r="E55" s="33" t="n">
        <f aca="false">'Color clustering'!E55</f>
        <v>106</v>
      </c>
      <c r="F55" s="15" t="n">
        <f aca="false">'Color clustering'!F55</f>
        <v>159894</v>
      </c>
      <c r="G55" s="33" t="n">
        <f aca="false">'Color clustering'!G55</f>
        <v>29802</v>
      </c>
      <c r="H55" s="14" t="n">
        <f aca="false">'Color clustering'!H55</f>
        <v>130198</v>
      </c>
      <c r="I55" s="12" t="n">
        <f aca="false">'Color classification'!E55</f>
        <v>460</v>
      </c>
      <c r="J55" s="15" t="n">
        <f aca="false">'Color classification'!F55</f>
        <v>159540</v>
      </c>
      <c r="K55" s="14" t="n">
        <f aca="false">'Color classification'!G55</f>
        <v>29800</v>
      </c>
      <c r="L55" s="13" t="n">
        <f aca="false">'Color classification'!H55</f>
        <v>130200</v>
      </c>
    </row>
    <row r="56" customFormat="false" ht="15" hidden="false" customHeight="false" outlineLevel="0" collapsed="false">
      <c r="A56" s="8"/>
      <c r="B56" s="14" t="n">
        <v>52</v>
      </c>
      <c r="C56" s="12" t="n">
        <v>29800</v>
      </c>
      <c r="D56" s="13" t="n">
        <v>130200</v>
      </c>
      <c r="E56" s="33" t="n">
        <f aca="false">'Color clustering'!E56</f>
        <v>118</v>
      </c>
      <c r="F56" s="15" t="n">
        <f aca="false">'Color clustering'!F56</f>
        <v>159882</v>
      </c>
      <c r="G56" s="33" t="n">
        <f aca="false">'Color clustering'!G56</f>
        <v>29998</v>
      </c>
      <c r="H56" s="14" t="n">
        <f aca="false">'Color clustering'!H56</f>
        <v>130002</v>
      </c>
      <c r="I56" s="12" t="n">
        <f aca="false">'Color classification'!E56</f>
        <v>27</v>
      </c>
      <c r="J56" s="15" t="n">
        <f aca="false">'Color classification'!F56</f>
        <v>159973</v>
      </c>
      <c r="K56" s="14" t="n">
        <f aca="false">'Color classification'!G56</f>
        <v>29799</v>
      </c>
      <c r="L56" s="13" t="n">
        <f aca="false">'Color classification'!H56</f>
        <v>130201</v>
      </c>
    </row>
    <row r="57" customFormat="false" ht="15" hidden="false" customHeight="false" outlineLevel="0" collapsed="false">
      <c r="A57" s="8"/>
      <c r="B57" s="14" t="n">
        <v>53</v>
      </c>
      <c r="C57" s="12" t="n">
        <v>30200</v>
      </c>
      <c r="D57" s="13" t="n">
        <v>129800</v>
      </c>
      <c r="E57" s="33" t="n">
        <f aca="false">'Color clustering'!E57</f>
        <v>4</v>
      </c>
      <c r="F57" s="15" t="n">
        <f aca="false">'Color clustering'!F57</f>
        <v>159996</v>
      </c>
      <c r="G57" s="33" t="n">
        <f aca="false">'Color clustering'!G57</f>
        <v>30201</v>
      </c>
      <c r="H57" s="14" t="n">
        <f aca="false">'Color clustering'!H57</f>
        <v>129799</v>
      </c>
      <c r="I57" s="12" t="n">
        <f aca="false">'Color classification'!E57</f>
        <v>54</v>
      </c>
      <c r="J57" s="15" t="n">
        <f aca="false">'Color classification'!F57</f>
        <v>159946</v>
      </c>
      <c r="K57" s="14" t="n">
        <f aca="false">'Color classification'!G57</f>
        <v>30200</v>
      </c>
      <c r="L57" s="13" t="n">
        <f aca="false">'Color classification'!H57</f>
        <v>129800</v>
      </c>
    </row>
    <row r="58" customFormat="false" ht="15" hidden="false" customHeight="false" outlineLevel="0" collapsed="false">
      <c r="A58" s="8"/>
      <c r="B58" s="14" t="n">
        <v>54</v>
      </c>
      <c r="C58" s="12" t="n">
        <v>30200</v>
      </c>
      <c r="D58" s="13" t="n">
        <v>129800</v>
      </c>
      <c r="E58" s="33" t="n">
        <f aca="false">'Color clustering'!E58</f>
        <v>50</v>
      </c>
      <c r="F58" s="15" t="n">
        <f aca="false">'Color clustering'!F58</f>
        <v>159950</v>
      </c>
      <c r="G58" s="33" t="n">
        <f aca="false">'Color clustering'!G58</f>
        <v>30219</v>
      </c>
      <c r="H58" s="14" t="n">
        <f aca="false">'Color clustering'!H58</f>
        <v>129781</v>
      </c>
      <c r="I58" s="12" t="n">
        <f aca="false">'Color classification'!E58</f>
        <v>2732</v>
      </c>
      <c r="J58" s="15" t="n">
        <f aca="false">'Color classification'!F58</f>
        <v>157268</v>
      </c>
      <c r="K58" s="14" t="n">
        <f aca="false">'Color classification'!G58</f>
        <v>30210</v>
      </c>
      <c r="L58" s="13" t="n">
        <f aca="false">'Color classification'!H58</f>
        <v>129790</v>
      </c>
    </row>
    <row r="59" customFormat="false" ht="15" hidden="false" customHeight="false" outlineLevel="0" collapsed="false">
      <c r="A59" s="8"/>
      <c r="B59" s="14" t="n">
        <v>55</v>
      </c>
      <c r="C59" s="12" t="n">
        <v>30200</v>
      </c>
      <c r="D59" s="13" t="n">
        <v>129800</v>
      </c>
      <c r="E59" s="33" t="n">
        <f aca="false">'Color clustering'!E59</f>
        <v>224</v>
      </c>
      <c r="F59" s="15" t="n">
        <f aca="false">'Color clustering'!F59</f>
        <v>159776</v>
      </c>
      <c r="G59" s="33" t="n">
        <f aca="false">'Color clustering'!G59</f>
        <v>30202</v>
      </c>
      <c r="H59" s="14" t="n">
        <f aca="false">'Color clustering'!H59</f>
        <v>129798</v>
      </c>
      <c r="I59" s="12" t="n">
        <f aca="false">'Color classification'!E59</f>
        <v>89</v>
      </c>
      <c r="J59" s="15" t="n">
        <f aca="false">'Color classification'!F59</f>
        <v>159911</v>
      </c>
      <c r="K59" s="14" t="n">
        <f aca="false">'Color classification'!G59</f>
        <v>30200</v>
      </c>
      <c r="L59" s="13" t="n">
        <f aca="false">'Color classification'!H59</f>
        <v>129800</v>
      </c>
    </row>
    <row r="60" customFormat="false" ht="15" hidden="false" customHeight="false" outlineLevel="0" collapsed="false">
      <c r="A60" s="8"/>
      <c r="B60" s="14" t="n">
        <v>56</v>
      </c>
      <c r="C60" s="12" t="n">
        <v>30600</v>
      </c>
      <c r="D60" s="13" t="n">
        <v>129400</v>
      </c>
      <c r="E60" s="33" t="n">
        <f aca="false">'Color clustering'!E60</f>
        <v>6</v>
      </c>
      <c r="F60" s="15" t="n">
        <f aca="false">'Color clustering'!F60</f>
        <v>159994</v>
      </c>
      <c r="G60" s="33" t="n">
        <f aca="false">'Color clustering'!G60</f>
        <v>30602</v>
      </c>
      <c r="H60" s="14" t="n">
        <f aca="false">'Color clustering'!H60</f>
        <v>129398</v>
      </c>
      <c r="I60" s="12" t="n">
        <f aca="false">'Color classification'!E60</f>
        <v>364</v>
      </c>
      <c r="J60" s="15" t="n">
        <f aca="false">'Color classification'!F60</f>
        <v>159636</v>
      </c>
      <c r="K60" s="14" t="n">
        <f aca="false">'Color classification'!G60</f>
        <v>30600</v>
      </c>
      <c r="L60" s="13" t="n">
        <f aca="false">'Color classification'!H60</f>
        <v>129400</v>
      </c>
    </row>
    <row r="61" customFormat="false" ht="15" hidden="false" customHeight="false" outlineLevel="0" collapsed="false">
      <c r="A61" s="8"/>
      <c r="B61" s="14" t="n">
        <v>57</v>
      </c>
      <c r="C61" s="12" t="n">
        <v>30600</v>
      </c>
      <c r="D61" s="13" t="n">
        <v>129400</v>
      </c>
      <c r="E61" s="33" t="n">
        <f aca="false">'Color clustering'!E61</f>
        <v>17</v>
      </c>
      <c r="F61" s="15" t="n">
        <f aca="false">'Color clustering'!F61</f>
        <v>159983</v>
      </c>
      <c r="G61" s="33" t="n">
        <f aca="false">'Color clustering'!G61</f>
        <v>30601</v>
      </c>
      <c r="H61" s="14" t="n">
        <f aca="false">'Color clustering'!H61</f>
        <v>129399</v>
      </c>
      <c r="I61" s="12" t="n">
        <f aca="false">'Color classification'!E61</f>
        <v>1822</v>
      </c>
      <c r="J61" s="15" t="n">
        <f aca="false">'Color classification'!F61</f>
        <v>158178</v>
      </c>
      <c r="K61" s="14" t="n">
        <f aca="false">'Color classification'!G61</f>
        <v>30599</v>
      </c>
      <c r="L61" s="13" t="n">
        <f aca="false">'Color classification'!H61</f>
        <v>129401</v>
      </c>
    </row>
    <row r="62" customFormat="false" ht="15" hidden="false" customHeight="false" outlineLevel="0" collapsed="false">
      <c r="A62" s="8"/>
      <c r="B62" s="14" t="n">
        <v>58</v>
      </c>
      <c r="C62" s="12" t="n">
        <v>30600</v>
      </c>
      <c r="D62" s="13" t="n">
        <v>129400</v>
      </c>
      <c r="E62" s="33" t="n">
        <f aca="false">'Color clustering'!E62</f>
        <v>18</v>
      </c>
      <c r="F62" s="15" t="n">
        <f aca="false">'Color clustering'!F62</f>
        <v>159982</v>
      </c>
      <c r="G62" s="33" t="n">
        <f aca="false">'Color clustering'!G62</f>
        <v>30602</v>
      </c>
      <c r="H62" s="14" t="n">
        <f aca="false">'Color clustering'!H62</f>
        <v>129398</v>
      </c>
      <c r="I62" s="12" t="n">
        <f aca="false">'Color classification'!E62</f>
        <v>126</v>
      </c>
      <c r="J62" s="15" t="n">
        <f aca="false">'Color classification'!F62</f>
        <v>159874</v>
      </c>
      <c r="K62" s="14" t="n">
        <f aca="false">'Color classification'!G62</f>
        <v>30600</v>
      </c>
      <c r="L62" s="13" t="n">
        <f aca="false">'Color classification'!H62</f>
        <v>129400</v>
      </c>
    </row>
    <row r="63" customFormat="false" ht="15" hidden="false" customHeight="false" outlineLevel="0" collapsed="false">
      <c r="A63" s="8"/>
      <c r="B63" s="14" t="n">
        <v>59</v>
      </c>
      <c r="C63" s="12" t="n">
        <v>31000</v>
      </c>
      <c r="D63" s="13" t="n">
        <v>129000</v>
      </c>
      <c r="E63" s="33" t="n">
        <f aca="false">'Color clustering'!E63</f>
        <v>4</v>
      </c>
      <c r="F63" s="15" t="n">
        <f aca="false">'Color clustering'!F63</f>
        <v>159996</v>
      </c>
      <c r="G63" s="33" t="n">
        <f aca="false">'Color clustering'!G63</f>
        <v>31002</v>
      </c>
      <c r="H63" s="14" t="n">
        <f aca="false">'Color clustering'!H63</f>
        <v>128998</v>
      </c>
      <c r="I63" s="12" t="n">
        <f aca="false">'Color classification'!E63</f>
        <v>2548</v>
      </c>
      <c r="J63" s="15" t="n">
        <f aca="false">'Color classification'!F63</f>
        <v>157452</v>
      </c>
      <c r="K63" s="14" t="n">
        <f aca="false">'Color classification'!G63</f>
        <v>31000</v>
      </c>
      <c r="L63" s="13" t="n">
        <f aca="false">'Color classification'!H63</f>
        <v>129000</v>
      </c>
    </row>
    <row r="64" customFormat="false" ht="15" hidden="false" customHeight="false" outlineLevel="0" collapsed="false">
      <c r="A64" s="8"/>
      <c r="B64" s="14" t="n">
        <v>60</v>
      </c>
      <c r="C64" s="12" t="n">
        <v>31000</v>
      </c>
      <c r="D64" s="13" t="n">
        <v>129000</v>
      </c>
      <c r="E64" s="33" t="n">
        <f aca="false">'Color clustering'!E64</f>
        <v>14</v>
      </c>
      <c r="F64" s="15" t="n">
        <f aca="false">'Color clustering'!F64</f>
        <v>159986</v>
      </c>
      <c r="G64" s="33" t="n">
        <f aca="false">'Color clustering'!G64</f>
        <v>31002</v>
      </c>
      <c r="H64" s="14" t="n">
        <f aca="false">'Color clustering'!H64</f>
        <v>128998</v>
      </c>
      <c r="I64" s="12" t="n">
        <f aca="false">'Color classification'!E64</f>
        <v>1371</v>
      </c>
      <c r="J64" s="15" t="n">
        <f aca="false">'Color classification'!F64</f>
        <v>158629</v>
      </c>
      <c r="K64" s="14" t="n">
        <f aca="false">'Color classification'!G64</f>
        <v>31000</v>
      </c>
      <c r="L64" s="13" t="n">
        <f aca="false">'Color classification'!H64</f>
        <v>129000</v>
      </c>
    </row>
    <row r="65" customFormat="false" ht="15" hidden="false" customHeight="false" outlineLevel="0" collapsed="false">
      <c r="A65" s="8"/>
      <c r="B65" s="14" t="n">
        <v>61</v>
      </c>
      <c r="C65" s="12" t="n">
        <v>31000</v>
      </c>
      <c r="D65" s="13" t="n">
        <v>129000</v>
      </c>
      <c r="E65" s="33" t="n">
        <f aca="false">'Color clustering'!E65</f>
        <v>46</v>
      </c>
      <c r="F65" s="15" t="n">
        <f aca="false">'Color clustering'!F65</f>
        <v>159954</v>
      </c>
      <c r="G65" s="33" t="n">
        <f aca="false">'Color clustering'!G65</f>
        <v>31002</v>
      </c>
      <c r="H65" s="14" t="n">
        <f aca="false">'Color clustering'!H65</f>
        <v>128998</v>
      </c>
      <c r="I65" s="12" t="n">
        <f aca="false">'Color classification'!E65</f>
        <v>91</v>
      </c>
      <c r="J65" s="15" t="n">
        <f aca="false">'Color classification'!F65</f>
        <v>159909</v>
      </c>
      <c r="K65" s="14" t="n">
        <f aca="false">'Color classification'!G65</f>
        <v>31000</v>
      </c>
      <c r="L65" s="13" t="n">
        <f aca="false">'Color classification'!H65</f>
        <v>129000</v>
      </c>
    </row>
    <row r="66" customFormat="false" ht="15" hidden="false" customHeight="false" outlineLevel="0" collapsed="false">
      <c r="A66" s="8"/>
      <c r="B66" s="14" t="n">
        <v>62</v>
      </c>
      <c r="C66" s="12" t="n">
        <v>31000</v>
      </c>
      <c r="D66" s="13" t="n">
        <v>129000</v>
      </c>
      <c r="E66" s="33" t="n">
        <f aca="false">'Color clustering'!E66</f>
        <v>12</v>
      </c>
      <c r="F66" s="15" t="n">
        <f aca="false">'Color clustering'!F66</f>
        <v>159988</v>
      </c>
      <c r="G66" s="33" t="n">
        <f aca="false">'Color clustering'!G66</f>
        <v>31014</v>
      </c>
      <c r="H66" s="14" t="n">
        <f aca="false">'Color clustering'!H66</f>
        <v>128986</v>
      </c>
      <c r="I66" s="12" t="n">
        <f aca="false">'Color classification'!E66</f>
        <v>6</v>
      </c>
      <c r="J66" s="15" t="n">
        <f aca="false">'Color classification'!F66</f>
        <v>159994</v>
      </c>
      <c r="K66" s="14" t="n">
        <f aca="false">'Color classification'!G66</f>
        <v>31006</v>
      </c>
      <c r="L66" s="13" t="n">
        <f aca="false">'Color classification'!H66</f>
        <v>128994</v>
      </c>
    </row>
    <row r="67" customFormat="false" ht="15" hidden="false" customHeight="false" outlineLevel="0" collapsed="false">
      <c r="A67" s="8"/>
      <c r="B67" s="14" t="n">
        <v>63</v>
      </c>
      <c r="C67" s="12" t="n">
        <v>31400</v>
      </c>
      <c r="D67" s="13" t="n">
        <v>128600</v>
      </c>
      <c r="E67" s="33" t="n">
        <f aca="false">'Color clustering'!E67</f>
        <v>50</v>
      </c>
      <c r="F67" s="15" t="n">
        <f aca="false">'Color clustering'!F67</f>
        <v>159950</v>
      </c>
      <c r="G67" s="33" t="n">
        <f aca="false">'Color clustering'!G67</f>
        <v>31402</v>
      </c>
      <c r="H67" s="14" t="n">
        <f aca="false">'Color clustering'!H67</f>
        <v>128598</v>
      </c>
      <c r="I67" s="12" t="n">
        <f aca="false">'Color classification'!E67</f>
        <v>29</v>
      </c>
      <c r="J67" s="15" t="n">
        <f aca="false">'Color classification'!F67</f>
        <v>159971</v>
      </c>
      <c r="K67" s="14" t="n">
        <f aca="false">'Color classification'!G67</f>
        <v>31400</v>
      </c>
      <c r="L67" s="13" t="n">
        <f aca="false">'Color classification'!H67</f>
        <v>128600</v>
      </c>
    </row>
    <row r="68" customFormat="false" ht="15" hidden="false" customHeight="false" outlineLevel="0" collapsed="false">
      <c r="A68" s="8"/>
      <c r="B68" s="14" t="n">
        <v>64</v>
      </c>
      <c r="C68" s="12" t="n">
        <v>31400</v>
      </c>
      <c r="D68" s="13" t="n">
        <v>128600</v>
      </c>
      <c r="E68" s="33" t="n">
        <f aca="false">'Color clustering'!E68</f>
        <v>245</v>
      </c>
      <c r="F68" s="15" t="n">
        <f aca="false">'Color clustering'!F68</f>
        <v>159755</v>
      </c>
      <c r="G68" s="33" t="n">
        <f aca="false">'Color clustering'!G68</f>
        <v>31401</v>
      </c>
      <c r="H68" s="14" t="n">
        <f aca="false">'Color clustering'!H68</f>
        <v>128599</v>
      </c>
      <c r="I68" s="12" t="n">
        <f aca="false">'Color classification'!E68</f>
        <v>27</v>
      </c>
      <c r="J68" s="15" t="n">
        <f aca="false">'Color classification'!F68</f>
        <v>159973</v>
      </c>
      <c r="K68" s="14" t="n">
        <f aca="false">'Color classification'!G68</f>
        <v>31399</v>
      </c>
      <c r="L68" s="13" t="n">
        <f aca="false">'Color classification'!H68</f>
        <v>128601</v>
      </c>
    </row>
    <row r="69" customFormat="false" ht="15" hidden="false" customHeight="false" outlineLevel="0" collapsed="false">
      <c r="A69" s="8"/>
      <c r="B69" s="14" t="n">
        <v>65</v>
      </c>
      <c r="C69" s="12" t="n">
        <v>31400</v>
      </c>
      <c r="D69" s="13" t="n">
        <v>128600</v>
      </c>
      <c r="E69" s="33" t="n">
        <f aca="false">'Color clustering'!E69</f>
        <v>0</v>
      </c>
      <c r="F69" s="15" t="n">
        <f aca="false">'Color clustering'!F69</f>
        <v>160000</v>
      </c>
      <c r="G69" s="33" t="n">
        <f aca="false">'Color clustering'!G69</f>
        <v>31558</v>
      </c>
      <c r="H69" s="14" t="n">
        <f aca="false">'Color clustering'!H69</f>
        <v>128442</v>
      </c>
      <c r="I69" s="12" t="n">
        <f aca="false">'Color classification'!E69</f>
        <v>47</v>
      </c>
      <c r="J69" s="15" t="n">
        <f aca="false">'Color classification'!F69</f>
        <v>159953</v>
      </c>
      <c r="K69" s="14" t="n">
        <f aca="false">'Color classification'!G69</f>
        <v>31399</v>
      </c>
      <c r="L69" s="13" t="n">
        <f aca="false">'Color classification'!H69</f>
        <v>128601</v>
      </c>
    </row>
    <row r="70" customFormat="false" ht="15" hidden="false" customHeight="false" outlineLevel="0" collapsed="false">
      <c r="A70" s="8"/>
      <c r="B70" s="14" t="n">
        <v>66</v>
      </c>
      <c r="C70" s="12" t="n">
        <v>31400</v>
      </c>
      <c r="D70" s="13" t="n">
        <v>128600</v>
      </c>
      <c r="E70" s="33" t="n">
        <f aca="false">'Color clustering'!E70</f>
        <v>84</v>
      </c>
      <c r="F70" s="15" t="n">
        <f aca="false">'Color clustering'!F70</f>
        <v>159916</v>
      </c>
      <c r="G70" s="33" t="n">
        <f aca="false">'Color clustering'!G70</f>
        <v>31402</v>
      </c>
      <c r="H70" s="14" t="n">
        <f aca="false">'Color clustering'!H70</f>
        <v>128598</v>
      </c>
      <c r="I70" s="12" t="n">
        <f aca="false">'Color classification'!E70</f>
        <v>93</v>
      </c>
      <c r="J70" s="15" t="n">
        <f aca="false">'Color classification'!F70</f>
        <v>159907</v>
      </c>
      <c r="K70" s="14" t="n">
        <f aca="false">'Color classification'!G70</f>
        <v>31400</v>
      </c>
      <c r="L70" s="13" t="n">
        <f aca="false">'Color classification'!H70</f>
        <v>128600</v>
      </c>
    </row>
    <row r="71" customFormat="false" ht="15" hidden="false" customHeight="false" outlineLevel="0" collapsed="false">
      <c r="A71" s="8"/>
      <c r="B71" s="14" t="n">
        <v>67</v>
      </c>
      <c r="C71" s="12" t="n">
        <v>31400</v>
      </c>
      <c r="D71" s="13" t="n">
        <v>128600</v>
      </c>
      <c r="E71" s="33" t="n">
        <f aca="false">'Color clustering'!E71</f>
        <v>132</v>
      </c>
      <c r="F71" s="15" t="n">
        <f aca="false">'Color clustering'!F71</f>
        <v>159868</v>
      </c>
      <c r="G71" s="33" t="n">
        <f aca="false">'Color clustering'!G71</f>
        <v>31415</v>
      </c>
      <c r="H71" s="14" t="n">
        <f aca="false">'Color clustering'!H71</f>
        <v>128585</v>
      </c>
      <c r="I71" s="12" t="n">
        <f aca="false">'Color classification'!E71</f>
        <v>326</v>
      </c>
      <c r="J71" s="15" t="n">
        <f aca="false">'Color classification'!F71</f>
        <v>159674</v>
      </c>
      <c r="K71" s="14" t="n">
        <f aca="false">'Color classification'!G71</f>
        <v>31410</v>
      </c>
      <c r="L71" s="13" t="n">
        <f aca="false">'Color classification'!H71</f>
        <v>128590</v>
      </c>
    </row>
    <row r="72" customFormat="false" ht="15" hidden="false" customHeight="false" outlineLevel="0" collapsed="false">
      <c r="A72" s="8"/>
      <c r="B72" s="14" t="n">
        <v>68</v>
      </c>
      <c r="C72" s="12" t="n">
        <v>31800</v>
      </c>
      <c r="D72" s="13" t="n">
        <v>128200</v>
      </c>
      <c r="E72" s="33" t="n">
        <f aca="false">'Color clustering'!E72</f>
        <v>5</v>
      </c>
      <c r="F72" s="15" t="n">
        <f aca="false">'Color clustering'!F72</f>
        <v>159995</v>
      </c>
      <c r="G72" s="33" t="n">
        <f aca="false">'Color clustering'!G72</f>
        <v>31802</v>
      </c>
      <c r="H72" s="14" t="n">
        <f aca="false">'Color clustering'!H72</f>
        <v>128198</v>
      </c>
      <c r="I72" s="12" t="n">
        <f aca="false">'Color classification'!E72</f>
        <v>590</v>
      </c>
      <c r="J72" s="15" t="n">
        <f aca="false">'Color classification'!F72</f>
        <v>159410</v>
      </c>
      <c r="K72" s="14" t="n">
        <f aca="false">'Color classification'!G72</f>
        <v>31800</v>
      </c>
      <c r="L72" s="13" t="n">
        <f aca="false">'Color classification'!H72</f>
        <v>128200</v>
      </c>
    </row>
    <row r="73" customFormat="false" ht="15" hidden="false" customHeight="false" outlineLevel="0" collapsed="false">
      <c r="A73" s="8"/>
      <c r="B73" s="14" t="n">
        <v>69</v>
      </c>
      <c r="C73" s="12" t="n">
        <v>31800</v>
      </c>
      <c r="D73" s="13" t="n">
        <v>128200</v>
      </c>
      <c r="E73" s="33" t="n">
        <f aca="false">'Color clustering'!E73</f>
        <v>769</v>
      </c>
      <c r="F73" s="15" t="n">
        <f aca="false">'Color clustering'!F73</f>
        <v>159231</v>
      </c>
      <c r="G73" s="33" t="n">
        <f aca="false">'Color clustering'!G73</f>
        <v>31801</v>
      </c>
      <c r="H73" s="14" t="n">
        <f aca="false">'Color clustering'!H73</f>
        <v>128199</v>
      </c>
      <c r="I73" s="12" t="n">
        <f aca="false">'Color classification'!E73</f>
        <v>723</v>
      </c>
      <c r="J73" s="15" t="n">
        <f aca="false">'Color classification'!F73</f>
        <v>159277</v>
      </c>
      <c r="K73" s="14" t="n">
        <f aca="false">'Color classification'!G73</f>
        <v>31799</v>
      </c>
      <c r="L73" s="13" t="n">
        <f aca="false">'Color classification'!H73</f>
        <v>128201</v>
      </c>
    </row>
    <row r="74" customFormat="false" ht="15" hidden="false" customHeight="false" outlineLevel="0" collapsed="false">
      <c r="A74" s="8"/>
      <c r="B74" s="14" t="n">
        <v>70</v>
      </c>
      <c r="C74" s="12" t="n">
        <v>31800</v>
      </c>
      <c r="D74" s="13" t="n">
        <v>128200</v>
      </c>
      <c r="E74" s="33" t="n">
        <f aca="false">'Color clustering'!E74</f>
        <v>107</v>
      </c>
      <c r="F74" s="15" t="n">
        <f aca="false">'Color clustering'!F74</f>
        <v>159893</v>
      </c>
      <c r="G74" s="33" t="n">
        <f aca="false">'Color clustering'!G74</f>
        <v>31802</v>
      </c>
      <c r="H74" s="14" t="n">
        <f aca="false">'Color clustering'!H74</f>
        <v>128198</v>
      </c>
      <c r="I74" s="12" t="n">
        <f aca="false">'Color classification'!E74</f>
        <v>346</v>
      </c>
      <c r="J74" s="15" t="n">
        <f aca="false">'Color classification'!F74</f>
        <v>159654</v>
      </c>
      <c r="K74" s="14" t="n">
        <f aca="false">'Color classification'!G74</f>
        <v>31800</v>
      </c>
      <c r="L74" s="13" t="n">
        <f aca="false">'Color classification'!H74</f>
        <v>128200</v>
      </c>
    </row>
    <row r="75" customFormat="false" ht="15" hidden="false" customHeight="false" outlineLevel="0" collapsed="false">
      <c r="A75" s="8"/>
      <c r="B75" s="14" t="n">
        <v>71</v>
      </c>
      <c r="C75" s="12" t="n">
        <v>31800</v>
      </c>
      <c r="D75" s="13" t="n">
        <v>128200</v>
      </c>
      <c r="E75" s="33" t="n">
        <f aca="false">'Color clustering'!E75</f>
        <v>16</v>
      </c>
      <c r="F75" s="15" t="n">
        <f aca="false">'Color clustering'!F75</f>
        <v>159984</v>
      </c>
      <c r="G75" s="33" t="n">
        <f aca="false">'Color clustering'!G75</f>
        <v>31802</v>
      </c>
      <c r="H75" s="14" t="n">
        <f aca="false">'Color clustering'!H75</f>
        <v>128198</v>
      </c>
      <c r="I75" s="12" t="n">
        <f aca="false">'Color classification'!E75</f>
        <v>866</v>
      </c>
      <c r="J75" s="15" t="n">
        <f aca="false">'Color classification'!F75</f>
        <v>159134</v>
      </c>
      <c r="K75" s="14" t="n">
        <f aca="false">'Color classification'!G75</f>
        <v>31800</v>
      </c>
      <c r="L75" s="13" t="n">
        <f aca="false">'Color classification'!H75</f>
        <v>128200</v>
      </c>
    </row>
    <row r="76" customFormat="false" ht="15" hidden="false" customHeight="false" outlineLevel="0" collapsed="false">
      <c r="A76" s="8"/>
      <c r="B76" s="14" t="n">
        <v>72</v>
      </c>
      <c r="C76" s="12" t="n">
        <v>31800</v>
      </c>
      <c r="D76" s="13" t="n">
        <v>128200</v>
      </c>
      <c r="E76" s="33" t="n">
        <f aca="false">'Color clustering'!E76</f>
        <v>5</v>
      </c>
      <c r="F76" s="15" t="n">
        <f aca="false">'Color clustering'!F76</f>
        <v>159995</v>
      </c>
      <c r="G76" s="33" t="n">
        <f aca="false">'Color clustering'!G76</f>
        <v>31802</v>
      </c>
      <c r="H76" s="14" t="n">
        <f aca="false">'Color clustering'!H76</f>
        <v>128198</v>
      </c>
      <c r="I76" s="12" t="n">
        <f aca="false">'Color classification'!E76</f>
        <v>227</v>
      </c>
      <c r="J76" s="15" t="n">
        <f aca="false">'Color classification'!F76</f>
        <v>159773</v>
      </c>
      <c r="K76" s="14" t="n">
        <f aca="false">'Color classification'!G76</f>
        <v>31800</v>
      </c>
      <c r="L76" s="13" t="n">
        <f aca="false">'Color classification'!H76</f>
        <v>128200</v>
      </c>
    </row>
    <row r="77" customFormat="false" ht="15" hidden="false" customHeight="false" outlineLevel="0" collapsed="false">
      <c r="A77" s="8"/>
      <c r="B77" s="14" t="n">
        <v>73</v>
      </c>
      <c r="C77" s="12" t="n">
        <v>31800</v>
      </c>
      <c r="D77" s="13" t="n">
        <v>128200</v>
      </c>
      <c r="E77" s="33" t="n">
        <f aca="false">'Color clustering'!E77</f>
        <v>1141</v>
      </c>
      <c r="F77" s="15" t="n">
        <f aca="false">'Color clustering'!F77</f>
        <v>158859</v>
      </c>
      <c r="G77" s="33" t="n">
        <f aca="false">'Color clustering'!G77</f>
        <v>31802</v>
      </c>
      <c r="H77" s="14" t="n">
        <f aca="false">'Color clustering'!H77</f>
        <v>128198</v>
      </c>
      <c r="I77" s="12" t="n">
        <f aca="false">'Color classification'!E77</f>
        <v>35</v>
      </c>
      <c r="J77" s="15" t="n">
        <f aca="false">'Color classification'!F77</f>
        <v>159965</v>
      </c>
      <c r="K77" s="14" t="n">
        <f aca="false">'Color classification'!G77</f>
        <v>31800</v>
      </c>
      <c r="L77" s="13" t="n">
        <f aca="false">'Color classification'!H77</f>
        <v>128200</v>
      </c>
    </row>
    <row r="78" customFormat="false" ht="15" hidden="false" customHeight="false" outlineLevel="0" collapsed="false">
      <c r="A78" s="8"/>
      <c r="B78" s="14" t="n">
        <v>74</v>
      </c>
      <c r="C78" s="12" t="n">
        <v>31800</v>
      </c>
      <c r="D78" s="13" t="n">
        <v>128200</v>
      </c>
      <c r="E78" s="33" t="n">
        <f aca="false">'Color clustering'!E78</f>
        <v>7</v>
      </c>
      <c r="F78" s="15" t="n">
        <f aca="false">'Color clustering'!F78</f>
        <v>159993</v>
      </c>
      <c r="G78" s="33" t="n">
        <f aca="false">'Color clustering'!G78</f>
        <v>31801</v>
      </c>
      <c r="H78" s="14" t="n">
        <f aca="false">'Color clustering'!H78</f>
        <v>128199</v>
      </c>
      <c r="I78" s="12" t="n">
        <f aca="false">'Color classification'!E78</f>
        <v>0</v>
      </c>
      <c r="J78" s="15" t="n">
        <f aca="false">'Color classification'!F78</f>
        <v>160000</v>
      </c>
      <c r="K78" s="14" t="n">
        <f aca="false">'Color classification'!G78</f>
        <v>31800</v>
      </c>
      <c r="L78" s="13" t="n">
        <f aca="false">'Color classification'!H78</f>
        <v>128200</v>
      </c>
    </row>
    <row r="79" customFormat="false" ht="15" hidden="false" customHeight="false" outlineLevel="0" collapsed="false">
      <c r="A79" s="8"/>
      <c r="B79" s="14" t="n">
        <v>75</v>
      </c>
      <c r="C79" s="12" t="n">
        <v>31800</v>
      </c>
      <c r="D79" s="13" t="n">
        <v>128200</v>
      </c>
      <c r="E79" s="33" t="n">
        <f aca="false">'Color clustering'!E79</f>
        <v>7</v>
      </c>
      <c r="F79" s="15" t="n">
        <f aca="false">'Color clustering'!F79</f>
        <v>159993</v>
      </c>
      <c r="G79" s="33" t="n">
        <f aca="false">'Color clustering'!G79</f>
        <v>31819</v>
      </c>
      <c r="H79" s="14" t="n">
        <f aca="false">'Color clustering'!H79</f>
        <v>128181</v>
      </c>
      <c r="I79" s="12" t="n">
        <f aca="false">'Color classification'!E79</f>
        <v>1</v>
      </c>
      <c r="J79" s="15" t="n">
        <f aca="false">'Color classification'!F79</f>
        <v>159999</v>
      </c>
      <c r="K79" s="14" t="n">
        <f aca="false">'Color classification'!G79</f>
        <v>31810</v>
      </c>
      <c r="L79" s="13" t="n">
        <f aca="false">'Color classification'!H79</f>
        <v>128190</v>
      </c>
    </row>
    <row r="80" customFormat="false" ht="15" hidden="false" customHeight="false" outlineLevel="0" collapsed="false">
      <c r="A80" s="8"/>
      <c r="B80" s="14" t="n">
        <v>76</v>
      </c>
      <c r="C80" s="12" t="n">
        <v>31800</v>
      </c>
      <c r="D80" s="13" t="n">
        <v>128200</v>
      </c>
      <c r="E80" s="33" t="n">
        <f aca="false">'Color clustering'!E80</f>
        <v>83</v>
      </c>
      <c r="F80" s="15" t="n">
        <f aca="false">'Color clustering'!F80</f>
        <v>159917</v>
      </c>
      <c r="G80" s="33" t="n">
        <f aca="false">'Color clustering'!G80</f>
        <v>31802</v>
      </c>
      <c r="H80" s="14" t="n">
        <f aca="false">'Color clustering'!H80</f>
        <v>128198</v>
      </c>
      <c r="I80" s="12" t="n">
        <f aca="false">'Color classification'!E80</f>
        <v>539</v>
      </c>
      <c r="J80" s="15" t="n">
        <f aca="false">'Color classification'!F80</f>
        <v>159461</v>
      </c>
      <c r="K80" s="14" t="n">
        <f aca="false">'Color classification'!G80</f>
        <v>31800</v>
      </c>
      <c r="L80" s="13" t="n">
        <f aca="false">'Color classification'!H80</f>
        <v>128200</v>
      </c>
    </row>
    <row r="81" customFormat="false" ht="15" hidden="false" customHeight="false" outlineLevel="0" collapsed="false">
      <c r="A81" s="8"/>
      <c r="B81" s="14" t="n">
        <v>77</v>
      </c>
      <c r="C81" s="12" t="n">
        <v>31800</v>
      </c>
      <c r="D81" s="13" t="n">
        <v>128200</v>
      </c>
      <c r="E81" s="33" t="n">
        <f aca="false">'Color clustering'!E81</f>
        <v>15</v>
      </c>
      <c r="F81" s="15" t="n">
        <f aca="false">'Color clustering'!F81</f>
        <v>159985</v>
      </c>
      <c r="G81" s="33" t="n">
        <f aca="false">'Color clustering'!G81</f>
        <v>31802</v>
      </c>
      <c r="H81" s="14" t="n">
        <f aca="false">'Color clustering'!H81</f>
        <v>128198</v>
      </c>
      <c r="I81" s="12" t="n">
        <f aca="false">'Color classification'!E81</f>
        <v>369</v>
      </c>
      <c r="J81" s="15" t="n">
        <f aca="false">'Color classification'!F81</f>
        <v>159631</v>
      </c>
      <c r="K81" s="14" t="n">
        <f aca="false">'Color classification'!G81</f>
        <v>31800</v>
      </c>
      <c r="L81" s="13" t="n">
        <f aca="false">'Color classification'!H81</f>
        <v>128200</v>
      </c>
    </row>
    <row r="82" customFormat="false" ht="15" hidden="false" customHeight="false" outlineLevel="0" collapsed="false">
      <c r="A82" s="8"/>
      <c r="B82" s="14" t="n">
        <v>78</v>
      </c>
      <c r="C82" s="12" t="n">
        <v>31800</v>
      </c>
      <c r="D82" s="13" t="n">
        <v>128200</v>
      </c>
      <c r="E82" s="33" t="n">
        <f aca="false">'Color clustering'!E82</f>
        <v>23</v>
      </c>
      <c r="F82" s="15" t="n">
        <f aca="false">'Color clustering'!F82</f>
        <v>159977</v>
      </c>
      <c r="G82" s="33" t="n">
        <f aca="false">'Color clustering'!G82</f>
        <v>31802</v>
      </c>
      <c r="H82" s="14" t="n">
        <f aca="false">'Color clustering'!H82</f>
        <v>128198</v>
      </c>
      <c r="I82" s="12" t="n">
        <f aca="false">'Color classification'!E82</f>
        <v>0</v>
      </c>
      <c r="J82" s="15" t="n">
        <f aca="false">'Color classification'!F82</f>
        <v>160000</v>
      </c>
      <c r="K82" s="14" t="n">
        <f aca="false">'Color classification'!G82</f>
        <v>31800</v>
      </c>
      <c r="L82" s="13" t="n">
        <f aca="false">'Color classification'!H82</f>
        <v>128200</v>
      </c>
    </row>
    <row r="83" customFormat="false" ht="15" hidden="false" customHeight="false" outlineLevel="0" collapsed="false">
      <c r="A83" s="8"/>
      <c r="B83" s="14" t="n">
        <v>79</v>
      </c>
      <c r="C83" s="12" t="n">
        <v>31800</v>
      </c>
      <c r="D83" s="13" t="n">
        <v>128200</v>
      </c>
      <c r="E83" s="33" t="n">
        <f aca="false">'Color clustering'!E83</f>
        <v>118</v>
      </c>
      <c r="F83" s="15" t="n">
        <f aca="false">'Color clustering'!F83</f>
        <v>159882</v>
      </c>
      <c r="G83" s="33" t="n">
        <f aca="false">'Color clustering'!G83</f>
        <v>31802</v>
      </c>
      <c r="H83" s="14" t="n">
        <f aca="false">'Color clustering'!H83</f>
        <v>128198</v>
      </c>
      <c r="I83" s="12" t="n">
        <f aca="false">'Color classification'!E83</f>
        <v>3013</v>
      </c>
      <c r="J83" s="15" t="n">
        <f aca="false">'Color classification'!F83</f>
        <v>156987</v>
      </c>
      <c r="K83" s="14" t="n">
        <f aca="false">'Color classification'!G83</f>
        <v>31800</v>
      </c>
      <c r="L83" s="13" t="n">
        <f aca="false">'Color classification'!H83</f>
        <v>128200</v>
      </c>
    </row>
    <row r="84" customFormat="false" ht="15" hidden="false" customHeight="false" outlineLevel="0" collapsed="false">
      <c r="A84" s="8"/>
      <c r="B84" s="14" t="n">
        <v>80</v>
      </c>
      <c r="C84" s="12" t="n">
        <v>32200</v>
      </c>
      <c r="D84" s="13" t="n">
        <v>127800</v>
      </c>
      <c r="E84" s="33" t="n">
        <f aca="false">'Color clustering'!E84</f>
        <v>7</v>
      </c>
      <c r="F84" s="15" t="n">
        <f aca="false">'Color clustering'!F84</f>
        <v>159993</v>
      </c>
      <c r="G84" s="33" t="n">
        <f aca="false">'Color clustering'!G84</f>
        <v>32216</v>
      </c>
      <c r="H84" s="14" t="n">
        <f aca="false">'Color clustering'!H84</f>
        <v>127784</v>
      </c>
      <c r="I84" s="12" t="n">
        <f aca="false">'Color classification'!E84</f>
        <v>119</v>
      </c>
      <c r="J84" s="15" t="n">
        <f aca="false">'Color classification'!F84</f>
        <v>159881</v>
      </c>
      <c r="K84" s="14" t="n">
        <f aca="false">'Color classification'!G84</f>
        <v>32198</v>
      </c>
      <c r="L84" s="13" t="n">
        <f aca="false">'Color classification'!H84</f>
        <v>127802</v>
      </c>
    </row>
    <row r="85" customFormat="false" ht="15" hidden="false" customHeight="false" outlineLevel="0" collapsed="false">
      <c r="A85" s="8"/>
      <c r="B85" s="14" t="n">
        <v>81</v>
      </c>
      <c r="C85" s="12" t="n">
        <v>31800</v>
      </c>
      <c r="D85" s="13" t="n">
        <v>128200</v>
      </c>
      <c r="E85" s="33" t="n">
        <f aca="false">'Color clustering'!E85</f>
        <v>70</v>
      </c>
      <c r="F85" s="15" t="n">
        <f aca="false">'Color clustering'!F85</f>
        <v>159930</v>
      </c>
      <c r="G85" s="33" t="n">
        <f aca="false">'Color clustering'!G85</f>
        <v>32000</v>
      </c>
      <c r="H85" s="14" t="n">
        <f aca="false">'Color clustering'!H85</f>
        <v>128000</v>
      </c>
      <c r="I85" s="12" t="n">
        <f aca="false">'Color classification'!E85</f>
        <v>1763</v>
      </c>
      <c r="J85" s="15" t="n">
        <f aca="false">'Color classification'!F85</f>
        <v>158237</v>
      </c>
      <c r="K85" s="14" t="n">
        <f aca="false">'Color classification'!G85</f>
        <v>31799</v>
      </c>
      <c r="L85" s="13" t="n">
        <f aca="false">'Color classification'!H85</f>
        <v>128201</v>
      </c>
    </row>
    <row r="86" customFormat="false" ht="15" hidden="false" customHeight="false" outlineLevel="0" collapsed="false">
      <c r="A86" s="8"/>
      <c r="B86" s="14" t="n">
        <v>82</v>
      </c>
      <c r="C86" s="12" t="n">
        <v>31800</v>
      </c>
      <c r="D86" s="13" t="n">
        <v>128200</v>
      </c>
      <c r="E86" s="33" t="n">
        <f aca="false">'Color clustering'!E86</f>
        <v>7</v>
      </c>
      <c r="F86" s="15" t="n">
        <f aca="false">'Color clustering'!F86</f>
        <v>159993</v>
      </c>
      <c r="G86" s="33" t="n">
        <f aca="false">'Color clustering'!G86</f>
        <v>31802</v>
      </c>
      <c r="H86" s="14" t="n">
        <f aca="false">'Color clustering'!H86</f>
        <v>128198</v>
      </c>
      <c r="I86" s="12" t="n">
        <f aca="false">'Color classification'!E86</f>
        <v>1495</v>
      </c>
      <c r="J86" s="15" t="n">
        <f aca="false">'Color classification'!F86</f>
        <v>158505</v>
      </c>
      <c r="K86" s="14" t="n">
        <f aca="false">'Color classification'!G86</f>
        <v>31800</v>
      </c>
      <c r="L86" s="13" t="n">
        <f aca="false">'Color classification'!H86</f>
        <v>128200</v>
      </c>
    </row>
    <row r="87" customFormat="false" ht="15" hidden="false" customHeight="false" outlineLevel="0" collapsed="false">
      <c r="A87" s="8"/>
      <c r="B87" s="14" t="n">
        <v>83</v>
      </c>
      <c r="C87" s="12" t="n">
        <v>31800</v>
      </c>
      <c r="D87" s="13" t="n">
        <v>128200</v>
      </c>
      <c r="E87" s="33" t="n">
        <f aca="false">'Color clustering'!E87</f>
        <v>963</v>
      </c>
      <c r="F87" s="15" t="n">
        <f aca="false">'Color clustering'!F87</f>
        <v>159037</v>
      </c>
      <c r="G87" s="33" t="n">
        <f aca="false">'Color clustering'!G87</f>
        <v>31802</v>
      </c>
      <c r="H87" s="14" t="n">
        <f aca="false">'Color clustering'!H87</f>
        <v>128198</v>
      </c>
      <c r="I87" s="12" t="n">
        <f aca="false">'Color classification'!E87</f>
        <v>776</v>
      </c>
      <c r="J87" s="15" t="n">
        <f aca="false">'Color classification'!F87</f>
        <v>159224</v>
      </c>
      <c r="K87" s="14" t="n">
        <f aca="false">'Color classification'!G87</f>
        <v>31800</v>
      </c>
      <c r="L87" s="13" t="n">
        <f aca="false">'Color classification'!H87</f>
        <v>128200</v>
      </c>
    </row>
    <row r="88" customFormat="false" ht="15" hidden="false" customHeight="false" outlineLevel="0" collapsed="false">
      <c r="A88" s="8"/>
      <c r="B88" s="14" t="n">
        <v>84</v>
      </c>
      <c r="C88" s="12" t="n">
        <v>31800</v>
      </c>
      <c r="D88" s="13" t="n">
        <v>128200</v>
      </c>
      <c r="E88" s="33" t="n">
        <f aca="false">'Color clustering'!E88</f>
        <v>16</v>
      </c>
      <c r="F88" s="15" t="n">
        <f aca="false">'Color clustering'!F88</f>
        <v>159984</v>
      </c>
      <c r="G88" s="33" t="n">
        <f aca="false">'Color clustering'!G88</f>
        <v>31802</v>
      </c>
      <c r="H88" s="14" t="n">
        <f aca="false">'Color clustering'!H88</f>
        <v>128198</v>
      </c>
      <c r="I88" s="12" t="n">
        <f aca="false">'Color classification'!E88</f>
        <v>1924</v>
      </c>
      <c r="J88" s="15" t="n">
        <f aca="false">'Color classification'!F88</f>
        <v>158076</v>
      </c>
      <c r="K88" s="14" t="n">
        <f aca="false">'Color classification'!G88</f>
        <v>31800</v>
      </c>
      <c r="L88" s="13" t="n">
        <f aca="false">'Color classification'!H88</f>
        <v>128200</v>
      </c>
    </row>
    <row r="89" customFormat="false" ht="15" hidden="false" customHeight="false" outlineLevel="0" collapsed="false">
      <c r="A89" s="8"/>
      <c r="B89" s="14" t="n">
        <v>85</v>
      </c>
      <c r="C89" s="12" t="n">
        <v>31800</v>
      </c>
      <c r="D89" s="13" t="n">
        <v>128200</v>
      </c>
      <c r="E89" s="33" t="n">
        <f aca="false">'Color clustering'!E89</f>
        <v>38</v>
      </c>
      <c r="F89" s="15" t="n">
        <f aca="false">'Color clustering'!F89</f>
        <v>159962</v>
      </c>
      <c r="G89" s="33" t="n">
        <f aca="false">'Color clustering'!G89</f>
        <v>31801</v>
      </c>
      <c r="H89" s="14" t="n">
        <f aca="false">'Color clustering'!H89</f>
        <v>128199</v>
      </c>
      <c r="I89" s="12" t="n">
        <f aca="false">'Color classification'!E89</f>
        <v>762</v>
      </c>
      <c r="J89" s="15" t="n">
        <f aca="false">'Color classification'!F89</f>
        <v>159238</v>
      </c>
      <c r="K89" s="14" t="n">
        <f aca="false">'Color classification'!G89</f>
        <v>31799</v>
      </c>
      <c r="L89" s="13" t="n">
        <f aca="false">'Color classification'!H89</f>
        <v>128201</v>
      </c>
    </row>
    <row r="90" customFormat="false" ht="15" hidden="false" customHeight="false" outlineLevel="0" collapsed="false">
      <c r="A90" s="8"/>
      <c r="B90" s="14" t="n">
        <v>86</v>
      </c>
      <c r="C90" s="12" t="n">
        <v>31800</v>
      </c>
      <c r="D90" s="13" t="n">
        <v>128200</v>
      </c>
      <c r="E90" s="33" t="n">
        <f aca="false">'Color clustering'!E90</f>
        <v>16</v>
      </c>
      <c r="F90" s="15" t="n">
        <f aca="false">'Color clustering'!F90</f>
        <v>159984</v>
      </c>
      <c r="G90" s="33" t="n">
        <f aca="false">'Color clustering'!G90</f>
        <v>31801</v>
      </c>
      <c r="H90" s="14" t="n">
        <f aca="false">'Color clustering'!H90</f>
        <v>128199</v>
      </c>
      <c r="I90" s="12" t="n">
        <f aca="false">'Color classification'!E90</f>
        <v>2857</v>
      </c>
      <c r="J90" s="15" t="n">
        <f aca="false">'Color classification'!F90</f>
        <v>157143</v>
      </c>
      <c r="K90" s="14" t="n">
        <f aca="false">'Color classification'!G90</f>
        <v>31799</v>
      </c>
      <c r="L90" s="13" t="n">
        <f aca="false">'Color classification'!H90</f>
        <v>128201</v>
      </c>
    </row>
    <row r="91" customFormat="false" ht="15" hidden="false" customHeight="false" outlineLevel="0" collapsed="false">
      <c r="A91" s="8"/>
      <c r="B91" s="14" t="n">
        <v>87</v>
      </c>
      <c r="C91" s="12" t="n">
        <v>31800</v>
      </c>
      <c r="D91" s="13" t="n">
        <v>128200</v>
      </c>
      <c r="E91" s="33" t="n">
        <f aca="false">'Color clustering'!E91</f>
        <v>13</v>
      </c>
      <c r="F91" s="15" t="n">
        <f aca="false">'Color clustering'!F91</f>
        <v>159987</v>
      </c>
      <c r="G91" s="33" t="n">
        <f aca="false">'Color clustering'!G91</f>
        <v>31802</v>
      </c>
      <c r="H91" s="14" t="n">
        <f aca="false">'Color clustering'!H91</f>
        <v>128198</v>
      </c>
      <c r="I91" s="12" t="n">
        <f aca="false">'Color classification'!E91</f>
        <v>2127</v>
      </c>
      <c r="J91" s="15" t="n">
        <f aca="false">'Color classification'!F91</f>
        <v>157873</v>
      </c>
      <c r="K91" s="14" t="n">
        <f aca="false">'Color classification'!G91</f>
        <v>31800</v>
      </c>
      <c r="L91" s="13" t="n">
        <f aca="false">'Color classification'!H91</f>
        <v>128200</v>
      </c>
    </row>
    <row r="92" customFormat="false" ht="15" hidden="false" customHeight="false" outlineLevel="0" collapsed="false">
      <c r="A92" s="8"/>
      <c r="B92" s="14" t="n">
        <v>88</v>
      </c>
      <c r="C92" s="12" t="n">
        <v>31800</v>
      </c>
      <c r="D92" s="13" t="n">
        <v>128200</v>
      </c>
      <c r="E92" s="33" t="n">
        <f aca="false">'Color clustering'!E92</f>
        <v>17</v>
      </c>
      <c r="F92" s="15" t="n">
        <f aca="false">'Color clustering'!F92</f>
        <v>159983</v>
      </c>
      <c r="G92" s="33" t="n">
        <f aca="false">'Color clustering'!G92</f>
        <v>31802</v>
      </c>
      <c r="H92" s="14" t="n">
        <f aca="false">'Color clustering'!H92</f>
        <v>128198</v>
      </c>
      <c r="I92" s="12" t="n">
        <f aca="false">'Color classification'!E92</f>
        <v>1742</v>
      </c>
      <c r="J92" s="15" t="n">
        <f aca="false">'Color classification'!F92</f>
        <v>158258</v>
      </c>
      <c r="K92" s="14" t="n">
        <f aca="false">'Color classification'!G92</f>
        <v>31800</v>
      </c>
      <c r="L92" s="13" t="n">
        <f aca="false">'Color classification'!H92</f>
        <v>128200</v>
      </c>
    </row>
    <row r="93" customFormat="false" ht="15" hidden="false" customHeight="false" outlineLevel="0" collapsed="false">
      <c r="A93" s="8"/>
      <c r="B93" s="14" t="n">
        <v>89</v>
      </c>
      <c r="C93" s="12" t="n">
        <v>31800</v>
      </c>
      <c r="D93" s="13" t="n">
        <v>128200</v>
      </c>
      <c r="E93" s="33" t="n">
        <f aca="false">'Color clustering'!E93</f>
        <v>11</v>
      </c>
      <c r="F93" s="15" t="n">
        <f aca="false">'Color clustering'!F93</f>
        <v>159989</v>
      </c>
      <c r="G93" s="33" t="n">
        <f aca="false">'Color clustering'!G93</f>
        <v>31801</v>
      </c>
      <c r="H93" s="14" t="n">
        <f aca="false">'Color clustering'!H93</f>
        <v>128199</v>
      </c>
      <c r="I93" s="12" t="n">
        <f aca="false">'Color classification'!E93</f>
        <v>1062</v>
      </c>
      <c r="J93" s="15" t="n">
        <f aca="false">'Color classification'!F93</f>
        <v>158938</v>
      </c>
      <c r="K93" s="14" t="n">
        <f aca="false">'Color classification'!G93</f>
        <v>31799</v>
      </c>
      <c r="L93" s="13" t="n">
        <f aca="false">'Color classification'!H93</f>
        <v>128201</v>
      </c>
    </row>
    <row r="94" customFormat="false" ht="15" hidden="false" customHeight="false" outlineLevel="0" collapsed="false">
      <c r="A94" s="8"/>
      <c r="B94" s="14" t="n">
        <v>90</v>
      </c>
      <c r="C94" s="12" t="n">
        <v>31800</v>
      </c>
      <c r="D94" s="13" t="n">
        <v>128200</v>
      </c>
      <c r="E94" s="33" t="n">
        <f aca="false">'Color clustering'!E94</f>
        <v>544</v>
      </c>
      <c r="F94" s="15" t="n">
        <f aca="false">'Color clustering'!F94</f>
        <v>159456</v>
      </c>
      <c r="G94" s="33" t="n">
        <f aca="false">'Color clustering'!G94</f>
        <v>31802</v>
      </c>
      <c r="H94" s="14" t="n">
        <f aca="false">'Color clustering'!H94</f>
        <v>128198</v>
      </c>
      <c r="I94" s="12" t="n">
        <f aca="false">'Color classification'!E94</f>
        <v>3432</v>
      </c>
      <c r="J94" s="15" t="n">
        <f aca="false">'Color classification'!F94</f>
        <v>156568</v>
      </c>
      <c r="K94" s="14" t="n">
        <f aca="false">'Color classification'!G94</f>
        <v>31800</v>
      </c>
      <c r="L94" s="13" t="n">
        <f aca="false">'Color classification'!H94</f>
        <v>128200</v>
      </c>
    </row>
    <row r="95" customFormat="false" ht="15" hidden="false" customHeight="false" outlineLevel="0" collapsed="false">
      <c r="A95" s="8"/>
      <c r="B95" s="14" t="n">
        <v>91</v>
      </c>
      <c r="C95" s="12" t="n">
        <v>31800</v>
      </c>
      <c r="D95" s="13" t="n">
        <v>128200</v>
      </c>
      <c r="E95" s="33" t="n">
        <f aca="false">'Color clustering'!E95</f>
        <v>170</v>
      </c>
      <c r="F95" s="15" t="n">
        <f aca="false">'Color clustering'!F95</f>
        <v>159830</v>
      </c>
      <c r="G95" s="33" t="n">
        <f aca="false">'Color clustering'!G95</f>
        <v>31960</v>
      </c>
      <c r="H95" s="14" t="n">
        <f aca="false">'Color clustering'!H95</f>
        <v>128040</v>
      </c>
      <c r="I95" s="12" t="n">
        <f aca="false">'Color classification'!E95</f>
        <v>206</v>
      </c>
      <c r="J95" s="15" t="n">
        <f aca="false">'Color classification'!F95</f>
        <v>159794</v>
      </c>
      <c r="K95" s="14" t="n">
        <f aca="false">'Color classification'!G95</f>
        <v>31799</v>
      </c>
      <c r="L95" s="13" t="n">
        <f aca="false">'Color classification'!H95</f>
        <v>128201</v>
      </c>
    </row>
    <row r="96" customFormat="false" ht="15" hidden="false" customHeight="false" outlineLevel="0" collapsed="false">
      <c r="A96" s="8"/>
      <c r="B96" s="14" t="n">
        <v>92</v>
      </c>
      <c r="C96" s="12" t="n">
        <v>31800</v>
      </c>
      <c r="D96" s="13" t="n">
        <v>128200</v>
      </c>
      <c r="E96" s="33" t="n">
        <f aca="false">'Color clustering'!E96</f>
        <v>2679</v>
      </c>
      <c r="F96" s="15" t="n">
        <f aca="false">'Color clustering'!F96</f>
        <v>157321</v>
      </c>
      <c r="G96" s="33" t="n">
        <f aca="false">'Color clustering'!G96</f>
        <v>31801</v>
      </c>
      <c r="H96" s="14" t="n">
        <f aca="false">'Color clustering'!H96</f>
        <v>128199</v>
      </c>
      <c r="I96" s="12" t="n">
        <f aca="false">'Color classification'!E96</f>
        <v>278</v>
      </c>
      <c r="J96" s="15" t="n">
        <f aca="false">'Color classification'!F96</f>
        <v>159722</v>
      </c>
      <c r="K96" s="14" t="n">
        <f aca="false">'Color classification'!G96</f>
        <v>31800</v>
      </c>
      <c r="L96" s="13" t="n">
        <f aca="false">'Color classification'!H96</f>
        <v>128200</v>
      </c>
    </row>
    <row r="97" customFormat="false" ht="15" hidden="false" customHeight="false" outlineLevel="0" collapsed="false">
      <c r="A97" s="8"/>
      <c r="B97" s="14" t="n">
        <v>93</v>
      </c>
      <c r="C97" s="12" t="n">
        <v>31400</v>
      </c>
      <c r="D97" s="13" t="n">
        <v>128600</v>
      </c>
      <c r="E97" s="33" t="n">
        <f aca="false">'Color clustering'!E97</f>
        <v>36</v>
      </c>
      <c r="F97" s="15" t="n">
        <f aca="false">'Color clustering'!F97</f>
        <v>159964</v>
      </c>
      <c r="G97" s="33" t="n">
        <f aca="false">'Color clustering'!G97</f>
        <v>31399</v>
      </c>
      <c r="H97" s="14" t="n">
        <f aca="false">'Color clustering'!H97</f>
        <v>128601</v>
      </c>
      <c r="I97" s="12" t="n">
        <f aca="false">'Color classification'!E97</f>
        <v>394</v>
      </c>
      <c r="J97" s="15" t="n">
        <f aca="false">'Color classification'!F97</f>
        <v>159606</v>
      </c>
      <c r="K97" s="14" t="n">
        <f aca="false">'Color classification'!G97</f>
        <v>31399</v>
      </c>
      <c r="L97" s="13" t="n">
        <f aca="false">'Color classification'!H97</f>
        <v>128601</v>
      </c>
    </row>
    <row r="98" customFormat="false" ht="15" hidden="false" customHeight="false" outlineLevel="0" collapsed="false">
      <c r="A98" s="8"/>
      <c r="B98" s="14" t="n">
        <v>94</v>
      </c>
      <c r="C98" s="12" t="n">
        <v>31400</v>
      </c>
      <c r="D98" s="13" t="n">
        <v>128600</v>
      </c>
      <c r="E98" s="33" t="n">
        <f aca="false">'Color clustering'!E98</f>
        <v>49</v>
      </c>
      <c r="F98" s="15" t="n">
        <f aca="false">'Color clustering'!F98</f>
        <v>159951</v>
      </c>
      <c r="G98" s="33" t="n">
        <f aca="false">'Color clustering'!G98</f>
        <v>31401</v>
      </c>
      <c r="H98" s="14" t="n">
        <f aca="false">'Color clustering'!H98</f>
        <v>128599</v>
      </c>
      <c r="I98" s="12" t="n">
        <f aca="false">'Color classification'!E98</f>
        <v>38</v>
      </c>
      <c r="J98" s="15" t="n">
        <f aca="false">'Color classification'!F98</f>
        <v>159962</v>
      </c>
      <c r="K98" s="14" t="n">
        <f aca="false">'Color classification'!G98</f>
        <v>31400</v>
      </c>
      <c r="L98" s="13" t="n">
        <f aca="false">'Color classification'!H98</f>
        <v>128600</v>
      </c>
    </row>
    <row r="99" customFormat="false" ht="15" hidden="false" customHeight="false" outlineLevel="0" collapsed="false">
      <c r="A99" s="8"/>
      <c r="B99" s="14" t="n">
        <v>95</v>
      </c>
      <c r="C99" s="12" t="n">
        <v>31400</v>
      </c>
      <c r="D99" s="13" t="n">
        <v>128600</v>
      </c>
      <c r="E99" s="33" t="n">
        <f aca="false">'Color clustering'!E99</f>
        <v>18</v>
      </c>
      <c r="F99" s="15" t="n">
        <f aca="false">'Color clustering'!F99</f>
        <v>159982</v>
      </c>
      <c r="G99" s="33" t="n">
        <f aca="false">'Color clustering'!G99</f>
        <v>31401</v>
      </c>
      <c r="H99" s="14" t="n">
        <f aca="false">'Color clustering'!H99</f>
        <v>128599</v>
      </c>
      <c r="I99" s="12" t="n">
        <f aca="false">'Color classification'!E99</f>
        <v>58</v>
      </c>
      <c r="J99" s="15" t="n">
        <f aca="false">'Color classification'!F99</f>
        <v>159942</v>
      </c>
      <c r="K99" s="14" t="n">
        <f aca="false">'Color classification'!G99</f>
        <v>31400</v>
      </c>
      <c r="L99" s="13" t="n">
        <f aca="false">'Color classification'!H99</f>
        <v>128600</v>
      </c>
    </row>
    <row r="100" customFormat="false" ht="15" hidden="false" customHeight="false" outlineLevel="0" collapsed="false">
      <c r="A100" s="8"/>
      <c r="B100" s="14" t="n">
        <v>96</v>
      </c>
      <c r="C100" s="12" t="n">
        <v>31400</v>
      </c>
      <c r="D100" s="13" t="n">
        <v>128600</v>
      </c>
      <c r="E100" s="33" t="n">
        <f aca="false">'Color clustering'!E100</f>
        <v>738</v>
      </c>
      <c r="F100" s="15" t="n">
        <f aca="false">'Color clustering'!F100</f>
        <v>159262</v>
      </c>
      <c r="G100" s="33" t="n">
        <f aca="false">'Color clustering'!G100</f>
        <v>31399</v>
      </c>
      <c r="H100" s="14" t="n">
        <f aca="false">'Color clustering'!H100</f>
        <v>128601</v>
      </c>
      <c r="I100" s="12" t="n">
        <f aca="false">'Color classification'!E100</f>
        <v>390</v>
      </c>
      <c r="J100" s="15" t="n">
        <f aca="false">'Color classification'!F100</f>
        <v>159610</v>
      </c>
      <c r="K100" s="14" t="n">
        <f aca="false">'Color classification'!G100</f>
        <v>31399</v>
      </c>
      <c r="L100" s="13" t="n">
        <f aca="false">'Color classification'!H100</f>
        <v>128601</v>
      </c>
    </row>
    <row r="101" customFormat="false" ht="15" hidden="false" customHeight="false" outlineLevel="0" collapsed="false">
      <c r="A101" s="8"/>
      <c r="B101" s="14" t="n">
        <v>97</v>
      </c>
      <c r="C101" s="12" t="n">
        <v>31400</v>
      </c>
      <c r="D101" s="13" t="n">
        <v>128600</v>
      </c>
      <c r="E101" s="33" t="n">
        <f aca="false">'Color clustering'!E101</f>
        <v>36</v>
      </c>
      <c r="F101" s="15" t="n">
        <f aca="false">'Color clustering'!F101</f>
        <v>159964</v>
      </c>
      <c r="G101" s="33" t="n">
        <f aca="false">'Color clustering'!G101</f>
        <v>31400</v>
      </c>
      <c r="H101" s="14" t="n">
        <f aca="false">'Color clustering'!H101</f>
        <v>128600</v>
      </c>
      <c r="I101" s="12" t="n">
        <f aca="false">'Color classification'!E101</f>
        <v>0</v>
      </c>
      <c r="J101" s="15" t="n">
        <f aca="false">'Color classification'!F101</f>
        <v>160000</v>
      </c>
      <c r="K101" s="14" t="n">
        <f aca="false">'Color classification'!G101</f>
        <v>31399</v>
      </c>
      <c r="L101" s="13" t="n">
        <f aca="false">'Color classification'!H101</f>
        <v>128601</v>
      </c>
    </row>
    <row r="102" customFormat="false" ht="15" hidden="false" customHeight="false" outlineLevel="0" collapsed="false">
      <c r="A102" s="8"/>
      <c r="B102" s="14" t="n">
        <v>98</v>
      </c>
      <c r="C102" s="12" t="n">
        <v>31000</v>
      </c>
      <c r="D102" s="13" t="n">
        <v>129000</v>
      </c>
      <c r="E102" s="33" t="n">
        <f aca="false">'Color clustering'!E102</f>
        <v>13</v>
      </c>
      <c r="F102" s="15" t="n">
        <f aca="false">'Color clustering'!F102</f>
        <v>159987</v>
      </c>
      <c r="G102" s="33" t="n">
        <f aca="false">'Color clustering'!G102</f>
        <v>31001</v>
      </c>
      <c r="H102" s="14" t="n">
        <f aca="false">'Color clustering'!H102</f>
        <v>128999</v>
      </c>
      <c r="I102" s="12" t="n">
        <f aca="false">'Color classification'!E102</f>
        <v>3891</v>
      </c>
      <c r="J102" s="15" t="n">
        <f aca="false">'Color classification'!F102</f>
        <v>156109</v>
      </c>
      <c r="K102" s="14" t="n">
        <f aca="false">'Color classification'!G102</f>
        <v>31000</v>
      </c>
      <c r="L102" s="13" t="n">
        <f aca="false">'Color classification'!H102</f>
        <v>129000</v>
      </c>
    </row>
    <row r="103" customFormat="false" ht="15" hidden="false" customHeight="false" outlineLevel="0" collapsed="false">
      <c r="A103" s="8"/>
      <c r="B103" s="14" t="n">
        <v>99</v>
      </c>
      <c r="C103" s="12" t="n">
        <v>31000</v>
      </c>
      <c r="D103" s="13" t="n">
        <v>129000</v>
      </c>
      <c r="E103" s="33" t="n">
        <f aca="false">'Color clustering'!E103</f>
        <v>42</v>
      </c>
      <c r="F103" s="15" t="n">
        <f aca="false">'Color clustering'!F103</f>
        <v>159958</v>
      </c>
      <c r="G103" s="33" t="n">
        <f aca="false">'Color clustering'!G103</f>
        <v>31200</v>
      </c>
      <c r="H103" s="14" t="n">
        <f aca="false">'Color clustering'!H103</f>
        <v>128800</v>
      </c>
      <c r="I103" s="12" t="n">
        <f aca="false">'Color classification'!E103</f>
        <v>4486</v>
      </c>
      <c r="J103" s="15" t="n">
        <f aca="false">'Color classification'!F103</f>
        <v>155514</v>
      </c>
      <c r="K103" s="14" t="n">
        <f aca="false">'Color classification'!G103</f>
        <v>30999</v>
      </c>
      <c r="L103" s="13" t="n">
        <f aca="false">'Color classification'!H103</f>
        <v>129001</v>
      </c>
    </row>
    <row r="104" customFormat="false" ht="15" hidden="false" customHeight="false" outlineLevel="0" collapsed="false">
      <c r="A104" s="8"/>
      <c r="B104" s="14" t="n">
        <v>100</v>
      </c>
      <c r="C104" s="12" t="n">
        <v>31000</v>
      </c>
      <c r="D104" s="13" t="n">
        <v>129000</v>
      </c>
      <c r="E104" s="33" t="n">
        <f aca="false">'Color clustering'!E104</f>
        <v>305</v>
      </c>
      <c r="F104" s="15" t="n">
        <f aca="false">'Color clustering'!F104</f>
        <v>159695</v>
      </c>
      <c r="G104" s="33" t="n">
        <f aca="false">'Color clustering'!G104</f>
        <v>31002</v>
      </c>
      <c r="H104" s="14" t="n">
        <f aca="false">'Color clustering'!H104</f>
        <v>128998</v>
      </c>
      <c r="I104" s="12" t="n">
        <f aca="false">'Color classification'!E104</f>
        <v>6080</v>
      </c>
      <c r="J104" s="15" t="n">
        <f aca="false">'Color classification'!F104</f>
        <v>153920</v>
      </c>
      <c r="K104" s="14" t="n">
        <f aca="false">'Color classification'!G104</f>
        <v>31000</v>
      </c>
      <c r="L104" s="13" t="n">
        <f aca="false">'Color classification'!H104</f>
        <v>129000</v>
      </c>
    </row>
    <row r="105" customFormat="false" ht="15" hidden="false" customHeight="false" outlineLevel="0" collapsed="false">
      <c r="A105" s="8"/>
      <c r="B105" s="14" t="n">
        <v>101</v>
      </c>
      <c r="C105" s="12" t="n">
        <v>31000</v>
      </c>
      <c r="D105" s="13" t="n">
        <v>129000</v>
      </c>
      <c r="E105" s="33" t="n">
        <f aca="false">'Color clustering'!E105</f>
        <v>99</v>
      </c>
      <c r="F105" s="15" t="n">
        <f aca="false">'Color clustering'!F105</f>
        <v>159901</v>
      </c>
      <c r="G105" s="33" t="n">
        <f aca="false">'Color clustering'!G105</f>
        <v>31001</v>
      </c>
      <c r="H105" s="14" t="n">
        <f aca="false">'Color clustering'!H105</f>
        <v>128999</v>
      </c>
      <c r="I105" s="12" t="n">
        <f aca="false">'Color classification'!E105</f>
        <v>6456</v>
      </c>
      <c r="J105" s="15" t="n">
        <f aca="false">'Color classification'!F105</f>
        <v>153544</v>
      </c>
      <c r="K105" s="14" t="n">
        <f aca="false">'Color classification'!G105</f>
        <v>30999</v>
      </c>
      <c r="L105" s="13" t="n">
        <f aca="false">'Color classification'!H105</f>
        <v>129001</v>
      </c>
    </row>
    <row r="106" customFormat="false" ht="15" hidden="false" customHeight="false" outlineLevel="0" collapsed="false">
      <c r="A106" s="8"/>
      <c r="B106" s="14" t="n">
        <v>102</v>
      </c>
      <c r="C106" s="12" t="n">
        <v>30600</v>
      </c>
      <c r="D106" s="13" t="n">
        <v>129400</v>
      </c>
      <c r="E106" s="33" t="n">
        <f aca="false">'Color clustering'!E106</f>
        <v>13</v>
      </c>
      <c r="F106" s="15" t="n">
        <f aca="false">'Color clustering'!F106</f>
        <v>159987</v>
      </c>
      <c r="G106" s="33" t="n">
        <f aca="false">'Color clustering'!G106</f>
        <v>30601</v>
      </c>
      <c r="H106" s="14" t="n">
        <f aca="false">'Color clustering'!H106</f>
        <v>129399</v>
      </c>
      <c r="I106" s="12" t="n">
        <f aca="false">'Color classification'!E106</f>
        <v>6360</v>
      </c>
      <c r="J106" s="15" t="n">
        <f aca="false">'Color classification'!F106</f>
        <v>153640</v>
      </c>
      <c r="K106" s="14" t="n">
        <f aca="false">'Color classification'!G106</f>
        <v>30600</v>
      </c>
      <c r="L106" s="13" t="n">
        <f aca="false">'Color classification'!H106</f>
        <v>129400</v>
      </c>
    </row>
    <row r="107" customFormat="false" ht="15" hidden="false" customHeight="false" outlineLevel="0" collapsed="false">
      <c r="A107" s="8"/>
      <c r="B107" s="14" t="n">
        <v>103</v>
      </c>
      <c r="C107" s="12" t="n">
        <v>30600</v>
      </c>
      <c r="D107" s="13" t="n">
        <v>129400</v>
      </c>
      <c r="E107" s="33" t="n">
        <f aca="false">'Color clustering'!E107</f>
        <v>133</v>
      </c>
      <c r="F107" s="15" t="n">
        <f aca="false">'Color clustering'!F107</f>
        <v>159867</v>
      </c>
      <c r="G107" s="33" t="n">
        <f aca="false">'Color clustering'!G107</f>
        <v>30602</v>
      </c>
      <c r="H107" s="14" t="n">
        <f aca="false">'Color clustering'!H107</f>
        <v>129398</v>
      </c>
      <c r="I107" s="12" t="n">
        <f aca="false">'Color classification'!E107</f>
        <v>3458</v>
      </c>
      <c r="J107" s="15" t="n">
        <f aca="false">'Color classification'!F107</f>
        <v>156542</v>
      </c>
      <c r="K107" s="14" t="n">
        <f aca="false">'Color classification'!G107</f>
        <v>30599</v>
      </c>
      <c r="L107" s="13" t="n">
        <f aca="false">'Color classification'!H107</f>
        <v>129401</v>
      </c>
    </row>
    <row r="108" customFormat="false" ht="15" hidden="false" customHeight="false" outlineLevel="0" collapsed="false">
      <c r="A108" s="8"/>
      <c r="B108" s="14" t="n">
        <v>104</v>
      </c>
      <c r="C108" s="12" t="n">
        <v>30600</v>
      </c>
      <c r="D108" s="13" t="n">
        <v>129400</v>
      </c>
      <c r="E108" s="33" t="n">
        <f aca="false">'Color clustering'!E108</f>
        <v>18</v>
      </c>
      <c r="F108" s="15" t="n">
        <f aca="false">'Color clustering'!F108</f>
        <v>159982</v>
      </c>
      <c r="G108" s="33" t="n">
        <f aca="false">'Color clustering'!G108</f>
        <v>30602</v>
      </c>
      <c r="H108" s="14" t="n">
        <f aca="false">'Color clustering'!H108</f>
        <v>129398</v>
      </c>
      <c r="I108" s="12" t="n">
        <f aca="false">'Color classification'!E108</f>
        <v>6245</v>
      </c>
      <c r="J108" s="15" t="n">
        <f aca="false">'Color classification'!F108</f>
        <v>153755</v>
      </c>
      <c r="K108" s="14" t="n">
        <f aca="false">'Color classification'!G108</f>
        <v>30600</v>
      </c>
      <c r="L108" s="13" t="n">
        <f aca="false">'Color classification'!H108</f>
        <v>129400</v>
      </c>
    </row>
    <row r="109" customFormat="false" ht="15" hidden="false" customHeight="false" outlineLevel="0" collapsed="false">
      <c r="A109" s="8"/>
      <c r="B109" s="14" t="n">
        <v>105</v>
      </c>
      <c r="C109" s="12" t="n">
        <v>30200</v>
      </c>
      <c r="D109" s="13" t="n">
        <v>129800</v>
      </c>
      <c r="E109" s="33" t="n">
        <f aca="false">'Color clustering'!E109</f>
        <v>6</v>
      </c>
      <c r="F109" s="15" t="n">
        <f aca="false">'Color clustering'!F109</f>
        <v>159994</v>
      </c>
      <c r="G109" s="33" t="n">
        <f aca="false">'Color clustering'!G109</f>
        <v>30202</v>
      </c>
      <c r="H109" s="14" t="n">
        <f aca="false">'Color clustering'!H109</f>
        <v>129798</v>
      </c>
      <c r="I109" s="12" t="n">
        <f aca="false">'Color classification'!E109</f>
        <v>3849</v>
      </c>
      <c r="J109" s="15" t="n">
        <f aca="false">'Color classification'!F109</f>
        <v>156151</v>
      </c>
      <c r="K109" s="14" t="n">
        <f aca="false">'Color classification'!G109</f>
        <v>30200</v>
      </c>
      <c r="L109" s="13" t="n">
        <f aca="false">'Color classification'!H109</f>
        <v>129800</v>
      </c>
    </row>
    <row r="110" customFormat="false" ht="15" hidden="false" customHeight="false" outlineLevel="0" collapsed="false">
      <c r="A110" s="8"/>
      <c r="B110" s="14" t="n">
        <v>106</v>
      </c>
      <c r="C110" s="12" t="n">
        <v>30200</v>
      </c>
      <c r="D110" s="13" t="n">
        <v>129800</v>
      </c>
      <c r="E110" s="33" t="n">
        <f aca="false">'Color clustering'!E110</f>
        <v>4</v>
      </c>
      <c r="F110" s="15" t="n">
        <f aca="false">'Color clustering'!F110</f>
        <v>159996</v>
      </c>
      <c r="G110" s="33" t="n">
        <f aca="false">'Color clustering'!G110</f>
        <v>30202</v>
      </c>
      <c r="H110" s="14" t="n">
        <f aca="false">'Color clustering'!H110</f>
        <v>129798</v>
      </c>
      <c r="I110" s="12" t="n">
        <f aca="false">'Color classification'!E110</f>
        <v>5233</v>
      </c>
      <c r="J110" s="15" t="n">
        <f aca="false">'Color classification'!F110</f>
        <v>154767</v>
      </c>
      <c r="K110" s="14" t="n">
        <f aca="false">'Color classification'!G110</f>
        <v>30199</v>
      </c>
      <c r="L110" s="13" t="n">
        <f aca="false">'Color classification'!H110</f>
        <v>129801</v>
      </c>
    </row>
    <row r="111" customFormat="false" ht="15" hidden="false" customHeight="false" outlineLevel="0" collapsed="false">
      <c r="A111" s="8"/>
      <c r="B111" s="14" t="n">
        <v>107</v>
      </c>
      <c r="C111" s="12" t="n">
        <v>30200</v>
      </c>
      <c r="D111" s="13" t="n">
        <v>129800</v>
      </c>
      <c r="E111" s="33" t="n">
        <f aca="false">'Color clustering'!E111</f>
        <v>1603</v>
      </c>
      <c r="F111" s="15" t="n">
        <f aca="false">'Color clustering'!F111</f>
        <v>158397</v>
      </c>
      <c r="G111" s="33" t="n">
        <f aca="false">'Color clustering'!G111</f>
        <v>30206</v>
      </c>
      <c r="H111" s="14" t="n">
        <f aca="false">'Color clustering'!H111</f>
        <v>129794</v>
      </c>
      <c r="I111" s="12" t="n">
        <f aca="false">'Color classification'!E111</f>
        <v>67</v>
      </c>
      <c r="J111" s="15" t="n">
        <f aca="false">'Color classification'!F111</f>
        <v>159933</v>
      </c>
      <c r="K111" s="14" t="n">
        <f aca="false">'Color classification'!G111</f>
        <v>30202</v>
      </c>
      <c r="L111" s="13" t="n">
        <f aca="false">'Color classification'!H111</f>
        <v>129798</v>
      </c>
    </row>
    <row r="112" customFormat="false" ht="15" hidden="false" customHeight="false" outlineLevel="0" collapsed="false">
      <c r="A112" s="8"/>
      <c r="B112" s="14" t="n">
        <v>108</v>
      </c>
      <c r="C112" s="12" t="n">
        <v>29800</v>
      </c>
      <c r="D112" s="13" t="n">
        <v>130200</v>
      </c>
      <c r="E112" s="33" t="n">
        <f aca="false">'Color clustering'!E112</f>
        <v>671</v>
      </c>
      <c r="F112" s="15" t="n">
        <f aca="false">'Color clustering'!F112</f>
        <v>159329</v>
      </c>
      <c r="G112" s="33" t="n">
        <f aca="false">'Color clustering'!G112</f>
        <v>29802</v>
      </c>
      <c r="H112" s="14" t="n">
        <f aca="false">'Color clustering'!H112</f>
        <v>130198</v>
      </c>
      <c r="I112" s="12" t="n">
        <f aca="false">'Color classification'!E112</f>
        <v>2864</v>
      </c>
      <c r="J112" s="15" t="n">
        <f aca="false">'Color classification'!F112</f>
        <v>157136</v>
      </c>
      <c r="K112" s="14" t="n">
        <f aca="false">'Color classification'!G112</f>
        <v>29800</v>
      </c>
      <c r="L112" s="13" t="n">
        <f aca="false">'Color classification'!H112</f>
        <v>130200</v>
      </c>
    </row>
    <row r="113" customFormat="false" ht="15" hidden="false" customHeight="false" outlineLevel="0" collapsed="false">
      <c r="A113" s="8"/>
      <c r="B113" s="14" t="n">
        <v>109</v>
      </c>
      <c r="C113" s="12" t="n">
        <v>29800</v>
      </c>
      <c r="D113" s="13" t="n">
        <v>130200</v>
      </c>
      <c r="E113" s="33" t="n">
        <f aca="false">'Color clustering'!E113</f>
        <v>9</v>
      </c>
      <c r="F113" s="15" t="n">
        <f aca="false">'Color clustering'!F113</f>
        <v>159991</v>
      </c>
      <c r="G113" s="33" t="n">
        <f aca="false">'Color clustering'!G113</f>
        <v>29800</v>
      </c>
      <c r="H113" s="14" t="n">
        <f aca="false">'Color clustering'!H113</f>
        <v>130200</v>
      </c>
      <c r="I113" s="12" t="n">
        <f aca="false">'Color classification'!E113</f>
        <v>6361</v>
      </c>
      <c r="J113" s="15" t="n">
        <f aca="false">'Color classification'!F113</f>
        <v>153639</v>
      </c>
      <c r="K113" s="14" t="n">
        <f aca="false">'Color classification'!G113</f>
        <v>29800</v>
      </c>
      <c r="L113" s="13" t="n">
        <f aca="false">'Color classification'!H113</f>
        <v>130200</v>
      </c>
    </row>
    <row r="114" customFormat="false" ht="15" hidden="false" customHeight="false" outlineLevel="0" collapsed="false">
      <c r="A114" s="8"/>
      <c r="B114" s="14" t="n">
        <v>110</v>
      </c>
      <c r="C114" s="12" t="n">
        <v>29800</v>
      </c>
      <c r="D114" s="13" t="n">
        <v>130200</v>
      </c>
      <c r="E114" s="33" t="n">
        <f aca="false">'Color clustering'!E114</f>
        <v>13</v>
      </c>
      <c r="F114" s="15" t="n">
        <f aca="false">'Color clustering'!F114</f>
        <v>159987</v>
      </c>
      <c r="G114" s="33" t="n">
        <f aca="false">'Color clustering'!G114</f>
        <v>29800</v>
      </c>
      <c r="H114" s="14" t="n">
        <f aca="false">'Color clustering'!H114</f>
        <v>130200</v>
      </c>
      <c r="I114" s="12" t="n">
        <f aca="false">'Color classification'!E114</f>
        <v>7371</v>
      </c>
      <c r="J114" s="15" t="n">
        <f aca="false">'Color classification'!F114</f>
        <v>152629</v>
      </c>
      <c r="K114" s="14" t="n">
        <f aca="false">'Color classification'!G114</f>
        <v>29799</v>
      </c>
      <c r="L114" s="13" t="n">
        <f aca="false">'Color classification'!H114</f>
        <v>130201</v>
      </c>
    </row>
    <row r="115" customFormat="false" ht="15" hidden="false" customHeight="false" outlineLevel="0" collapsed="false">
      <c r="A115" s="8"/>
      <c r="B115" s="14" t="n">
        <v>111</v>
      </c>
      <c r="C115" s="12" t="n">
        <v>29400</v>
      </c>
      <c r="D115" s="13" t="n">
        <v>130600</v>
      </c>
      <c r="E115" s="33" t="n">
        <f aca="false">'Color clustering'!E115</f>
        <v>8</v>
      </c>
      <c r="F115" s="15" t="n">
        <f aca="false">'Color clustering'!F115</f>
        <v>159992</v>
      </c>
      <c r="G115" s="33" t="n">
        <f aca="false">'Color clustering'!G115</f>
        <v>29418</v>
      </c>
      <c r="H115" s="14" t="n">
        <f aca="false">'Color clustering'!H115</f>
        <v>130582</v>
      </c>
      <c r="I115" s="12" t="n">
        <f aca="false">'Color classification'!E115</f>
        <v>15</v>
      </c>
      <c r="J115" s="15" t="n">
        <f aca="false">'Color classification'!F115</f>
        <v>159985</v>
      </c>
      <c r="K115" s="14" t="n">
        <f aca="false">'Color classification'!G115</f>
        <v>29402</v>
      </c>
      <c r="L115" s="13" t="n">
        <f aca="false">'Color classification'!H115</f>
        <v>130598</v>
      </c>
    </row>
    <row r="116" customFormat="false" ht="15" hidden="false" customHeight="false" outlineLevel="0" collapsed="false">
      <c r="A116" s="8"/>
      <c r="B116" s="14" t="n">
        <v>112</v>
      </c>
      <c r="C116" s="12" t="n">
        <v>29400</v>
      </c>
      <c r="D116" s="13" t="n">
        <v>130600</v>
      </c>
      <c r="E116" s="33" t="n">
        <f aca="false">'Color clustering'!E116</f>
        <v>1278</v>
      </c>
      <c r="F116" s="15" t="n">
        <f aca="false">'Color clustering'!F116</f>
        <v>158722</v>
      </c>
      <c r="G116" s="33" t="n">
        <f aca="false">'Color clustering'!G116</f>
        <v>29399</v>
      </c>
      <c r="H116" s="14" t="n">
        <f aca="false">'Color clustering'!H116</f>
        <v>130601</v>
      </c>
      <c r="I116" s="12" t="n">
        <f aca="false">'Color classification'!E116</f>
        <v>4900</v>
      </c>
      <c r="J116" s="15" t="n">
        <f aca="false">'Color classification'!F116</f>
        <v>155100</v>
      </c>
      <c r="K116" s="14" t="n">
        <f aca="false">'Color classification'!G116</f>
        <v>29399</v>
      </c>
      <c r="L116" s="13" t="n">
        <f aca="false">'Color classification'!H116</f>
        <v>130601</v>
      </c>
    </row>
    <row r="117" customFormat="false" ht="15" hidden="false" customHeight="false" outlineLevel="0" collapsed="false">
      <c r="A117" s="8"/>
      <c r="B117" s="14" t="n">
        <v>113</v>
      </c>
      <c r="C117" s="12" t="n">
        <v>29000</v>
      </c>
      <c r="D117" s="13" t="n">
        <v>131000</v>
      </c>
      <c r="E117" s="33" t="n">
        <f aca="false">'Color clustering'!E117</f>
        <v>28</v>
      </c>
      <c r="F117" s="15" t="n">
        <f aca="false">'Color clustering'!F117</f>
        <v>159972</v>
      </c>
      <c r="G117" s="33" t="n">
        <f aca="false">'Color clustering'!G117</f>
        <v>28999</v>
      </c>
      <c r="H117" s="14" t="n">
        <f aca="false">'Color clustering'!H117</f>
        <v>131001</v>
      </c>
      <c r="I117" s="12" t="n">
        <f aca="false">'Color classification'!E117</f>
        <v>3428</v>
      </c>
      <c r="J117" s="15" t="n">
        <f aca="false">'Color classification'!F117</f>
        <v>156572</v>
      </c>
      <c r="K117" s="14" t="n">
        <f aca="false">'Color classification'!G117</f>
        <v>28999</v>
      </c>
      <c r="L117" s="13" t="n">
        <f aca="false">'Color classification'!H117</f>
        <v>131001</v>
      </c>
    </row>
    <row r="118" customFormat="false" ht="15" hidden="false" customHeight="false" outlineLevel="0" collapsed="false">
      <c r="A118" s="8"/>
      <c r="B118" s="14" t="n">
        <v>114</v>
      </c>
      <c r="C118" s="12" t="n">
        <v>29000</v>
      </c>
      <c r="D118" s="13" t="n">
        <v>131000</v>
      </c>
      <c r="E118" s="33" t="n">
        <f aca="false">'Color clustering'!E118</f>
        <v>13</v>
      </c>
      <c r="F118" s="15" t="n">
        <f aca="false">'Color clustering'!F118</f>
        <v>159987</v>
      </c>
      <c r="G118" s="33" t="n">
        <f aca="false">'Color clustering'!G118</f>
        <v>28999</v>
      </c>
      <c r="H118" s="14" t="n">
        <f aca="false">'Color clustering'!H118</f>
        <v>131001</v>
      </c>
      <c r="I118" s="12" t="n">
        <f aca="false">'Color classification'!E118</f>
        <v>2940</v>
      </c>
      <c r="J118" s="15" t="n">
        <f aca="false">'Color classification'!F118</f>
        <v>157060</v>
      </c>
      <c r="K118" s="14" t="n">
        <f aca="false">'Color classification'!G118</f>
        <v>28999</v>
      </c>
      <c r="L118" s="13" t="n">
        <f aca="false">'Color classification'!H118</f>
        <v>131001</v>
      </c>
    </row>
    <row r="119" customFormat="false" ht="15" hidden="false" customHeight="false" outlineLevel="0" collapsed="false">
      <c r="A119" s="8"/>
      <c r="B119" s="14" t="n">
        <v>115</v>
      </c>
      <c r="C119" s="12" t="n">
        <v>28600</v>
      </c>
      <c r="D119" s="13" t="n">
        <v>131400</v>
      </c>
      <c r="E119" s="33" t="n">
        <f aca="false">'Color clustering'!E119</f>
        <v>744</v>
      </c>
      <c r="F119" s="15" t="n">
        <f aca="false">'Color clustering'!F119</f>
        <v>159256</v>
      </c>
      <c r="G119" s="33" t="n">
        <f aca="false">'Color clustering'!G119</f>
        <v>28600</v>
      </c>
      <c r="H119" s="14" t="n">
        <f aca="false">'Color clustering'!H119</f>
        <v>131400</v>
      </c>
      <c r="I119" s="12" t="n">
        <f aca="false">'Color classification'!E119</f>
        <v>6088</v>
      </c>
      <c r="J119" s="15" t="n">
        <f aca="false">'Color classification'!F119</f>
        <v>153912</v>
      </c>
      <c r="K119" s="14" t="n">
        <f aca="false">'Color classification'!G119</f>
        <v>28600</v>
      </c>
      <c r="L119" s="13" t="n">
        <f aca="false">'Color classification'!H119</f>
        <v>131400</v>
      </c>
    </row>
    <row r="120" customFormat="false" ht="15" hidden="false" customHeight="false" outlineLevel="0" collapsed="false">
      <c r="A120" s="8"/>
      <c r="B120" s="14" t="n">
        <v>116</v>
      </c>
      <c r="C120" s="12" t="n">
        <v>28600</v>
      </c>
      <c r="D120" s="13" t="n">
        <v>131400</v>
      </c>
      <c r="E120" s="33" t="n">
        <f aca="false">'Color clustering'!E120</f>
        <v>29</v>
      </c>
      <c r="F120" s="15" t="n">
        <f aca="false">'Color clustering'!F120</f>
        <v>159971</v>
      </c>
      <c r="G120" s="33" t="n">
        <f aca="false">'Color clustering'!G120</f>
        <v>28600</v>
      </c>
      <c r="H120" s="14" t="n">
        <f aca="false">'Color clustering'!H120</f>
        <v>131400</v>
      </c>
      <c r="I120" s="12" t="n">
        <f aca="false">'Color classification'!E120</f>
        <v>2925</v>
      </c>
      <c r="J120" s="15" t="n">
        <f aca="false">'Color classification'!F120</f>
        <v>157075</v>
      </c>
      <c r="K120" s="14" t="n">
        <f aca="false">'Color classification'!G120</f>
        <v>28600</v>
      </c>
      <c r="L120" s="13" t="n">
        <f aca="false">'Color classification'!H120</f>
        <v>131400</v>
      </c>
    </row>
    <row r="121" customFormat="false" ht="15" hidden="false" customHeight="false" outlineLevel="0" collapsed="false">
      <c r="A121" s="8"/>
      <c r="B121" s="14" t="n">
        <v>117</v>
      </c>
      <c r="C121" s="12" t="n">
        <v>28200</v>
      </c>
      <c r="D121" s="13" t="n">
        <v>131800</v>
      </c>
      <c r="E121" s="33" t="n">
        <f aca="false">'Color clustering'!E121</f>
        <v>16</v>
      </c>
      <c r="F121" s="15" t="n">
        <f aca="false">'Color clustering'!F121</f>
        <v>159984</v>
      </c>
      <c r="G121" s="33" t="n">
        <f aca="false">'Color clustering'!G121</f>
        <v>28200</v>
      </c>
      <c r="H121" s="14" t="n">
        <f aca="false">'Color clustering'!H121</f>
        <v>131800</v>
      </c>
      <c r="I121" s="12" t="n">
        <f aca="false">'Color classification'!E121</f>
        <v>4559</v>
      </c>
      <c r="J121" s="15" t="n">
        <f aca="false">'Color classification'!F121</f>
        <v>155441</v>
      </c>
      <c r="K121" s="14" t="n">
        <f aca="false">'Color classification'!G121</f>
        <v>28200</v>
      </c>
      <c r="L121" s="13" t="n">
        <f aca="false">'Color classification'!H121</f>
        <v>131800</v>
      </c>
    </row>
    <row r="122" customFormat="false" ht="15" hidden="false" customHeight="false" outlineLevel="0" collapsed="false">
      <c r="A122" s="8"/>
      <c r="B122" s="14" t="n">
        <v>118</v>
      </c>
      <c r="C122" s="12" t="n">
        <v>28200</v>
      </c>
      <c r="D122" s="13" t="n">
        <v>131800</v>
      </c>
      <c r="E122" s="33" t="n">
        <f aca="false">'Color clustering'!E122</f>
        <v>18</v>
      </c>
      <c r="F122" s="15" t="n">
        <f aca="false">'Color clustering'!F122</f>
        <v>159982</v>
      </c>
      <c r="G122" s="33" t="n">
        <f aca="false">'Color clustering'!G122</f>
        <v>28199</v>
      </c>
      <c r="H122" s="14" t="n">
        <f aca="false">'Color clustering'!H122</f>
        <v>131801</v>
      </c>
      <c r="I122" s="12" t="n">
        <f aca="false">'Color classification'!E122</f>
        <v>6445</v>
      </c>
      <c r="J122" s="15" t="n">
        <f aca="false">'Color classification'!F122</f>
        <v>153555</v>
      </c>
      <c r="K122" s="14" t="n">
        <f aca="false">'Color classification'!G122</f>
        <v>28199</v>
      </c>
      <c r="L122" s="13" t="n">
        <f aca="false">'Color classification'!H122</f>
        <v>131801</v>
      </c>
    </row>
    <row r="123" customFormat="false" ht="15" hidden="false" customHeight="false" outlineLevel="0" collapsed="false">
      <c r="A123" s="8"/>
      <c r="B123" s="14" t="n">
        <v>119</v>
      </c>
      <c r="C123" s="12" t="n">
        <v>27800</v>
      </c>
      <c r="D123" s="13" t="n">
        <v>132200</v>
      </c>
      <c r="E123" s="33" t="n">
        <f aca="false">'Color clustering'!E123</f>
        <v>22</v>
      </c>
      <c r="F123" s="15" t="n">
        <f aca="false">'Color clustering'!F123</f>
        <v>159978</v>
      </c>
      <c r="G123" s="33" t="n">
        <f aca="false">'Color clustering'!G123</f>
        <v>27800</v>
      </c>
      <c r="H123" s="14" t="n">
        <f aca="false">'Color clustering'!H123</f>
        <v>132200</v>
      </c>
      <c r="I123" s="12" t="n">
        <f aca="false">'Color classification'!E123</f>
        <v>210</v>
      </c>
      <c r="J123" s="15" t="n">
        <f aca="false">'Color classification'!F123</f>
        <v>159790</v>
      </c>
      <c r="K123" s="14" t="n">
        <f aca="false">'Color classification'!G123</f>
        <v>27800</v>
      </c>
      <c r="L123" s="13" t="n">
        <f aca="false">'Color classification'!H123</f>
        <v>132200</v>
      </c>
    </row>
    <row r="124" customFormat="false" ht="15" hidden="false" customHeight="false" outlineLevel="0" collapsed="false">
      <c r="A124" s="8"/>
      <c r="B124" s="14" t="n">
        <v>120</v>
      </c>
      <c r="C124" s="12" t="n">
        <v>27800</v>
      </c>
      <c r="D124" s="13" t="n">
        <v>132200</v>
      </c>
      <c r="E124" s="33" t="n">
        <f aca="false">'Color clustering'!E124</f>
        <v>63</v>
      </c>
      <c r="F124" s="15" t="n">
        <f aca="false">'Color clustering'!F124</f>
        <v>159937</v>
      </c>
      <c r="G124" s="33" t="n">
        <f aca="false">'Color clustering'!G124</f>
        <v>27799</v>
      </c>
      <c r="H124" s="14" t="n">
        <f aca="false">'Color clustering'!H124</f>
        <v>132201</v>
      </c>
      <c r="I124" s="12" t="n">
        <f aca="false">'Color classification'!E124</f>
        <v>6</v>
      </c>
      <c r="J124" s="15" t="n">
        <f aca="false">'Color classification'!F124</f>
        <v>159994</v>
      </c>
      <c r="K124" s="14" t="n">
        <f aca="false">'Color classification'!G124</f>
        <v>27799</v>
      </c>
      <c r="L124" s="13" t="n">
        <f aca="false">'Color classification'!H124</f>
        <v>132201</v>
      </c>
    </row>
    <row r="125" customFormat="false" ht="15" hidden="false" customHeight="false" outlineLevel="0" collapsed="false">
      <c r="A125" s="8"/>
      <c r="B125" s="14" t="n">
        <v>121</v>
      </c>
      <c r="C125" s="12" t="n">
        <v>27400</v>
      </c>
      <c r="D125" s="13" t="n">
        <v>132600</v>
      </c>
      <c r="E125" s="33" t="n">
        <f aca="false">'Color clustering'!E125</f>
        <v>98</v>
      </c>
      <c r="F125" s="15" t="n">
        <f aca="false">'Color clustering'!F125</f>
        <v>159902</v>
      </c>
      <c r="G125" s="33" t="n">
        <f aca="false">'Color clustering'!G125</f>
        <v>27400</v>
      </c>
      <c r="H125" s="14" t="n">
        <f aca="false">'Color clustering'!H125</f>
        <v>132600</v>
      </c>
      <c r="I125" s="12" t="n">
        <f aca="false">'Color classification'!E125</f>
        <v>107</v>
      </c>
      <c r="J125" s="15" t="n">
        <f aca="false">'Color classification'!F125</f>
        <v>159893</v>
      </c>
      <c r="K125" s="14" t="n">
        <f aca="false">'Color classification'!G125</f>
        <v>27400</v>
      </c>
      <c r="L125" s="13" t="n">
        <f aca="false">'Color classification'!H125</f>
        <v>132600</v>
      </c>
    </row>
    <row r="126" customFormat="false" ht="15" hidden="false" customHeight="false" outlineLevel="0" collapsed="false">
      <c r="A126" s="8"/>
      <c r="B126" s="14" t="n">
        <v>122</v>
      </c>
      <c r="C126" s="12" t="n">
        <v>27400</v>
      </c>
      <c r="D126" s="13" t="n">
        <v>132600</v>
      </c>
      <c r="E126" s="33" t="n">
        <f aca="false">'Color clustering'!E126</f>
        <v>387</v>
      </c>
      <c r="F126" s="15" t="n">
        <f aca="false">'Color clustering'!F126</f>
        <v>159613</v>
      </c>
      <c r="G126" s="33" t="n">
        <f aca="false">'Color clustering'!G126</f>
        <v>27399</v>
      </c>
      <c r="H126" s="14" t="n">
        <f aca="false">'Color clustering'!H126</f>
        <v>132601</v>
      </c>
      <c r="I126" s="12" t="n">
        <f aca="false">'Color classification'!E126</f>
        <v>12</v>
      </c>
      <c r="J126" s="15" t="n">
        <f aca="false">'Color classification'!F126</f>
        <v>159988</v>
      </c>
      <c r="K126" s="14" t="n">
        <f aca="false">'Color classification'!G126</f>
        <v>27399</v>
      </c>
      <c r="L126" s="13" t="n">
        <f aca="false">'Color classification'!H126</f>
        <v>132601</v>
      </c>
    </row>
    <row r="127" customFormat="false" ht="15" hidden="false" customHeight="false" outlineLevel="0" collapsed="false">
      <c r="A127" s="8"/>
      <c r="B127" s="14" t="n">
        <v>123</v>
      </c>
      <c r="C127" s="12" t="n">
        <v>27000</v>
      </c>
      <c r="D127" s="13" t="n">
        <v>133000</v>
      </c>
      <c r="E127" s="33" t="n">
        <f aca="false">'Color clustering'!E127</f>
        <v>13</v>
      </c>
      <c r="F127" s="15" t="n">
        <f aca="false">'Color clustering'!F127</f>
        <v>159987</v>
      </c>
      <c r="G127" s="33" t="n">
        <f aca="false">'Color clustering'!G127</f>
        <v>27000</v>
      </c>
      <c r="H127" s="14" t="n">
        <f aca="false">'Color clustering'!H127</f>
        <v>133000</v>
      </c>
      <c r="I127" s="12" t="n">
        <f aca="false">'Color classification'!E127</f>
        <v>24</v>
      </c>
      <c r="J127" s="15" t="n">
        <f aca="false">'Color classification'!F127</f>
        <v>159976</v>
      </c>
      <c r="K127" s="14" t="n">
        <f aca="false">'Color classification'!G127</f>
        <v>27000</v>
      </c>
      <c r="L127" s="13" t="n">
        <f aca="false">'Color classification'!H127</f>
        <v>133000</v>
      </c>
    </row>
    <row r="128" customFormat="false" ht="15" hidden="false" customHeight="false" outlineLevel="0" collapsed="false">
      <c r="A128" s="8"/>
      <c r="B128" s="14" t="n">
        <v>124</v>
      </c>
      <c r="C128" s="12" t="n">
        <v>26600</v>
      </c>
      <c r="D128" s="13" t="n">
        <v>133400</v>
      </c>
      <c r="E128" s="33" t="n">
        <f aca="false">'Color clustering'!E128</f>
        <v>285</v>
      </c>
      <c r="F128" s="15" t="n">
        <f aca="false">'Color clustering'!F128</f>
        <v>159715</v>
      </c>
      <c r="G128" s="33" t="n">
        <f aca="false">'Color clustering'!G128</f>
        <v>26600</v>
      </c>
      <c r="H128" s="14" t="n">
        <f aca="false">'Color clustering'!H128</f>
        <v>133400</v>
      </c>
      <c r="I128" s="12" t="n">
        <f aca="false">'Color classification'!E128</f>
        <v>119</v>
      </c>
      <c r="J128" s="15" t="n">
        <f aca="false">'Color classification'!F128</f>
        <v>159881</v>
      </c>
      <c r="K128" s="14" t="n">
        <f aca="false">'Color classification'!G128</f>
        <v>26600</v>
      </c>
      <c r="L128" s="13" t="n">
        <f aca="false">'Color classification'!H128</f>
        <v>133400</v>
      </c>
    </row>
    <row r="129" customFormat="false" ht="15" hidden="false" customHeight="false" outlineLevel="0" collapsed="false">
      <c r="A129" s="8"/>
      <c r="B129" s="14" t="n">
        <v>125</v>
      </c>
      <c r="C129" s="12" t="n">
        <v>26600</v>
      </c>
      <c r="D129" s="13" t="n">
        <v>133400</v>
      </c>
      <c r="E129" s="33" t="n">
        <f aca="false">'Color clustering'!E129</f>
        <v>338</v>
      </c>
      <c r="F129" s="15" t="n">
        <f aca="false">'Color clustering'!F129</f>
        <v>159662</v>
      </c>
      <c r="G129" s="33" t="n">
        <f aca="false">'Color clustering'!G129</f>
        <v>26600</v>
      </c>
      <c r="H129" s="14" t="n">
        <f aca="false">'Color clustering'!H129</f>
        <v>133400</v>
      </c>
      <c r="I129" s="12" t="n">
        <f aca="false">'Color classification'!E129</f>
        <v>105</v>
      </c>
      <c r="J129" s="15" t="n">
        <f aca="false">'Color classification'!F129</f>
        <v>159895</v>
      </c>
      <c r="K129" s="14" t="n">
        <f aca="false">'Color classification'!G129</f>
        <v>26600</v>
      </c>
      <c r="L129" s="13" t="n">
        <f aca="false">'Color classification'!H129</f>
        <v>133400</v>
      </c>
    </row>
    <row r="130" customFormat="false" ht="15" hidden="false" customHeight="false" outlineLevel="0" collapsed="false">
      <c r="A130" s="8"/>
      <c r="B130" s="14" t="n">
        <v>126</v>
      </c>
      <c r="C130" s="12" t="n">
        <v>26200</v>
      </c>
      <c r="D130" s="13" t="n">
        <v>133800</v>
      </c>
      <c r="E130" s="33" t="n">
        <f aca="false">'Color clustering'!E130</f>
        <v>55</v>
      </c>
      <c r="F130" s="15" t="n">
        <f aca="false">'Color clustering'!F130</f>
        <v>159945</v>
      </c>
      <c r="G130" s="33" t="n">
        <f aca="false">'Color clustering'!G130</f>
        <v>26200</v>
      </c>
      <c r="H130" s="14" t="n">
        <f aca="false">'Color clustering'!H130</f>
        <v>133800</v>
      </c>
      <c r="I130" s="12" t="n">
        <f aca="false">'Color classification'!E130</f>
        <v>85</v>
      </c>
      <c r="J130" s="15" t="n">
        <f aca="false">'Color classification'!F130</f>
        <v>159915</v>
      </c>
      <c r="K130" s="14" t="n">
        <f aca="false">'Color classification'!G130</f>
        <v>26200</v>
      </c>
      <c r="L130" s="13" t="n">
        <f aca="false">'Color classification'!H130</f>
        <v>133800</v>
      </c>
    </row>
    <row r="131" customFormat="false" ht="15" hidden="false" customHeight="false" outlineLevel="0" collapsed="false">
      <c r="A131" s="8"/>
      <c r="B131" s="14" t="n">
        <v>127</v>
      </c>
      <c r="C131" s="12" t="n">
        <v>25800</v>
      </c>
      <c r="D131" s="13" t="n">
        <v>134200</v>
      </c>
      <c r="E131" s="33" t="n">
        <f aca="false">'Color clustering'!E131</f>
        <v>79</v>
      </c>
      <c r="F131" s="15" t="n">
        <f aca="false">'Color clustering'!F131</f>
        <v>159921</v>
      </c>
      <c r="G131" s="33" t="n">
        <f aca="false">'Color clustering'!G131</f>
        <v>25800</v>
      </c>
      <c r="H131" s="14" t="n">
        <f aca="false">'Color clustering'!H131</f>
        <v>134200</v>
      </c>
      <c r="I131" s="12" t="n">
        <f aca="false">'Color classification'!E131</f>
        <v>0</v>
      </c>
      <c r="J131" s="15" t="n">
        <f aca="false">'Color classification'!F131</f>
        <v>160000</v>
      </c>
      <c r="K131" s="14" t="n">
        <f aca="false">'Color classification'!G131</f>
        <v>25800</v>
      </c>
      <c r="L131" s="13" t="n">
        <f aca="false">'Color classification'!H131</f>
        <v>134200</v>
      </c>
    </row>
    <row r="132" customFormat="false" ht="15" hidden="false" customHeight="false" outlineLevel="0" collapsed="false">
      <c r="A132" s="8"/>
      <c r="B132" s="14" t="n">
        <v>128</v>
      </c>
      <c r="C132" s="12" t="n">
        <v>25800</v>
      </c>
      <c r="D132" s="13" t="n">
        <v>134200</v>
      </c>
      <c r="E132" s="33" t="n">
        <f aca="false">'Color clustering'!E132</f>
        <v>53</v>
      </c>
      <c r="F132" s="15" t="n">
        <f aca="false">'Color clustering'!F132</f>
        <v>159947</v>
      </c>
      <c r="G132" s="33" t="n">
        <f aca="false">'Color clustering'!G132</f>
        <v>25800</v>
      </c>
      <c r="H132" s="14" t="n">
        <f aca="false">'Color clustering'!H132</f>
        <v>134200</v>
      </c>
      <c r="I132" s="12" t="n">
        <f aca="false">'Color classification'!E132</f>
        <v>0</v>
      </c>
      <c r="J132" s="15" t="n">
        <f aca="false">'Color classification'!F132</f>
        <v>160000</v>
      </c>
      <c r="K132" s="14" t="n">
        <f aca="false">'Color classification'!G132</f>
        <v>25800</v>
      </c>
      <c r="L132" s="13" t="n">
        <f aca="false">'Color classification'!H132</f>
        <v>134200</v>
      </c>
    </row>
    <row r="133" customFormat="false" ht="15" hidden="false" customHeight="false" outlineLevel="0" collapsed="false">
      <c r="A133" s="8"/>
      <c r="B133" s="14" t="n">
        <v>129</v>
      </c>
      <c r="C133" s="12" t="n">
        <v>25400</v>
      </c>
      <c r="D133" s="13" t="n">
        <v>134600</v>
      </c>
      <c r="E133" s="33" t="n">
        <f aca="false">'Color clustering'!E133</f>
        <v>73</v>
      </c>
      <c r="F133" s="15" t="n">
        <f aca="false">'Color clustering'!F133</f>
        <v>159927</v>
      </c>
      <c r="G133" s="33" t="n">
        <f aca="false">'Color clustering'!G133</f>
        <v>25400</v>
      </c>
      <c r="H133" s="14" t="n">
        <f aca="false">'Color clustering'!H133</f>
        <v>134600</v>
      </c>
      <c r="I133" s="12" t="n">
        <f aca="false">'Color classification'!E133</f>
        <v>0</v>
      </c>
      <c r="J133" s="15" t="n">
        <f aca="false">'Color classification'!F133</f>
        <v>160000</v>
      </c>
      <c r="K133" s="14" t="n">
        <f aca="false">'Color classification'!G133</f>
        <v>25400</v>
      </c>
      <c r="L133" s="13" t="n">
        <f aca="false">'Color classification'!H133</f>
        <v>134600</v>
      </c>
    </row>
    <row r="134" customFormat="false" ht="15" hidden="false" customHeight="false" outlineLevel="0" collapsed="false">
      <c r="A134" s="8"/>
      <c r="B134" s="14" t="n">
        <v>130</v>
      </c>
      <c r="C134" s="12" t="n">
        <v>25000</v>
      </c>
      <c r="D134" s="13" t="n">
        <v>135000</v>
      </c>
      <c r="E134" s="33" t="n">
        <f aca="false">'Color clustering'!E134</f>
        <v>0</v>
      </c>
      <c r="F134" s="15" t="n">
        <f aca="false">'Color clustering'!F134</f>
        <v>160000</v>
      </c>
      <c r="G134" s="33" t="n">
        <f aca="false">'Color clustering'!G134</f>
        <v>25130</v>
      </c>
      <c r="H134" s="14" t="n">
        <f aca="false">'Color clustering'!H134</f>
        <v>134870</v>
      </c>
      <c r="I134" s="12" t="n">
        <f aca="false">'Color classification'!E134</f>
        <v>0</v>
      </c>
      <c r="J134" s="15" t="n">
        <f aca="false">'Color classification'!F134</f>
        <v>160000</v>
      </c>
      <c r="K134" s="14" t="n">
        <f aca="false">'Color classification'!G134</f>
        <v>24999</v>
      </c>
      <c r="L134" s="13" t="n">
        <f aca="false">'Color classification'!H134</f>
        <v>135001</v>
      </c>
    </row>
    <row r="135" customFormat="false" ht="15" hidden="false" customHeight="false" outlineLevel="0" collapsed="false">
      <c r="A135" s="8"/>
      <c r="B135" s="14" t="n">
        <v>131</v>
      </c>
      <c r="C135" s="12" t="n">
        <v>24600</v>
      </c>
      <c r="D135" s="13" t="n">
        <v>135400</v>
      </c>
      <c r="E135" s="33" t="n">
        <f aca="false">'Color clustering'!E135</f>
        <v>72</v>
      </c>
      <c r="F135" s="15" t="n">
        <f aca="false">'Color clustering'!F135</f>
        <v>159928</v>
      </c>
      <c r="G135" s="33" t="n">
        <f aca="false">'Color clustering'!G135</f>
        <v>24620</v>
      </c>
      <c r="H135" s="14" t="n">
        <f aca="false">'Color clustering'!H135</f>
        <v>135380</v>
      </c>
      <c r="I135" s="12" t="n">
        <f aca="false">'Color classification'!E135</f>
        <v>9</v>
      </c>
      <c r="J135" s="15" t="n">
        <f aca="false">'Color classification'!F135</f>
        <v>159991</v>
      </c>
      <c r="K135" s="14" t="n">
        <f aca="false">'Color classification'!G135</f>
        <v>24600</v>
      </c>
      <c r="L135" s="13" t="n">
        <f aca="false">'Color classification'!H135</f>
        <v>135400</v>
      </c>
    </row>
    <row r="136" customFormat="false" ht="15" hidden="false" customHeight="false" outlineLevel="0" collapsed="false">
      <c r="A136" s="8"/>
      <c r="B136" s="14" t="n">
        <v>132</v>
      </c>
      <c r="C136" s="12" t="n">
        <v>24200</v>
      </c>
      <c r="D136" s="13" t="n">
        <v>135800</v>
      </c>
      <c r="E136" s="33" t="n">
        <f aca="false">'Color clustering'!E136</f>
        <v>31</v>
      </c>
      <c r="F136" s="15" t="n">
        <f aca="false">'Color clustering'!F136</f>
        <v>159969</v>
      </c>
      <c r="G136" s="33" t="n">
        <f aca="false">'Color clustering'!G136</f>
        <v>24200</v>
      </c>
      <c r="H136" s="14" t="n">
        <f aca="false">'Color clustering'!H136</f>
        <v>135800</v>
      </c>
      <c r="I136" s="12" t="n">
        <f aca="false">'Color classification'!E136</f>
        <v>93</v>
      </c>
      <c r="J136" s="15" t="n">
        <f aca="false">'Color classification'!F136</f>
        <v>159907</v>
      </c>
      <c r="K136" s="14" t="n">
        <f aca="false">'Color classification'!G136</f>
        <v>24200</v>
      </c>
      <c r="L136" s="13" t="n">
        <f aca="false">'Color classification'!H136</f>
        <v>135800</v>
      </c>
    </row>
    <row r="137" customFormat="false" ht="15" hidden="false" customHeight="false" outlineLevel="0" collapsed="false">
      <c r="A137" s="8"/>
      <c r="B137" s="14" t="n">
        <v>133</v>
      </c>
      <c r="C137" s="12" t="n">
        <v>23800</v>
      </c>
      <c r="D137" s="13" t="n">
        <v>136200</v>
      </c>
      <c r="E137" s="33" t="n">
        <f aca="false">'Color clustering'!E137</f>
        <v>60</v>
      </c>
      <c r="F137" s="15" t="n">
        <f aca="false">'Color clustering'!F137</f>
        <v>159940</v>
      </c>
      <c r="G137" s="33" t="n">
        <f aca="false">'Color clustering'!G137</f>
        <v>23800</v>
      </c>
      <c r="H137" s="14" t="n">
        <f aca="false">'Color clustering'!H137</f>
        <v>136200</v>
      </c>
      <c r="I137" s="12" t="n">
        <f aca="false">'Color classification'!E137</f>
        <v>358</v>
      </c>
      <c r="J137" s="15" t="n">
        <f aca="false">'Color classification'!F137</f>
        <v>159642</v>
      </c>
      <c r="K137" s="14" t="n">
        <f aca="false">'Color classification'!G137</f>
        <v>23800</v>
      </c>
      <c r="L137" s="13" t="n">
        <f aca="false">'Color classification'!H137</f>
        <v>136200</v>
      </c>
    </row>
    <row r="138" customFormat="false" ht="15" hidden="false" customHeight="false" outlineLevel="0" collapsed="false">
      <c r="A138" s="8"/>
      <c r="B138" s="14" t="n">
        <v>134</v>
      </c>
      <c r="C138" s="12" t="n">
        <v>23800</v>
      </c>
      <c r="D138" s="13" t="n">
        <v>136200</v>
      </c>
      <c r="E138" s="33" t="n">
        <f aca="false">'Color clustering'!E138</f>
        <v>0</v>
      </c>
      <c r="F138" s="15" t="n">
        <f aca="false">'Color clustering'!F138</f>
        <v>160000</v>
      </c>
      <c r="G138" s="33" t="n">
        <f aca="false">'Color clustering'!G138</f>
        <v>23800</v>
      </c>
      <c r="H138" s="14" t="n">
        <f aca="false">'Color clustering'!H138</f>
        <v>136200</v>
      </c>
      <c r="I138" s="12" t="n">
        <f aca="false">'Color classification'!E138</f>
        <v>185</v>
      </c>
      <c r="J138" s="15" t="n">
        <f aca="false">'Color classification'!F138</f>
        <v>159815</v>
      </c>
      <c r="K138" s="14" t="n">
        <f aca="false">'Color classification'!G138</f>
        <v>23800</v>
      </c>
      <c r="L138" s="13" t="n">
        <f aca="false">'Color classification'!H138</f>
        <v>136200</v>
      </c>
    </row>
    <row r="139" customFormat="false" ht="15" hidden="false" customHeight="false" outlineLevel="0" collapsed="false">
      <c r="A139" s="8"/>
      <c r="B139" s="14" t="n">
        <v>135</v>
      </c>
      <c r="C139" s="12" t="n">
        <v>23400</v>
      </c>
      <c r="D139" s="13" t="n">
        <v>136600</v>
      </c>
      <c r="E139" s="33" t="n">
        <f aca="false">'Color clustering'!E139</f>
        <v>0</v>
      </c>
      <c r="F139" s="15" t="n">
        <f aca="false">'Color clustering'!F139</f>
        <v>160000</v>
      </c>
      <c r="G139" s="33" t="n">
        <f aca="false">'Color clustering'!G139</f>
        <v>23400</v>
      </c>
      <c r="H139" s="14" t="n">
        <f aca="false">'Color clustering'!H139</f>
        <v>136600</v>
      </c>
      <c r="I139" s="12" t="n">
        <f aca="false">'Color classification'!E139</f>
        <v>1219</v>
      </c>
      <c r="J139" s="15" t="n">
        <f aca="false">'Color classification'!F139</f>
        <v>158781</v>
      </c>
      <c r="K139" s="14" t="n">
        <f aca="false">'Color classification'!G139</f>
        <v>23400</v>
      </c>
      <c r="L139" s="13" t="n">
        <f aca="false">'Color classification'!H139</f>
        <v>136600</v>
      </c>
    </row>
    <row r="140" customFormat="false" ht="15" hidden="false" customHeight="false" outlineLevel="0" collapsed="false">
      <c r="A140" s="8"/>
      <c r="B140" s="14" t="n">
        <v>136</v>
      </c>
      <c r="C140" s="12" t="n">
        <v>23000</v>
      </c>
      <c r="D140" s="13" t="n">
        <v>137000</v>
      </c>
      <c r="E140" s="33" t="n">
        <f aca="false">'Color clustering'!E140</f>
        <v>11</v>
      </c>
      <c r="F140" s="15" t="n">
        <f aca="false">'Color clustering'!F140</f>
        <v>159989</v>
      </c>
      <c r="G140" s="33" t="n">
        <f aca="false">'Color clustering'!G140</f>
        <v>23001</v>
      </c>
      <c r="H140" s="14" t="n">
        <f aca="false">'Color clustering'!H140</f>
        <v>136999</v>
      </c>
      <c r="I140" s="12" t="n">
        <f aca="false">'Color classification'!E140</f>
        <v>3</v>
      </c>
      <c r="J140" s="15" t="n">
        <f aca="false">'Color classification'!F140</f>
        <v>159997</v>
      </c>
      <c r="K140" s="14" t="n">
        <f aca="false">'Color classification'!G140</f>
        <v>23003</v>
      </c>
      <c r="L140" s="13" t="n">
        <f aca="false">'Color classification'!H140</f>
        <v>136997</v>
      </c>
    </row>
    <row r="141" customFormat="false" ht="15" hidden="false" customHeight="false" outlineLevel="0" collapsed="false">
      <c r="A141" s="8"/>
      <c r="B141" s="14" t="n">
        <v>137</v>
      </c>
      <c r="C141" s="12" t="n">
        <v>22600</v>
      </c>
      <c r="D141" s="13" t="n">
        <v>137400</v>
      </c>
      <c r="E141" s="33" t="n">
        <f aca="false">'Color clustering'!E141</f>
        <v>0</v>
      </c>
      <c r="F141" s="15" t="n">
        <f aca="false">'Color clustering'!F141</f>
        <v>160000</v>
      </c>
      <c r="G141" s="33" t="n">
        <f aca="false">'Color clustering'!G141</f>
        <v>22600</v>
      </c>
      <c r="H141" s="14" t="n">
        <f aca="false">'Color clustering'!H141</f>
        <v>137400</v>
      </c>
      <c r="I141" s="12" t="n">
        <f aca="false">'Color classification'!E141</f>
        <v>0</v>
      </c>
      <c r="J141" s="15" t="n">
        <f aca="false">'Color classification'!F141</f>
        <v>160000</v>
      </c>
      <c r="K141" s="14" t="n">
        <f aca="false">'Color classification'!G141</f>
        <v>22600</v>
      </c>
      <c r="L141" s="13" t="n">
        <f aca="false">'Color classification'!H141</f>
        <v>137400</v>
      </c>
    </row>
    <row r="142" customFormat="false" ht="15" hidden="false" customHeight="false" outlineLevel="0" collapsed="false">
      <c r="A142" s="8"/>
      <c r="B142" s="14" t="n">
        <v>138</v>
      </c>
      <c r="C142" s="12" t="n">
        <v>22200</v>
      </c>
      <c r="D142" s="13" t="n">
        <v>137800</v>
      </c>
      <c r="E142" s="33" t="n">
        <f aca="false">'Color clustering'!E142</f>
        <v>4</v>
      </c>
      <c r="F142" s="15" t="n">
        <f aca="false">'Color clustering'!F142</f>
        <v>159996</v>
      </c>
      <c r="G142" s="33" t="n">
        <f aca="false">'Color clustering'!G142</f>
        <v>22200</v>
      </c>
      <c r="H142" s="14" t="n">
        <f aca="false">'Color clustering'!H142</f>
        <v>137800</v>
      </c>
      <c r="I142" s="12" t="n">
        <f aca="false">'Color classification'!E142</f>
        <v>0</v>
      </c>
      <c r="J142" s="15" t="n">
        <f aca="false">'Color classification'!F142</f>
        <v>160000</v>
      </c>
      <c r="K142" s="14" t="n">
        <f aca="false">'Color classification'!G142</f>
        <v>22200</v>
      </c>
      <c r="L142" s="13" t="n">
        <f aca="false">'Color classification'!H142</f>
        <v>137800</v>
      </c>
    </row>
    <row r="143" customFormat="false" ht="15" hidden="false" customHeight="false" outlineLevel="0" collapsed="false">
      <c r="A143" s="8"/>
      <c r="B143" s="14" t="n">
        <v>139</v>
      </c>
      <c r="C143" s="12" t="n">
        <v>21800</v>
      </c>
      <c r="D143" s="13" t="n">
        <v>138200</v>
      </c>
      <c r="E143" s="33" t="n">
        <f aca="false">'Color clustering'!E143</f>
        <v>71</v>
      </c>
      <c r="F143" s="15" t="n">
        <f aca="false">'Color clustering'!F143</f>
        <v>159929</v>
      </c>
      <c r="G143" s="33" t="n">
        <f aca="false">'Color clustering'!G143</f>
        <v>21799</v>
      </c>
      <c r="H143" s="14" t="n">
        <f aca="false">'Color clustering'!H143</f>
        <v>138201</v>
      </c>
      <c r="I143" s="12" t="n">
        <f aca="false">'Color classification'!E143</f>
        <v>0</v>
      </c>
      <c r="J143" s="15" t="n">
        <f aca="false">'Color classification'!F143</f>
        <v>160000</v>
      </c>
      <c r="K143" s="14" t="n">
        <f aca="false">'Color classification'!G143</f>
        <v>21799</v>
      </c>
      <c r="L143" s="13" t="n">
        <f aca="false">'Color classification'!H143</f>
        <v>138201</v>
      </c>
    </row>
    <row r="144" customFormat="false" ht="15" hidden="false" customHeight="false" outlineLevel="0" collapsed="false">
      <c r="A144" s="8"/>
      <c r="B144" s="14" t="n">
        <v>140</v>
      </c>
      <c r="C144" s="12" t="n">
        <v>21000</v>
      </c>
      <c r="D144" s="13" t="n">
        <v>139000</v>
      </c>
      <c r="E144" s="33" t="n">
        <f aca="false">'Color clustering'!E144</f>
        <v>46</v>
      </c>
      <c r="F144" s="15" t="n">
        <f aca="false">'Color clustering'!F144</f>
        <v>159954</v>
      </c>
      <c r="G144" s="33" t="n">
        <f aca="false">'Color clustering'!G144</f>
        <v>21000</v>
      </c>
      <c r="H144" s="14" t="n">
        <f aca="false">'Color clustering'!H144</f>
        <v>139000</v>
      </c>
      <c r="I144" s="12" t="n">
        <f aca="false">'Color classification'!E144</f>
        <v>22</v>
      </c>
      <c r="J144" s="15" t="n">
        <f aca="false">'Color classification'!F144</f>
        <v>159978</v>
      </c>
      <c r="K144" s="14" t="n">
        <f aca="false">'Color classification'!G144</f>
        <v>21005</v>
      </c>
      <c r="L144" s="13" t="n">
        <f aca="false">'Color classification'!H144</f>
        <v>138995</v>
      </c>
    </row>
    <row r="145" customFormat="false" ht="15" hidden="false" customHeight="false" outlineLevel="0" collapsed="false">
      <c r="A145" s="8"/>
      <c r="B145" s="14" t="n">
        <v>141</v>
      </c>
      <c r="C145" s="12" t="n">
        <v>20600</v>
      </c>
      <c r="D145" s="13" t="n">
        <v>139400</v>
      </c>
      <c r="E145" s="33" t="n">
        <f aca="false">'Color clustering'!E145</f>
        <v>908</v>
      </c>
      <c r="F145" s="15" t="n">
        <f aca="false">'Color clustering'!F145</f>
        <v>159092</v>
      </c>
      <c r="G145" s="33" t="n">
        <f aca="false">'Color clustering'!G145</f>
        <v>20615</v>
      </c>
      <c r="H145" s="14" t="n">
        <f aca="false">'Color clustering'!H145</f>
        <v>139385</v>
      </c>
      <c r="I145" s="12" t="n">
        <f aca="false">'Color classification'!E145</f>
        <v>474</v>
      </c>
      <c r="J145" s="15" t="n">
        <f aca="false">'Color classification'!F145</f>
        <v>159526</v>
      </c>
      <c r="K145" s="14" t="n">
        <f aca="false">'Color classification'!G145</f>
        <v>20608</v>
      </c>
      <c r="L145" s="13" t="n">
        <f aca="false">'Color classification'!H145</f>
        <v>139392</v>
      </c>
    </row>
    <row r="146" customFormat="false" ht="15" hidden="false" customHeight="false" outlineLevel="0" collapsed="false">
      <c r="A146" s="8"/>
      <c r="B146" s="14" t="n">
        <v>142</v>
      </c>
      <c r="C146" s="12" t="n">
        <v>20200</v>
      </c>
      <c r="D146" s="13" t="n">
        <v>139800</v>
      </c>
      <c r="E146" s="33" t="n">
        <f aca="false">'Color clustering'!E146</f>
        <v>529</v>
      </c>
      <c r="F146" s="15" t="n">
        <f aca="false">'Color clustering'!F146</f>
        <v>159471</v>
      </c>
      <c r="G146" s="33" t="n">
        <f aca="false">'Color clustering'!G146</f>
        <v>20200</v>
      </c>
      <c r="H146" s="14" t="n">
        <f aca="false">'Color clustering'!H146</f>
        <v>139800</v>
      </c>
      <c r="I146" s="12" t="n">
        <f aca="false">'Color classification'!E146</f>
        <v>1470</v>
      </c>
      <c r="J146" s="15" t="n">
        <f aca="false">'Color classification'!F146</f>
        <v>158530</v>
      </c>
      <c r="K146" s="14" t="n">
        <f aca="false">'Color classification'!G146</f>
        <v>20207</v>
      </c>
      <c r="L146" s="13" t="n">
        <f aca="false">'Color classification'!H146</f>
        <v>139793</v>
      </c>
    </row>
    <row r="147" customFormat="false" ht="15" hidden="false" customHeight="false" outlineLevel="0" collapsed="false">
      <c r="A147" s="8"/>
      <c r="B147" s="14" t="n">
        <v>143</v>
      </c>
      <c r="C147" s="12" t="n">
        <v>19800</v>
      </c>
      <c r="D147" s="13" t="n">
        <v>140200</v>
      </c>
      <c r="E147" s="33" t="n">
        <f aca="false">'Color clustering'!E147</f>
        <v>281</v>
      </c>
      <c r="F147" s="15" t="n">
        <f aca="false">'Color clustering'!F147</f>
        <v>159719</v>
      </c>
      <c r="G147" s="33" t="n">
        <f aca="false">'Color clustering'!G147</f>
        <v>19998</v>
      </c>
      <c r="H147" s="14" t="n">
        <f aca="false">'Color clustering'!H147</f>
        <v>140002</v>
      </c>
      <c r="I147" s="12" t="n">
        <f aca="false">'Color classification'!E147</f>
        <v>18</v>
      </c>
      <c r="J147" s="15" t="n">
        <f aca="false">'Color classification'!F147</f>
        <v>159982</v>
      </c>
      <c r="K147" s="14" t="n">
        <f aca="false">'Color classification'!G147</f>
        <v>19806</v>
      </c>
      <c r="L147" s="13" t="n">
        <f aca="false">'Color classification'!H147</f>
        <v>140194</v>
      </c>
    </row>
    <row r="148" customFormat="false" ht="15" hidden="false" customHeight="false" outlineLevel="0" collapsed="false">
      <c r="A148" s="8"/>
      <c r="B148" s="14" t="n">
        <v>144</v>
      </c>
      <c r="C148" s="12" t="n">
        <v>19400</v>
      </c>
      <c r="D148" s="13" t="n">
        <v>140600</v>
      </c>
      <c r="E148" s="33" t="n">
        <f aca="false">'Color clustering'!E148</f>
        <v>0</v>
      </c>
      <c r="F148" s="15" t="n">
        <f aca="false">'Color clustering'!F148</f>
        <v>160000</v>
      </c>
      <c r="G148" s="33" t="n">
        <f aca="false">'Color clustering'!G148</f>
        <v>19400</v>
      </c>
      <c r="H148" s="14" t="n">
        <f aca="false">'Color clustering'!H148</f>
        <v>140600</v>
      </c>
      <c r="I148" s="12" t="n">
        <f aca="false">'Color classification'!E148</f>
        <v>515</v>
      </c>
      <c r="J148" s="15" t="n">
        <f aca="false">'Color classification'!F148</f>
        <v>159485</v>
      </c>
      <c r="K148" s="14" t="n">
        <f aca="false">'Color classification'!G148</f>
        <v>19407</v>
      </c>
      <c r="L148" s="13" t="n">
        <f aca="false">'Color classification'!H148</f>
        <v>140593</v>
      </c>
    </row>
    <row r="149" customFormat="false" ht="15" hidden="false" customHeight="false" outlineLevel="0" collapsed="false">
      <c r="A149" s="8"/>
      <c r="B149" s="14" t="n">
        <v>145</v>
      </c>
      <c r="C149" s="12" t="n">
        <v>18600</v>
      </c>
      <c r="D149" s="13" t="n">
        <v>141400</v>
      </c>
      <c r="E149" s="33" t="n">
        <f aca="false">'Color clustering'!E149</f>
        <v>49</v>
      </c>
      <c r="F149" s="15" t="n">
        <f aca="false">'Color clustering'!F149</f>
        <v>159951</v>
      </c>
      <c r="G149" s="33" t="n">
        <f aca="false">'Color clustering'!G149</f>
        <v>18607</v>
      </c>
      <c r="H149" s="14" t="n">
        <f aca="false">'Color clustering'!H149</f>
        <v>141393</v>
      </c>
      <c r="I149" s="12" t="n">
        <f aca="false">'Color classification'!E149</f>
        <v>27</v>
      </c>
      <c r="J149" s="15" t="n">
        <f aca="false">'Color classification'!F149</f>
        <v>159973</v>
      </c>
      <c r="K149" s="14" t="n">
        <f aca="false">'Color classification'!G149</f>
        <v>18607</v>
      </c>
      <c r="L149" s="13" t="n">
        <f aca="false">'Color classification'!H149</f>
        <v>141393</v>
      </c>
    </row>
    <row r="150" customFormat="false" ht="15" hidden="false" customHeight="false" outlineLevel="0" collapsed="false">
      <c r="A150" s="8"/>
      <c r="B150" s="14" t="n">
        <v>146</v>
      </c>
      <c r="C150" s="12" t="n">
        <v>18200</v>
      </c>
      <c r="D150" s="13" t="n">
        <v>141800</v>
      </c>
      <c r="E150" s="33" t="n">
        <f aca="false">'Color clustering'!E150</f>
        <v>130</v>
      </c>
      <c r="F150" s="15" t="n">
        <f aca="false">'Color clustering'!F150</f>
        <v>159870</v>
      </c>
      <c r="G150" s="33" t="n">
        <f aca="false">'Color clustering'!G150</f>
        <v>18208</v>
      </c>
      <c r="H150" s="14" t="n">
        <f aca="false">'Color clustering'!H150</f>
        <v>141792</v>
      </c>
      <c r="I150" s="12" t="n">
        <f aca="false">'Color classification'!E150</f>
        <v>27</v>
      </c>
      <c r="J150" s="15" t="n">
        <f aca="false">'Color classification'!F150</f>
        <v>159973</v>
      </c>
      <c r="K150" s="14" t="n">
        <f aca="false">'Color classification'!G150</f>
        <v>18207</v>
      </c>
      <c r="L150" s="13" t="n">
        <f aca="false">'Color classification'!H150</f>
        <v>141793</v>
      </c>
    </row>
    <row r="151" customFormat="false" ht="15" hidden="false" customHeight="false" outlineLevel="0" collapsed="false">
      <c r="A151" s="8"/>
      <c r="B151" s="14" t="n">
        <v>147</v>
      </c>
      <c r="C151" s="12" t="n">
        <v>17400</v>
      </c>
      <c r="D151" s="13" t="n">
        <v>142600</v>
      </c>
      <c r="E151" s="33" t="n">
        <f aca="false">'Color clustering'!E151</f>
        <v>25</v>
      </c>
      <c r="F151" s="15" t="n">
        <f aca="false">'Color clustering'!F151</f>
        <v>159975</v>
      </c>
      <c r="G151" s="33" t="n">
        <f aca="false">'Color clustering'!G151</f>
        <v>17408</v>
      </c>
      <c r="H151" s="14" t="n">
        <f aca="false">'Color clustering'!H151</f>
        <v>142592</v>
      </c>
      <c r="I151" s="12" t="n">
        <f aca="false">'Color classification'!E151</f>
        <v>435</v>
      </c>
      <c r="J151" s="15" t="n">
        <f aca="false">'Color classification'!F151</f>
        <v>159565</v>
      </c>
      <c r="K151" s="14" t="n">
        <f aca="false">'Color classification'!G151</f>
        <v>17401</v>
      </c>
      <c r="L151" s="13" t="n">
        <f aca="false">'Color classification'!H151</f>
        <v>142599</v>
      </c>
    </row>
    <row r="152" customFormat="false" ht="15" hidden="false" customHeight="false" outlineLevel="0" collapsed="false">
      <c r="A152" s="8"/>
      <c r="B152" s="14" t="n">
        <v>148</v>
      </c>
      <c r="C152" s="12" t="n">
        <v>17000</v>
      </c>
      <c r="D152" s="13" t="n">
        <v>143000</v>
      </c>
      <c r="E152" s="33" t="n">
        <f aca="false">'Color clustering'!E152</f>
        <v>25</v>
      </c>
      <c r="F152" s="15" t="n">
        <f aca="false">'Color clustering'!F152</f>
        <v>159975</v>
      </c>
      <c r="G152" s="33" t="n">
        <f aca="false">'Color clustering'!G152</f>
        <v>17000</v>
      </c>
      <c r="H152" s="14" t="n">
        <f aca="false">'Color clustering'!H152</f>
        <v>143000</v>
      </c>
      <c r="I152" s="12" t="n">
        <f aca="false">'Color classification'!E152</f>
        <v>124</v>
      </c>
      <c r="J152" s="15" t="n">
        <f aca="false">'Color classification'!F152</f>
        <v>159876</v>
      </c>
      <c r="K152" s="14" t="n">
        <f aca="false">'Color classification'!G152</f>
        <v>17000</v>
      </c>
      <c r="L152" s="13" t="n">
        <f aca="false">'Color classification'!H152</f>
        <v>143000</v>
      </c>
    </row>
    <row r="153" customFormat="false" ht="15" hidden="false" customHeight="false" outlineLevel="0" collapsed="false">
      <c r="A153" s="8"/>
      <c r="B153" s="14" t="n">
        <v>149</v>
      </c>
      <c r="C153" s="12" t="n">
        <v>16200</v>
      </c>
      <c r="D153" s="13" t="n">
        <v>143800</v>
      </c>
      <c r="E153" s="33" t="n">
        <f aca="false">'Color clustering'!E153</f>
        <v>127</v>
      </c>
      <c r="F153" s="15" t="n">
        <f aca="false">'Color clustering'!F153</f>
        <v>159873</v>
      </c>
      <c r="G153" s="33" t="n">
        <f aca="false">'Color clustering'!G153</f>
        <v>16200</v>
      </c>
      <c r="H153" s="14" t="n">
        <f aca="false">'Color clustering'!H153</f>
        <v>143800</v>
      </c>
      <c r="I153" s="12" t="n">
        <f aca="false">'Color classification'!E153</f>
        <v>983</v>
      </c>
      <c r="J153" s="15" t="n">
        <f aca="false">'Color classification'!F153</f>
        <v>159017</v>
      </c>
      <c r="K153" s="14" t="n">
        <f aca="false">'Color classification'!G153</f>
        <v>16200</v>
      </c>
      <c r="L153" s="13" t="n">
        <f aca="false">'Color classification'!H153</f>
        <v>143800</v>
      </c>
    </row>
    <row r="154" customFormat="false" ht="15" hidden="false" customHeight="false" outlineLevel="0" collapsed="false">
      <c r="A154" s="8"/>
      <c r="B154" s="14" t="n">
        <v>150</v>
      </c>
      <c r="C154" s="12" t="n">
        <v>15400</v>
      </c>
      <c r="D154" s="13" t="n">
        <v>144600</v>
      </c>
      <c r="E154" s="33" t="n">
        <f aca="false">'Color clustering'!E154</f>
        <v>80</v>
      </c>
      <c r="F154" s="15" t="n">
        <f aca="false">'Color clustering'!F154</f>
        <v>159920</v>
      </c>
      <c r="G154" s="33" t="n">
        <f aca="false">'Color clustering'!G154</f>
        <v>15400</v>
      </c>
      <c r="H154" s="14" t="n">
        <f aca="false">'Color clustering'!H154</f>
        <v>144600</v>
      </c>
      <c r="I154" s="12" t="n">
        <f aca="false">'Color classification'!E154</f>
        <v>68</v>
      </c>
      <c r="J154" s="15" t="n">
        <f aca="false">'Color classification'!F154</f>
        <v>159932</v>
      </c>
      <c r="K154" s="14" t="n">
        <f aca="false">'Color classification'!G154</f>
        <v>15409</v>
      </c>
      <c r="L154" s="13" t="n">
        <f aca="false">'Color classification'!H154</f>
        <v>144591</v>
      </c>
    </row>
    <row r="155" customFormat="false" ht="15" hidden="false" customHeight="false" outlineLevel="0" collapsed="false">
      <c r="A155" s="8"/>
      <c r="B155" s="14" t="n">
        <v>151</v>
      </c>
      <c r="C155" s="12" t="n">
        <v>14600</v>
      </c>
      <c r="D155" s="13" t="n">
        <v>145400</v>
      </c>
      <c r="E155" s="33" t="n">
        <f aca="false">'Color clustering'!E155</f>
        <v>189</v>
      </c>
      <c r="F155" s="15" t="n">
        <f aca="false">'Color clustering'!F155</f>
        <v>159811</v>
      </c>
      <c r="G155" s="33" t="n">
        <f aca="false">'Color clustering'!G155</f>
        <v>14610</v>
      </c>
      <c r="H155" s="14" t="n">
        <f aca="false">'Color clustering'!H155</f>
        <v>145390</v>
      </c>
      <c r="I155" s="12" t="n">
        <f aca="false">'Color classification'!E155</f>
        <v>29</v>
      </c>
      <c r="J155" s="15" t="n">
        <f aca="false">'Color classification'!F155</f>
        <v>159971</v>
      </c>
      <c r="K155" s="14" t="n">
        <f aca="false">'Color classification'!G155</f>
        <v>14607</v>
      </c>
      <c r="L155" s="13" t="n">
        <f aca="false">'Color classification'!H155</f>
        <v>145393</v>
      </c>
    </row>
    <row r="156" customFormat="false" ht="15" hidden="false" customHeight="false" outlineLevel="0" collapsed="false">
      <c r="A156" s="8"/>
      <c r="B156" s="14" t="n">
        <v>152</v>
      </c>
      <c r="C156" s="12" t="n">
        <v>13800</v>
      </c>
      <c r="D156" s="13" t="n">
        <v>146200</v>
      </c>
      <c r="E156" s="33" t="n">
        <f aca="false">'Color clustering'!E156</f>
        <v>9</v>
      </c>
      <c r="F156" s="15" t="n">
        <f aca="false">'Color clustering'!F156</f>
        <v>159991</v>
      </c>
      <c r="G156" s="33" t="n">
        <f aca="false">'Color clustering'!G156</f>
        <v>13819</v>
      </c>
      <c r="H156" s="14" t="n">
        <f aca="false">'Color clustering'!H156</f>
        <v>146181</v>
      </c>
      <c r="I156" s="12" t="n">
        <f aca="false">'Color classification'!E156</f>
        <v>14</v>
      </c>
      <c r="J156" s="15" t="n">
        <f aca="false">'Color classification'!F156</f>
        <v>159986</v>
      </c>
      <c r="K156" s="14" t="n">
        <f aca="false">'Color classification'!G156</f>
        <v>13807</v>
      </c>
      <c r="L156" s="13" t="n">
        <f aca="false">'Color classification'!H156</f>
        <v>146193</v>
      </c>
    </row>
    <row r="157" customFormat="false" ht="15" hidden="false" customHeight="false" outlineLevel="0" collapsed="false">
      <c r="A157" s="8"/>
      <c r="B157" s="14" t="n">
        <v>153</v>
      </c>
      <c r="C157" s="12" t="n">
        <v>13000</v>
      </c>
      <c r="D157" s="13" t="n">
        <v>147000</v>
      </c>
      <c r="E157" s="33" t="n">
        <f aca="false">'Color clustering'!E157</f>
        <v>0</v>
      </c>
      <c r="F157" s="15" t="n">
        <f aca="false">'Color clustering'!F157</f>
        <v>160000</v>
      </c>
      <c r="G157" s="33" t="n">
        <f aca="false">'Color clustering'!G157</f>
        <v>13000</v>
      </c>
      <c r="H157" s="14" t="n">
        <f aca="false">'Color clustering'!H157</f>
        <v>147000</v>
      </c>
      <c r="I157" s="12" t="n">
        <f aca="false">'Color classification'!E157</f>
        <v>16</v>
      </c>
      <c r="J157" s="15" t="n">
        <f aca="false">'Color classification'!F157</f>
        <v>159984</v>
      </c>
      <c r="K157" s="14" t="n">
        <f aca="false">'Color classification'!G157</f>
        <v>12999</v>
      </c>
      <c r="L157" s="13" t="n">
        <f aca="false">'Color classification'!H157</f>
        <v>147001</v>
      </c>
    </row>
    <row r="158" customFormat="false" ht="15" hidden="false" customHeight="false" outlineLevel="0" collapsed="false">
      <c r="A158" s="8"/>
      <c r="B158" s="14" t="n">
        <v>154</v>
      </c>
      <c r="C158" s="12" t="n">
        <v>12200</v>
      </c>
      <c r="D158" s="13" t="n">
        <v>147800</v>
      </c>
      <c r="E158" s="33" t="n">
        <f aca="false">'Color clustering'!E158</f>
        <v>46</v>
      </c>
      <c r="F158" s="15" t="n">
        <f aca="false">'Color clustering'!F158</f>
        <v>159954</v>
      </c>
      <c r="G158" s="33" t="n">
        <f aca="false">'Color clustering'!G158</f>
        <v>12200</v>
      </c>
      <c r="H158" s="14" t="n">
        <f aca="false">'Color clustering'!H158</f>
        <v>147800</v>
      </c>
      <c r="I158" s="12" t="n">
        <f aca="false">'Color classification'!E158</f>
        <v>0</v>
      </c>
      <c r="J158" s="15" t="n">
        <f aca="false">'Color classification'!F158</f>
        <v>160000</v>
      </c>
      <c r="K158" s="14" t="n">
        <f aca="false">'Color classification'!G158</f>
        <v>12210</v>
      </c>
      <c r="L158" s="13" t="n">
        <f aca="false">'Color classification'!H158</f>
        <v>147790</v>
      </c>
    </row>
    <row r="159" customFormat="false" ht="15" hidden="false" customHeight="false" outlineLevel="0" collapsed="false">
      <c r="A159" s="8"/>
      <c r="B159" s="14" t="n">
        <v>155</v>
      </c>
      <c r="C159" s="12" t="n">
        <v>11000</v>
      </c>
      <c r="D159" s="13" t="n">
        <v>149000</v>
      </c>
      <c r="E159" s="33" t="n">
        <f aca="false">'Color clustering'!E159</f>
        <v>26</v>
      </c>
      <c r="F159" s="15" t="n">
        <f aca="false">'Color clustering'!F159</f>
        <v>159974</v>
      </c>
      <c r="G159" s="33" t="n">
        <f aca="false">'Color clustering'!G159</f>
        <v>11007</v>
      </c>
      <c r="H159" s="14" t="n">
        <f aca="false">'Color clustering'!H159</f>
        <v>148993</v>
      </c>
      <c r="I159" s="12" t="n">
        <f aca="false">'Color classification'!E159</f>
        <v>47</v>
      </c>
      <c r="J159" s="15" t="n">
        <f aca="false">'Color classification'!F159</f>
        <v>159953</v>
      </c>
      <c r="K159" s="14" t="n">
        <f aca="false">'Color classification'!G159</f>
        <v>11004</v>
      </c>
      <c r="L159" s="13" t="n">
        <f aca="false">'Color classification'!H159</f>
        <v>148996</v>
      </c>
    </row>
    <row r="160" customFormat="false" ht="15" hidden="false" customHeight="false" outlineLevel="0" collapsed="false">
      <c r="A160" s="8"/>
      <c r="B160" s="14" t="n">
        <v>156</v>
      </c>
      <c r="C160" s="12" t="n">
        <v>9800</v>
      </c>
      <c r="D160" s="13" t="n">
        <v>150200</v>
      </c>
      <c r="E160" s="33" t="n">
        <f aca="false">'Color clustering'!E160</f>
        <v>199</v>
      </c>
      <c r="F160" s="15" t="n">
        <f aca="false">'Color clustering'!F160</f>
        <v>159801</v>
      </c>
      <c r="G160" s="33" t="n">
        <f aca="false">'Color clustering'!G160</f>
        <v>9800</v>
      </c>
      <c r="H160" s="14" t="n">
        <f aca="false">'Color clustering'!H160</f>
        <v>150200</v>
      </c>
      <c r="I160" s="12" t="n">
        <f aca="false">'Color classification'!E160</f>
        <v>0</v>
      </c>
      <c r="J160" s="15" t="n">
        <f aca="false">'Color classification'!F160</f>
        <v>160000</v>
      </c>
      <c r="K160" s="14" t="n">
        <f aca="false">'Color classification'!G160</f>
        <v>9813</v>
      </c>
      <c r="L160" s="13" t="n">
        <f aca="false">'Color classification'!H160</f>
        <v>150187</v>
      </c>
    </row>
    <row r="161" customFormat="false" ht="15" hidden="false" customHeight="false" outlineLevel="0" collapsed="false">
      <c r="A161" s="8"/>
      <c r="B161" s="14" t="n">
        <v>157</v>
      </c>
      <c r="C161" s="12" t="n">
        <v>8600</v>
      </c>
      <c r="D161" s="13" t="n">
        <v>151400</v>
      </c>
      <c r="E161" s="33" t="n">
        <f aca="false">'Color clustering'!E161</f>
        <v>854</v>
      </c>
      <c r="F161" s="15" t="n">
        <f aca="false">'Color clustering'!F161</f>
        <v>159146</v>
      </c>
      <c r="G161" s="33" t="n">
        <f aca="false">'Color clustering'!G161</f>
        <v>8600</v>
      </c>
      <c r="H161" s="14" t="n">
        <f aca="false">'Color clustering'!H161</f>
        <v>151400</v>
      </c>
      <c r="I161" s="12" t="n">
        <f aca="false">'Color classification'!E161</f>
        <v>0</v>
      </c>
      <c r="J161" s="15" t="n">
        <f aca="false">'Color classification'!F161</f>
        <v>160000</v>
      </c>
      <c r="K161" s="14" t="n">
        <f aca="false">'Color classification'!G161</f>
        <v>8600</v>
      </c>
      <c r="L161" s="13" t="n">
        <f aca="false">'Color classification'!H161</f>
        <v>151400</v>
      </c>
    </row>
    <row r="162" customFormat="false" ht="15" hidden="false" customHeight="false" outlineLevel="0" collapsed="false">
      <c r="A162" s="8"/>
      <c r="B162" s="14" t="n">
        <v>158</v>
      </c>
      <c r="C162" s="12" t="n">
        <v>7000</v>
      </c>
      <c r="D162" s="13" t="n">
        <v>153000</v>
      </c>
      <c r="E162" s="33" t="n">
        <f aca="false">'Color clustering'!E162</f>
        <v>0</v>
      </c>
      <c r="F162" s="15" t="n">
        <f aca="false">'Color clustering'!F162</f>
        <v>160000</v>
      </c>
      <c r="G162" s="33" t="n">
        <f aca="false">'Color clustering'!G162</f>
        <v>7000</v>
      </c>
      <c r="H162" s="14" t="n">
        <f aca="false">'Color clustering'!H162</f>
        <v>153000</v>
      </c>
      <c r="I162" s="12" t="n">
        <f aca="false">'Color classification'!E162</f>
        <v>16</v>
      </c>
      <c r="J162" s="15" t="n">
        <f aca="false">'Color classification'!F162</f>
        <v>159984</v>
      </c>
      <c r="K162" s="14" t="n">
        <f aca="false">'Color classification'!G162</f>
        <v>7001</v>
      </c>
      <c r="L162" s="13" t="n">
        <f aca="false">'Color classification'!H162</f>
        <v>152999</v>
      </c>
    </row>
    <row r="163" customFormat="false" ht="15" hidden="false" customHeight="false" outlineLevel="0" collapsed="false">
      <c r="A163" s="8"/>
      <c r="B163" s="14" t="n">
        <v>159</v>
      </c>
      <c r="C163" s="12" t="n">
        <v>5000</v>
      </c>
      <c r="D163" s="13" t="n">
        <v>155000</v>
      </c>
      <c r="E163" s="33" t="n">
        <f aca="false">'Color clustering'!E163</f>
        <v>207</v>
      </c>
      <c r="F163" s="15" t="n">
        <f aca="false">'Color clustering'!F163</f>
        <v>159793</v>
      </c>
      <c r="G163" s="33" t="n">
        <f aca="false">'Color clustering'!G163</f>
        <v>5000</v>
      </c>
      <c r="H163" s="14" t="n">
        <f aca="false">'Color clustering'!H163</f>
        <v>155000</v>
      </c>
      <c r="I163" s="12" t="n">
        <f aca="false">'Color classification'!E163</f>
        <v>336</v>
      </c>
      <c r="J163" s="15" t="n">
        <f aca="false">'Color classification'!F163</f>
        <v>159664</v>
      </c>
      <c r="K163" s="14" t="n">
        <f aca="false">'Color classification'!G163</f>
        <v>5002</v>
      </c>
      <c r="L163" s="13" t="n">
        <f aca="false">'Color classification'!H163</f>
        <v>154998</v>
      </c>
    </row>
    <row r="164" customFormat="false" ht="15" hidden="false" customHeight="false" outlineLevel="0" collapsed="false">
      <c r="A164" s="8"/>
      <c r="B164" s="14" t="n">
        <v>160</v>
      </c>
      <c r="C164" s="12" t="n">
        <v>200</v>
      </c>
      <c r="D164" s="13" t="n">
        <v>159800</v>
      </c>
      <c r="E164" s="33" t="n">
        <f aca="false">'Color clustering'!E164</f>
        <v>4</v>
      </c>
      <c r="F164" s="15" t="n">
        <f aca="false">'Color clustering'!F164</f>
        <v>159996</v>
      </c>
      <c r="G164" s="33" t="n">
        <f aca="false">'Color clustering'!G164</f>
        <v>199</v>
      </c>
      <c r="H164" s="14" t="n">
        <f aca="false">'Color clustering'!H164</f>
        <v>159801</v>
      </c>
      <c r="I164" s="12" t="n">
        <f aca="false">'Color classification'!E164</f>
        <v>0</v>
      </c>
      <c r="J164" s="15" t="n">
        <f aca="false">'Color classification'!F164</f>
        <v>160000</v>
      </c>
      <c r="K164" s="14" t="n">
        <f aca="false">'Color classification'!G164</f>
        <v>0</v>
      </c>
      <c r="L164" s="13" t="n">
        <f aca="false">'Color classification'!H164</f>
        <v>160000</v>
      </c>
    </row>
    <row r="165" customFormat="false" ht="15" hidden="false" customHeight="false" outlineLevel="0" collapsed="false">
      <c r="A165" s="8"/>
      <c r="B165" s="16" t="s">
        <v>8</v>
      </c>
      <c r="C165" s="17" t="n">
        <f aca="false">SUM(C4:C164)</f>
        <v>4016200</v>
      </c>
      <c r="D165" s="18" t="n">
        <f aca="false">SUM(D4:D164)</f>
        <v>21743800</v>
      </c>
      <c r="E165" s="34" t="n">
        <f aca="false">SUM(E4:E164)</f>
        <v>28799</v>
      </c>
      <c r="F165" s="20" t="n">
        <f aca="false">SUM(F4:F164)</f>
        <v>25731201</v>
      </c>
      <c r="G165" s="34" t="n">
        <f aca="false">SUM(G4:G164)</f>
        <v>4017828</v>
      </c>
      <c r="H165" s="19" t="n">
        <f aca="false">SUM(H4:H164)</f>
        <v>21742172</v>
      </c>
      <c r="I165" s="17" t="n">
        <f aca="false">SUM(I4:I164)</f>
        <v>142984</v>
      </c>
      <c r="J165" s="20" t="n">
        <f aca="false">SUM(J4:J164)</f>
        <v>25617016</v>
      </c>
      <c r="K165" s="19" t="n">
        <f aca="false">SUM(K4:K164)</f>
        <v>4016205</v>
      </c>
      <c r="L165" s="18" t="n">
        <f aca="false">SUM(L4:L164)</f>
        <v>21743795</v>
      </c>
    </row>
    <row r="170" customFormat="false" ht="15" hidden="false" customHeight="false" outlineLevel="0" collapsed="false">
      <c r="A170" s="2"/>
      <c r="B170" s="3" t="s">
        <v>0</v>
      </c>
      <c r="C170" s="21" t="s">
        <v>17</v>
      </c>
      <c r="D170" s="21"/>
      <c r="E170" s="21"/>
      <c r="F170" s="21"/>
      <c r="G170" s="21"/>
      <c r="H170" s="21"/>
      <c r="I170" s="21" t="s">
        <v>18</v>
      </c>
      <c r="J170" s="21"/>
      <c r="K170" s="21"/>
      <c r="L170" s="21"/>
      <c r="M170" s="21"/>
      <c r="N170" s="21"/>
    </row>
    <row r="171" customFormat="false" ht="15" hidden="false" customHeight="false" outlineLevel="0" collapsed="false">
      <c r="A171" s="2"/>
      <c r="B171" s="3"/>
      <c r="C171" s="21" t="s">
        <v>3</v>
      </c>
      <c r="D171" s="21"/>
      <c r="E171" s="21"/>
      <c r="F171" s="7" t="s">
        <v>4</v>
      </c>
      <c r="G171" s="7"/>
      <c r="H171" s="7"/>
      <c r="I171" s="21" t="s">
        <v>3</v>
      </c>
      <c r="J171" s="21"/>
      <c r="K171" s="21"/>
      <c r="L171" s="7" t="s">
        <v>4</v>
      </c>
      <c r="M171" s="7"/>
      <c r="N171" s="7"/>
    </row>
    <row r="172" customFormat="false" ht="15" hidden="false" customHeight="false" outlineLevel="0" collapsed="false">
      <c r="A172" s="8" t="s">
        <v>10</v>
      </c>
      <c r="B172" s="3"/>
      <c r="C172" s="27" t="str">
        <f aca="false">'Comparison with original'!E3</f>
        <v>#e65a4a</v>
      </c>
      <c r="D172" s="22" t="str">
        <f aca="false">'Comparison with original'!F3</f>
        <v>#ffffff</v>
      </c>
      <c r="E172" s="23"/>
      <c r="F172" s="9" t="str">
        <f aca="false">G3</f>
        <v>#e65a4a</v>
      </c>
      <c r="G172" s="22" t="str">
        <f aca="false">H3</f>
        <v>#ffffff</v>
      </c>
      <c r="H172" s="23"/>
      <c r="I172" s="27" t="str">
        <f aca="false">'Comparison with original'!K3</f>
        <v>#e65a49</v>
      </c>
      <c r="J172" s="35" t="str">
        <f aca="false">'Comparison with original'!L3</f>
        <v>#ffffff</v>
      </c>
      <c r="K172" s="23"/>
      <c r="L172" s="27" t="str">
        <f aca="false">'Comparison with original'!K3</f>
        <v>#e65a49</v>
      </c>
      <c r="M172" s="35" t="str">
        <f aca="false">'Comparison with original'!L3</f>
        <v>#ffffff</v>
      </c>
      <c r="N172" s="23"/>
    </row>
    <row r="173" customFormat="false" ht="15" hidden="false" customHeight="false" outlineLevel="0" collapsed="false">
      <c r="A173" s="8"/>
      <c r="B173" s="14" t="n">
        <v>0</v>
      </c>
      <c r="C173" s="36" t="n">
        <f aca="false">(ABS(C4-E4)/C4)*100</f>
        <v>0</v>
      </c>
      <c r="D173" s="14" t="n">
        <f aca="false">(ABS(D4-F4)/D4)*100</f>
        <v>0</v>
      </c>
      <c r="E173" s="23"/>
      <c r="F173" s="33" t="n">
        <f aca="false">(ABS(C4-G4)/C4)*100</f>
        <v>0</v>
      </c>
      <c r="G173" s="14" t="n">
        <f aca="false">(ABS(D4-H4)/D4)*100</f>
        <v>0</v>
      </c>
      <c r="H173" s="23"/>
      <c r="I173" s="12" t="n">
        <f aca="false">(ABS(C4-I4)/C4)*100</f>
        <v>0</v>
      </c>
      <c r="J173" s="14" t="n">
        <f aca="false">(ABS(D4-J4)/D4)*100</f>
        <v>0</v>
      </c>
      <c r="K173" s="23"/>
      <c r="L173" s="14" t="n">
        <f aca="false">(ABS(C4-K4)/C4)*100</f>
        <v>0</v>
      </c>
      <c r="M173" s="14" t="n">
        <f aca="false">(ABS(D4-L4)/D4)*100</f>
        <v>0</v>
      </c>
      <c r="N173" s="23"/>
    </row>
    <row r="174" customFormat="false" ht="15" hidden="false" customHeight="false" outlineLevel="0" collapsed="false">
      <c r="A174" s="8"/>
      <c r="B174" s="14" t="n">
        <v>1</v>
      </c>
      <c r="C174" s="36" t="n">
        <f aca="false">(ABS(C5-E5)/C5)*100</f>
        <v>100</v>
      </c>
      <c r="D174" s="14" t="n">
        <f aca="false">(ABS(D5-F5)/D5)*100</f>
        <v>3.2258064516129</v>
      </c>
      <c r="E174" s="23"/>
      <c r="F174" s="33" t="n">
        <f aca="false">(ABS(C5-G5)/C5)*100</f>
        <v>0.02</v>
      </c>
      <c r="G174" s="14" t="n">
        <f aca="false">(ABS(D5-H5)/D5)*100</f>
        <v>0.000645161290322581</v>
      </c>
      <c r="H174" s="23"/>
      <c r="I174" s="12" t="n">
        <f aca="false">(ABS(C5-I5)/C5)*100</f>
        <v>100</v>
      </c>
      <c r="J174" s="14" t="n">
        <f aca="false">(ABS(D5-J5)/D5)*100</f>
        <v>3.2258064516129</v>
      </c>
      <c r="K174" s="23"/>
      <c r="L174" s="14" t="n">
        <f aca="false">(ABS(C5-K5)/C5)*100</f>
        <v>0.02</v>
      </c>
      <c r="M174" s="14" t="n">
        <f aca="false">(ABS(D5-L5)/D5)*100</f>
        <v>0.000645161290322581</v>
      </c>
      <c r="N174" s="23"/>
    </row>
    <row r="175" customFormat="false" ht="15" hidden="false" customHeight="false" outlineLevel="0" collapsed="false">
      <c r="A175" s="8"/>
      <c r="B175" s="14" t="n">
        <v>2</v>
      </c>
      <c r="C175" s="36" t="n">
        <f aca="false">(ABS(C6-E6)/C6)*100</f>
        <v>100</v>
      </c>
      <c r="D175" s="14" t="n">
        <f aca="false">(ABS(D6-F6)/D6)*100</f>
        <v>4.57516339869281</v>
      </c>
      <c r="E175" s="23"/>
      <c r="F175" s="33" t="n">
        <f aca="false">(ABS(C6-G6)/C6)*100</f>
        <v>0.2</v>
      </c>
      <c r="G175" s="14" t="n">
        <f aca="false">(ABS(D6-H6)/D6)*100</f>
        <v>0.00915032679738562</v>
      </c>
      <c r="H175" s="23"/>
      <c r="I175" s="12" t="n">
        <f aca="false">(ABS(C6-I6)/C6)*100</f>
        <v>100</v>
      </c>
      <c r="J175" s="14" t="n">
        <f aca="false">(ABS(D6-J6)/D6)*100</f>
        <v>4.57516339869281</v>
      </c>
      <c r="K175" s="23"/>
      <c r="L175" s="14" t="n">
        <f aca="false">(ABS(C6-K6)/C6)*100</f>
        <v>0.185714285714286</v>
      </c>
      <c r="M175" s="14" t="n">
        <f aca="false">(ABS(D6-L6)/D6)*100</f>
        <v>0.00849673202614379</v>
      </c>
      <c r="N175" s="23"/>
    </row>
    <row r="176" customFormat="false" ht="15" hidden="false" customHeight="false" outlineLevel="0" collapsed="false">
      <c r="A176" s="8"/>
      <c r="B176" s="14" t="n">
        <v>3</v>
      </c>
      <c r="C176" s="36" t="n">
        <f aca="false">(ABS(C7-E7)/C7)*100</f>
        <v>100</v>
      </c>
      <c r="D176" s="14" t="n">
        <f aca="false">(ABS(D7-F7)/D7)*100</f>
        <v>5.68031704095112</v>
      </c>
      <c r="E176" s="23"/>
      <c r="F176" s="33" t="n">
        <f aca="false">(ABS(C7-G7)/C7)*100</f>
        <v>0.0116279069767442</v>
      </c>
      <c r="G176" s="14" t="n">
        <f aca="false">(ABS(D7-H7)/D7)*100</f>
        <v>0.000660501981505945</v>
      </c>
      <c r="H176" s="23"/>
      <c r="I176" s="12" t="n">
        <f aca="false">(ABS(C7-I7)/C7)*100</f>
        <v>100</v>
      </c>
      <c r="J176" s="14" t="n">
        <f aca="false">(ABS(D7-J7)/D7)*100</f>
        <v>5.68031704095112</v>
      </c>
      <c r="K176" s="23"/>
      <c r="L176" s="14" t="n">
        <f aca="false">(ABS(C7-K7)/C7)*100</f>
        <v>0.0116279069767442</v>
      </c>
      <c r="M176" s="14" t="n">
        <f aca="false">(ABS(D7-L7)/D7)*100</f>
        <v>0.000660501981505945</v>
      </c>
      <c r="N176" s="23"/>
    </row>
    <row r="177" customFormat="false" ht="15" hidden="false" customHeight="false" outlineLevel="0" collapsed="false">
      <c r="A177" s="8"/>
      <c r="B177" s="14" t="n">
        <v>4</v>
      </c>
      <c r="C177" s="36" t="n">
        <f aca="false">(ABS(C8-E8)/C8)*100</f>
        <v>99.9897959183674</v>
      </c>
      <c r="D177" s="14" t="n">
        <f aca="false">(ABS(D8-F8)/D8)*100</f>
        <v>6.52396804260985</v>
      </c>
      <c r="E177" s="23"/>
      <c r="F177" s="33" t="n">
        <f aca="false">(ABS(C8-G8)/C8)*100</f>
        <v>0.102040816326531</v>
      </c>
      <c r="G177" s="14" t="n">
        <f aca="false">(ABS(D8-H8)/D8)*100</f>
        <v>0.0066577896138482</v>
      </c>
      <c r="H177" s="23"/>
      <c r="I177" s="12" t="n">
        <f aca="false">(ABS(C8-I8)/C8)*100</f>
        <v>99.9897959183674</v>
      </c>
      <c r="J177" s="14" t="n">
        <f aca="false">(ABS(D8-J8)/D8)*100</f>
        <v>6.52396804260985</v>
      </c>
      <c r="K177" s="23"/>
      <c r="L177" s="14" t="n">
        <f aca="false">(ABS(C8-K8)/C8)*100</f>
        <v>0.0714285714285714</v>
      </c>
      <c r="M177" s="14" t="n">
        <f aca="false">(ABS(D8-L8)/D8)*100</f>
        <v>0.00466045272969374</v>
      </c>
      <c r="N177" s="23"/>
    </row>
    <row r="178" customFormat="false" ht="15" hidden="false" customHeight="false" outlineLevel="0" collapsed="false">
      <c r="A178" s="8"/>
      <c r="B178" s="14" t="n">
        <v>5</v>
      </c>
      <c r="C178" s="36" t="n">
        <f aca="false">(ABS(C9-E9)/C9)*100</f>
        <v>99.9818181818182</v>
      </c>
      <c r="D178" s="14" t="n">
        <f aca="false">(ABS(D9-F9)/D9)*100</f>
        <v>7.38120805369128</v>
      </c>
      <c r="E178" s="23"/>
      <c r="F178" s="33" t="n">
        <f aca="false">(ABS(C9-G9)/C9)*100</f>
        <v>0.0181818181818182</v>
      </c>
      <c r="G178" s="14" t="n">
        <f aca="false">(ABS(D9-H9)/D9)*100</f>
        <v>0.00134228187919463</v>
      </c>
      <c r="H178" s="23"/>
      <c r="I178" s="12" t="n">
        <f aca="false">(ABS(C9-I9)/C9)*100</f>
        <v>99.9181818181818</v>
      </c>
      <c r="J178" s="14" t="n">
        <f aca="false">(ABS(D9-J9)/D9)*100</f>
        <v>7.37651006711409</v>
      </c>
      <c r="K178" s="23"/>
      <c r="L178" s="14" t="n">
        <f aca="false">(ABS(C9-K9)/C9)*100</f>
        <v>0.00909090909090909</v>
      </c>
      <c r="M178" s="14" t="n">
        <f aca="false">(ABS(D9-L9)/D9)*100</f>
        <v>0.000671140939597316</v>
      </c>
      <c r="N178" s="23"/>
    </row>
    <row r="179" customFormat="false" ht="15" hidden="false" customHeight="false" outlineLevel="0" collapsed="false">
      <c r="A179" s="8"/>
      <c r="B179" s="14" t="n">
        <v>6</v>
      </c>
      <c r="C179" s="36" t="n">
        <f aca="false">(ABS(C10-E10)/C10)*100</f>
        <v>99.327868852459</v>
      </c>
      <c r="D179" s="14" t="n">
        <f aca="false">(ABS(D10-F10)/D10)*100</f>
        <v>8.19891745602165</v>
      </c>
      <c r="E179" s="23"/>
      <c r="F179" s="33" t="n">
        <f aca="false">(ABS(C10-G10)/C10)*100</f>
        <v>0.00819672131147541</v>
      </c>
      <c r="G179" s="14" t="n">
        <f aca="false">(ABS(D10-H10)/D10)*100</f>
        <v>0.0006765899864682</v>
      </c>
      <c r="H179" s="23"/>
      <c r="I179" s="12" t="n">
        <f aca="false">(ABS(C10-I10)/C10)*100</f>
        <v>99.8934426229508</v>
      </c>
      <c r="J179" s="14" t="n">
        <f aca="false">(ABS(D10-J10)/D10)*100</f>
        <v>8.24560216508796</v>
      </c>
      <c r="K179" s="23"/>
      <c r="L179" s="14" t="n">
        <f aca="false">(ABS(C10-K10)/C10)*100</f>
        <v>0.0163934426229508</v>
      </c>
      <c r="M179" s="14" t="n">
        <f aca="false">(ABS(D10-L10)/D10)*100</f>
        <v>0.0013531799729364</v>
      </c>
      <c r="N179" s="23"/>
    </row>
    <row r="180" customFormat="false" ht="15" hidden="false" customHeight="false" outlineLevel="0" collapsed="false">
      <c r="A180" s="8"/>
      <c r="B180" s="14" t="n">
        <v>7</v>
      </c>
      <c r="C180" s="36" t="n">
        <f aca="false">(ABS(C11-E11)/C11)*100</f>
        <v>99.9846153846154</v>
      </c>
      <c r="D180" s="14" t="n">
        <f aca="false">(ABS(D11-F11)/D11)*100</f>
        <v>8.8421768707483</v>
      </c>
      <c r="E180" s="23"/>
      <c r="F180" s="33" t="n">
        <f aca="false">(ABS(C11-G11)/C11)*100</f>
        <v>0.00769230769230769</v>
      </c>
      <c r="G180" s="14" t="n">
        <f aca="false">(ABS(D11-H11)/D11)*100</f>
        <v>0.000680272108843538</v>
      </c>
      <c r="H180" s="23"/>
      <c r="I180" s="12" t="n">
        <f aca="false">(ABS(C11-I11)/C11)*100</f>
        <v>99.7076923076923</v>
      </c>
      <c r="J180" s="14" t="n">
        <f aca="false">(ABS(D11-J11)/D11)*100</f>
        <v>8.81768707482993</v>
      </c>
      <c r="K180" s="23"/>
      <c r="L180" s="14" t="n">
        <f aca="false">(ABS(C11-K11)/C11)*100</f>
        <v>0.0153846153846154</v>
      </c>
      <c r="M180" s="14" t="n">
        <f aca="false">(ABS(D11-L11)/D11)*100</f>
        <v>0.00136054421768708</v>
      </c>
      <c r="N180" s="23"/>
    </row>
    <row r="181" customFormat="false" ht="15" hidden="false" customHeight="false" outlineLevel="0" collapsed="false">
      <c r="A181" s="8"/>
      <c r="B181" s="14" t="n">
        <v>8</v>
      </c>
      <c r="C181" s="36" t="n">
        <f aca="false">(ABS(C12-E12)/C12)*100</f>
        <v>99.9492753623188</v>
      </c>
      <c r="D181" s="14" t="n">
        <f aca="false">(ABS(D12-F12)/D12)*100</f>
        <v>9.4343365253078</v>
      </c>
      <c r="E181" s="23"/>
      <c r="F181" s="33" t="n">
        <f aca="false">(ABS(C12-G12)/C12)*100</f>
        <v>0.0144927536231884</v>
      </c>
      <c r="G181" s="14" t="n">
        <f aca="false">(ABS(D12-H12)/D12)*100</f>
        <v>0.00136798905608755</v>
      </c>
      <c r="H181" s="23"/>
      <c r="I181" s="12" t="n">
        <f aca="false">(ABS(C12-I12)/C12)*100</f>
        <v>99.6884057971015</v>
      </c>
      <c r="J181" s="14" t="n">
        <f aca="false">(ABS(D12-J12)/D12)*100</f>
        <v>9.40971272229822</v>
      </c>
      <c r="K181" s="23"/>
      <c r="L181" s="14" t="n">
        <f aca="false">(ABS(C12-K12)/C12)*100</f>
        <v>0.0072463768115942</v>
      </c>
      <c r="M181" s="14" t="n">
        <f aca="false">(ABS(D12-L12)/D12)*100</f>
        <v>0.000683994528043776</v>
      </c>
      <c r="N181" s="23"/>
    </row>
    <row r="182" customFormat="false" ht="15" hidden="false" customHeight="false" outlineLevel="0" collapsed="false">
      <c r="A182" s="8"/>
      <c r="B182" s="14" t="n">
        <v>9</v>
      </c>
      <c r="C182" s="36" t="n">
        <f aca="false">(ABS(C13-E13)/C13)*100</f>
        <v>99.8630136986301</v>
      </c>
      <c r="D182" s="14" t="n">
        <f aca="false">(ABS(D13-F13)/D13)*100</f>
        <v>10.0275103163686</v>
      </c>
      <c r="E182" s="23"/>
      <c r="F182" s="33" t="n">
        <f aca="false">(ABS(C13-G13)/C13)*100</f>
        <v>0.00684931506849315</v>
      </c>
      <c r="G182" s="14" t="n">
        <f aca="false">(ABS(D13-H13)/D13)*100</f>
        <v>0.000687757909215956</v>
      </c>
      <c r="H182" s="23"/>
      <c r="I182" s="12" t="n">
        <f aca="false">(ABS(C13-I13)/C13)*100</f>
        <v>99.7191780821918</v>
      </c>
      <c r="J182" s="14" t="n">
        <f aca="false">(ABS(D13-J13)/D13)*100</f>
        <v>10.0130674002751</v>
      </c>
      <c r="K182" s="23"/>
      <c r="L182" s="14" t="n">
        <f aca="false">(ABS(C13-K13)/C13)*100</f>
        <v>0.0136986301369863</v>
      </c>
      <c r="M182" s="14" t="n">
        <f aca="false">(ABS(D13-L13)/D13)*100</f>
        <v>0.00137551581843191</v>
      </c>
      <c r="N182" s="23"/>
    </row>
    <row r="183" customFormat="false" ht="15" hidden="false" customHeight="false" outlineLevel="0" collapsed="false">
      <c r="A183" s="8"/>
      <c r="B183" s="14" t="n">
        <v>10</v>
      </c>
      <c r="C183" s="36" t="n">
        <f aca="false">(ABS(C14-E14)/C14)*100</f>
        <v>99.948051948052</v>
      </c>
      <c r="D183" s="14" t="n">
        <f aca="false">(ABS(D14-F14)/D14)*100</f>
        <v>10.6445366528354</v>
      </c>
      <c r="E183" s="23"/>
      <c r="F183" s="33" t="n">
        <f aca="false">(ABS(C14-G14)/C14)*100</f>
        <v>0.012987012987013</v>
      </c>
      <c r="G183" s="14" t="n">
        <f aca="false">(ABS(D14-H14)/D14)*100</f>
        <v>0.00138312586445367</v>
      </c>
      <c r="H183" s="23"/>
      <c r="I183" s="12" t="n">
        <f aca="false">(ABS(C14-I14)/C14)*100</f>
        <v>99.9805194805195</v>
      </c>
      <c r="J183" s="14" t="n">
        <f aca="false">(ABS(D14-J14)/D14)*100</f>
        <v>10.6479944674965</v>
      </c>
      <c r="K183" s="23"/>
      <c r="L183" s="14" t="n">
        <f aca="false">(ABS(C14-K14)/C14)*100</f>
        <v>0.012987012987013</v>
      </c>
      <c r="M183" s="14" t="n">
        <f aca="false">(ABS(D14-L14)/D14)*100</f>
        <v>0.00138312586445367</v>
      </c>
      <c r="N183" s="23"/>
    </row>
    <row r="184" customFormat="false" ht="15" hidden="false" customHeight="false" outlineLevel="0" collapsed="false">
      <c r="A184" s="8"/>
      <c r="B184" s="14" t="n">
        <v>11</v>
      </c>
      <c r="C184" s="36" t="n">
        <f aca="false">(ABS(C15-E15)/C15)*100</f>
        <v>99.9567901234568</v>
      </c>
      <c r="D184" s="14" t="n">
        <f aca="false">(ABS(D15-F15)/D15)*100</f>
        <v>11.2607788595271</v>
      </c>
      <c r="E184" s="23"/>
      <c r="F184" s="33" t="n">
        <f aca="false">(ABS(C15-G15)/C15)*100</f>
        <v>0.00617283950617284</v>
      </c>
      <c r="G184" s="14" t="n">
        <f aca="false">(ABS(D15-H15)/D15)*100</f>
        <v>0.000695410292072323</v>
      </c>
      <c r="H184" s="23"/>
      <c r="I184" s="12" t="n">
        <f aca="false">(ABS(C15-I15)/C15)*100</f>
        <v>100</v>
      </c>
      <c r="J184" s="14" t="n">
        <f aca="false">(ABS(D15-J15)/D15)*100</f>
        <v>11.2656467315716</v>
      </c>
      <c r="K184" s="23"/>
      <c r="L184" s="14" t="n">
        <f aca="false">(ABS(C15-K15)/C15)*100</f>
        <v>0.0123456790123457</v>
      </c>
      <c r="M184" s="14" t="n">
        <f aca="false">(ABS(D15-L15)/D15)*100</f>
        <v>0.00139082058414465</v>
      </c>
      <c r="N184" s="23"/>
    </row>
    <row r="185" customFormat="false" ht="15" hidden="false" customHeight="false" outlineLevel="0" collapsed="false">
      <c r="A185" s="8"/>
      <c r="B185" s="14" t="n">
        <v>12</v>
      </c>
      <c r="C185" s="36" t="n">
        <f aca="false">(ABS(C16-E16)/C16)*100</f>
        <v>99.9647058823529</v>
      </c>
      <c r="D185" s="14" t="n">
        <f aca="false">(ABS(D16-F16)/D16)*100</f>
        <v>11.8839160839161</v>
      </c>
      <c r="E185" s="23"/>
      <c r="F185" s="33" t="n">
        <f aca="false">(ABS(C16-G16)/C16)*100</f>
        <v>0.00588235294117647</v>
      </c>
      <c r="G185" s="14" t="n">
        <f aca="false">(ABS(D16-H16)/D16)*100</f>
        <v>0.000699300699300699</v>
      </c>
      <c r="H185" s="23"/>
      <c r="I185" s="12" t="n">
        <f aca="false">(ABS(C16-I16)/C16)*100</f>
        <v>99.9588235294118</v>
      </c>
      <c r="J185" s="14" t="n">
        <f aca="false">(ABS(D16-J16)/D16)*100</f>
        <v>11.8832167832168</v>
      </c>
      <c r="K185" s="23"/>
      <c r="L185" s="14" t="n">
        <f aca="false">(ABS(C16-K16)/C16)*100</f>
        <v>0.00588235294117647</v>
      </c>
      <c r="M185" s="14" t="n">
        <f aca="false">(ABS(D16-L16)/D16)*100</f>
        <v>0.000699300699300699</v>
      </c>
      <c r="N185" s="23"/>
    </row>
    <row r="186" customFormat="false" ht="15" hidden="false" customHeight="false" outlineLevel="0" collapsed="false">
      <c r="A186" s="8"/>
      <c r="B186" s="14" t="n">
        <v>13</v>
      </c>
      <c r="C186" s="36" t="n">
        <f aca="false">(ABS(C17-E17)/C17)*100</f>
        <v>99.9195402298851</v>
      </c>
      <c r="D186" s="14" t="n">
        <f aca="false">(ABS(D17-F17)/D17)*100</f>
        <v>12.1921458625526</v>
      </c>
      <c r="E186" s="23"/>
      <c r="F186" s="33" t="n">
        <f aca="false">(ABS(C17-G17)/C17)*100</f>
        <v>0.0804597701149425</v>
      </c>
      <c r="G186" s="14" t="n">
        <f aca="false">(ABS(D17-H17)/D17)*100</f>
        <v>0.00981767180925666</v>
      </c>
      <c r="H186" s="23"/>
      <c r="I186" s="12" t="n">
        <f aca="false">(ABS(C17-I17)/C17)*100</f>
        <v>99.6954022988506</v>
      </c>
      <c r="J186" s="14" t="n">
        <f aca="false">(ABS(D17-J17)/D17)*100</f>
        <v>12.1647966339411</v>
      </c>
      <c r="K186" s="23"/>
      <c r="L186" s="14" t="n">
        <f aca="false">(ABS(C17-K17)/C17)*100</f>
        <v>0.0114942528735632</v>
      </c>
      <c r="M186" s="14" t="n">
        <f aca="false">(ABS(D17-L17)/D17)*100</f>
        <v>0.00140252454417952</v>
      </c>
      <c r="N186" s="23"/>
    </row>
    <row r="187" customFormat="false" ht="15" hidden="false" customHeight="false" outlineLevel="0" collapsed="false">
      <c r="A187" s="8"/>
      <c r="B187" s="14" t="n">
        <v>14</v>
      </c>
      <c r="C187" s="36" t="n">
        <f aca="false">(ABS(C18-E18)/C18)*100</f>
        <v>99.989010989011</v>
      </c>
      <c r="D187" s="14" t="n">
        <f aca="false">(ABS(D18-F18)/D18)*100</f>
        <v>12.8335684062059</v>
      </c>
      <c r="E187" s="23"/>
      <c r="F187" s="33" t="n">
        <f aca="false">(ABS(C18-G18)/C18)*100</f>
        <v>0.00549450549450549</v>
      </c>
      <c r="G187" s="14" t="n">
        <f aca="false">(ABS(D18-H18)/D18)*100</f>
        <v>0.000705218617771509</v>
      </c>
      <c r="H187" s="23"/>
      <c r="I187" s="12" t="n">
        <f aca="false">(ABS(C18-I18)/C18)*100</f>
        <v>99.9340659340659</v>
      </c>
      <c r="J187" s="14" t="n">
        <f aca="false">(ABS(D18-J18)/D18)*100</f>
        <v>12.8265162200282</v>
      </c>
      <c r="K187" s="23"/>
      <c r="L187" s="14" t="n">
        <f aca="false">(ABS(C18-K18)/C18)*100</f>
        <v>0.00549450549450549</v>
      </c>
      <c r="M187" s="14" t="n">
        <f aca="false">(ABS(D18-L18)/D18)*100</f>
        <v>0.000705218617771509</v>
      </c>
      <c r="N187" s="23"/>
    </row>
    <row r="188" customFormat="false" ht="15" hidden="false" customHeight="false" outlineLevel="0" collapsed="false">
      <c r="A188" s="8"/>
      <c r="B188" s="14" t="n">
        <v>15</v>
      </c>
      <c r="C188" s="36" t="n">
        <f aca="false">(ABS(C19-E19)/C19)*100</f>
        <v>99.989247311828</v>
      </c>
      <c r="D188" s="14" t="n">
        <f aca="false">(ABS(D19-F19)/D19)*100</f>
        <v>13.1527581329562</v>
      </c>
      <c r="E188" s="23"/>
      <c r="F188" s="33" t="n">
        <f aca="false">(ABS(C19-G19)/C19)*100</f>
        <v>0.00537634408602151</v>
      </c>
      <c r="G188" s="14" t="n">
        <f aca="false">(ABS(D19-H19)/D19)*100</f>
        <v>0.000707213578500707</v>
      </c>
      <c r="H188" s="23"/>
      <c r="I188" s="12" t="n">
        <f aca="false">(ABS(C19-I19)/C19)*100</f>
        <v>99.9731182795699</v>
      </c>
      <c r="J188" s="14" t="n">
        <f aca="false">(ABS(D19-J19)/D19)*100</f>
        <v>13.1506364922207</v>
      </c>
      <c r="K188" s="23"/>
      <c r="L188" s="14" t="n">
        <f aca="false">(ABS(C19-K19)/C19)*100</f>
        <v>0.0161290322580645</v>
      </c>
      <c r="M188" s="14" t="n">
        <f aca="false">(ABS(D19-L19)/D19)*100</f>
        <v>0.00212164073550212</v>
      </c>
      <c r="N188" s="23"/>
    </row>
    <row r="189" customFormat="false" ht="15" hidden="false" customHeight="false" outlineLevel="0" collapsed="false">
      <c r="A189" s="8"/>
      <c r="B189" s="14" t="n">
        <v>16</v>
      </c>
      <c r="C189" s="36" t="n">
        <f aca="false">(ABS(C20-E20)/C20)*100</f>
        <v>95.6030927835052</v>
      </c>
      <c r="D189" s="14" t="n">
        <f aca="false">(ABS(D20-F20)/D20)*100</f>
        <v>13.1913229018492</v>
      </c>
      <c r="E189" s="23"/>
      <c r="F189" s="33" t="n">
        <f aca="false">(ABS(C20-G20)/C20)*100</f>
        <v>0.0103092783505155</v>
      </c>
      <c r="G189" s="14" t="n">
        <f aca="false">(ABS(D20-H20)/D20)*100</f>
        <v>0.00142247510668563</v>
      </c>
      <c r="H189" s="23"/>
      <c r="I189" s="12" t="n">
        <f aca="false">(ABS(C20-I20)/C20)*100</f>
        <v>99.9587628865979</v>
      </c>
      <c r="J189" s="14" t="n">
        <f aca="false">(ABS(D20-J20)/D20)*100</f>
        <v>13.7923186344239</v>
      </c>
      <c r="K189" s="23"/>
      <c r="L189" s="14" t="n">
        <f aca="false">(ABS(C20-K20)/C20)*100</f>
        <v>0.0154639175257732</v>
      </c>
      <c r="M189" s="14" t="n">
        <f aca="false">(ABS(D20-L20)/D20)*100</f>
        <v>0.00213371266002845</v>
      </c>
      <c r="N189" s="23"/>
    </row>
    <row r="190" customFormat="false" ht="15" hidden="false" customHeight="false" outlineLevel="0" collapsed="false">
      <c r="A190" s="8"/>
      <c r="B190" s="14" t="n">
        <v>17</v>
      </c>
      <c r="C190" s="36" t="n">
        <f aca="false">(ABS(C21-E21)/C21)*100</f>
        <v>99.8787878787879</v>
      </c>
      <c r="D190" s="14" t="n">
        <f aca="false">(ABS(D21-F21)/D21)*100</f>
        <v>14.1055634807418</v>
      </c>
      <c r="E190" s="23"/>
      <c r="F190" s="33" t="n">
        <f aca="false">(ABS(C21-G21)/C21)*100</f>
        <v>0.0151515151515152</v>
      </c>
      <c r="G190" s="14" t="n">
        <f aca="false">(ABS(D21-H21)/D21)*100</f>
        <v>0.0021398002853067</v>
      </c>
      <c r="H190" s="23"/>
      <c r="I190" s="12" t="n">
        <f aca="false">(ABS(C21-I21)/C21)*100</f>
        <v>99.989898989899</v>
      </c>
      <c r="J190" s="14" t="n">
        <f aca="false">(ABS(D21-J21)/D21)*100</f>
        <v>14.1212553495007</v>
      </c>
      <c r="K190" s="23"/>
      <c r="L190" s="14" t="n">
        <f aca="false">(ABS(C21-K21)/C21)*100</f>
        <v>0.0101010101010101</v>
      </c>
      <c r="M190" s="14" t="n">
        <f aca="false">(ABS(D21-L21)/D21)*100</f>
        <v>0.0014265335235378</v>
      </c>
      <c r="N190" s="23"/>
    </row>
    <row r="191" customFormat="false" ht="15" hidden="false" customHeight="false" outlineLevel="0" collapsed="false">
      <c r="A191" s="8"/>
      <c r="B191" s="14" t="n">
        <v>18</v>
      </c>
      <c r="C191" s="36" t="n">
        <f aca="false">(ABS(C22-E22)/C22)*100</f>
        <v>99.9455445544555</v>
      </c>
      <c r="D191" s="14" t="n">
        <f aca="false">(ABS(D22-F22)/D22)*100</f>
        <v>14.4413447782547</v>
      </c>
      <c r="E191" s="23"/>
      <c r="F191" s="33" t="n">
        <f aca="false">(ABS(C22-G22)/C22)*100</f>
        <v>0.0099009900990099</v>
      </c>
      <c r="G191" s="14" t="n">
        <f aca="false">(ABS(D22-H22)/D22)*100</f>
        <v>0.00143061516452074</v>
      </c>
      <c r="H191" s="23"/>
      <c r="I191" s="12" t="n">
        <f aca="false">(ABS(C22-I22)/C22)*100</f>
        <v>99.5495049504951</v>
      </c>
      <c r="J191" s="14" t="n">
        <f aca="false">(ABS(D22-J22)/D22)*100</f>
        <v>14.3841201716738</v>
      </c>
      <c r="K191" s="23"/>
      <c r="L191" s="14" t="n">
        <f aca="false">(ABS(C22-K22)/C22)*100</f>
        <v>0.0099009900990099</v>
      </c>
      <c r="M191" s="14" t="n">
        <f aca="false">(ABS(D22-L22)/D22)*100</f>
        <v>0.00143061516452074</v>
      </c>
      <c r="N191" s="23"/>
    </row>
    <row r="192" customFormat="false" ht="15" hidden="false" customHeight="false" outlineLevel="0" collapsed="false">
      <c r="A192" s="8"/>
      <c r="B192" s="14" t="n">
        <v>19</v>
      </c>
      <c r="C192" s="36" t="n">
        <f aca="false">(ABS(C23-E23)/C23)*100</f>
        <v>99.9611650485437</v>
      </c>
      <c r="D192" s="14" t="n">
        <f aca="false">(ABS(D23-F23)/D23)*100</f>
        <v>14.7718794835007</v>
      </c>
      <c r="E192" s="23"/>
      <c r="F192" s="33" t="n">
        <f aca="false">(ABS(C23-G23)/C23)*100</f>
        <v>0.0145631067961165</v>
      </c>
      <c r="G192" s="14" t="n">
        <f aca="false">(ABS(D23-H23)/D23)*100</f>
        <v>0.00215208034433286</v>
      </c>
      <c r="H192" s="23"/>
      <c r="I192" s="12" t="n">
        <f aca="false">(ABS(C23-I23)/C23)*100</f>
        <v>99.7572815533981</v>
      </c>
      <c r="J192" s="14" t="n">
        <f aca="false">(ABS(D23-J23)/D23)*100</f>
        <v>14.7417503586801</v>
      </c>
      <c r="K192" s="23"/>
      <c r="L192" s="14" t="n">
        <f aca="false">(ABS(C23-K23)/C23)*100</f>
        <v>0.0145631067961165</v>
      </c>
      <c r="M192" s="14" t="n">
        <f aca="false">(ABS(D23-L23)/D23)*100</f>
        <v>0.00215208034433286</v>
      </c>
      <c r="N192" s="23"/>
    </row>
    <row r="193" customFormat="false" ht="15" hidden="false" customHeight="false" outlineLevel="0" collapsed="false">
      <c r="A193" s="8"/>
      <c r="B193" s="14" t="n">
        <v>20</v>
      </c>
      <c r="C193" s="36" t="n">
        <f aca="false">(ABS(C24-E24)/C24)*100</f>
        <v>99.9619047619048</v>
      </c>
      <c r="D193" s="14" t="n">
        <f aca="false">(ABS(D24-F24)/D24)*100</f>
        <v>15.1021582733813</v>
      </c>
      <c r="E193" s="23"/>
      <c r="F193" s="33" t="n">
        <f aca="false">(ABS(C24-G24)/C24)*100</f>
        <v>0.00476190476190476</v>
      </c>
      <c r="G193" s="14" t="n">
        <f aca="false">(ABS(D24-H24)/D24)*100</f>
        <v>0.000719424460431655</v>
      </c>
      <c r="H193" s="23"/>
      <c r="I193" s="12" t="n">
        <f aca="false">(ABS(C24-I24)/C24)*100</f>
        <v>99.8619047619048</v>
      </c>
      <c r="J193" s="14" t="n">
        <f aca="false">(ABS(D24-J24)/D24)*100</f>
        <v>15.0870503597122</v>
      </c>
      <c r="K193" s="23"/>
      <c r="L193" s="14" t="n">
        <f aca="false">(ABS(C24-K24)/C24)*100</f>
        <v>0.00952380952380953</v>
      </c>
      <c r="M193" s="14" t="n">
        <f aca="false">(ABS(D24-L24)/D24)*100</f>
        <v>0.00143884892086331</v>
      </c>
      <c r="N193" s="23"/>
    </row>
    <row r="194" customFormat="false" ht="15" hidden="false" customHeight="false" outlineLevel="0" collapsed="false">
      <c r="A194" s="8"/>
      <c r="B194" s="14" t="n">
        <v>21</v>
      </c>
      <c r="C194" s="36" t="n">
        <f aca="false">(ABS(C25-E25)/C25)*100</f>
        <v>95.0091743119266</v>
      </c>
      <c r="D194" s="14" t="n">
        <f aca="false">(ABS(D25-F25)/D25)*100</f>
        <v>14.986975397974</v>
      </c>
      <c r="E194" s="23"/>
      <c r="F194" s="33" t="n">
        <f aca="false">(ABS(C25-G25)/C25)*100</f>
        <v>0.00458715596330275</v>
      </c>
      <c r="G194" s="14" t="n">
        <f aca="false">(ABS(D25-H25)/D25)*100</f>
        <v>0.000723589001447178</v>
      </c>
      <c r="H194" s="23"/>
      <c r="I194" s="12" t="n">
        <f aca="false">(ABS(C25-I25)/C25)*100</f>
        <v>99.9587155963303</v>
      </c>
      <c r="J194" s="14" t="n">
        <f aca="false">(ABS(D25-J25)/D25)*100</f>
        <v>15.7677279305355</v>
      </c>
      <c r="K194" s="23"/>
      <c r="L194" s="14" t="n">
        <f aca="false">(ABS(C25-K25)/C25)*100</f>
        <v>0.00458715596330275</v>
      </c>
      <c r="M194" s="14" t="n">
        <f aca="false">(ABS(D25-L25)/D25)*100</f>
        <v>0.000723589001447178</v>
      </c>
      <c r="N194" s="23"/>
    </row>
    <row r="195" customFormat="false" ht="15" hidden="false" customHeight="false" outlineLevel="0" collapsed="false">
      <c r="A195" s="8"/>
      <c r="B195" s="14" t="n">
        <v>22</v>
      </c>
      <c r="C195" s="36" t="n">
        <f aca="false">(ABS(C26-E26)/C26)*100</f>
        <v>99.9099099099099</v>
      </c>
      <c r="D195" s="14" t="n">
        <f aca="false">(ABS(D26-F26)/D26)*100</f>
        <v>16.0957910014514</v>
      </c>
      <c r="E195" s="23"/>
      <c r="F195" s="33" t="n">
        <f aca="false">(ABS(C26-G26)/C26)*100</f>
        <v>0</v>
      </c>
      <c r="G195" s="14" t="n">
        <f aca="false">(ABS(D26-H26)/D26)*100</f>
        <v>0</v>
      </c>
      <c r="H195" s="23"/>
      <c r="I195" s="12" t="n">
        <f aca="false">(ABS(C26-I26)/C26)*100</f>
        <v>99.9594594594595</v>
      </c>
      <c r="J195" s="14" t="n">
        <f aca="false">(ABS(D26-J26)/D26)*100</f>
        <v>16.1037735849057</v>
      </c>
      <c r="K195" s="23"/>
      <c r="L195" s="14" t="n">
        <f aca="false">(ABS(C26-K26)/C26)*100</f>
        <v>0.00900900900900901</v>
      </c>
      <c r="M195" s="14" t="n">
        <f aca="false">(ABS(D26-L26)/D26)*100</f>
        <v>0.00145137880986938</v>
      </c>
      <c r="N195" s="23"/>
    </row>
    <row r="196" customFormat="false" ht="15" hidden="false" customHeight="false" outlineLevel="0" collapsed="false">
      <c r="A196" s="8"/>
      <c r="B196" s="14" t="n">
        <v>23</v>
      </c>
      <c r="C196" s="36" t="n">
        <f aca="false">(ABS(C27-E27)/C27)*100</f>
        <v>99.712389380531</v>
      </c>
      <c r="D196" s="14" t="n">
        <f aca="false">(ABS(D27-F27)/D27)*100</f>
        <v>16.401018922853</v>
      </c>
      <c r="E196" s="23"/>
      <c r="F196" s="33" t="n">
        <f aca="false">(ABS(C27-G27)/C27)*100</f>
        <v>0.00442477876106195</v>
      </c>
      <c r="G196" s="14" t="n">
        <f aca="false">(ABS(D27-H27)/D27)*100</f>
        <v>0.000727802037845706</v>
      </c>
      <c r="H196" s="23"/>
      <c r="I196" s="12" t="n">
        <f aca="false">(ABS(C27-I27)/C27)*100</f>
        <v>99.9557522123894</v>
      </c>
      <c r="J196" s="14" t="n">
        <f aca="false">(ABS(D27-J27)/D27)*100</f>
        <v>16.4410480349345</v>
      </c>
      <c r="K196" s="23"/>
      <c r="L196" s="14" t="n">
        <f aca="false">(ABS(C27-K27)/C27)*100</f>
        <v>0.0132743362831858</v>
      </c>
      <c r="M196" s="14" t="n">
        <f aca="false">(ABS(D27-L27)/D27)*100</f>
        <v>0.00218340611353712</v>
      </c>
      <c r="N196" s="23"/>
    </row>
    <row r="197" customFormat="false" ht="15" hidden="false" customHeight="false" outlineLevel="0" collapsed="false">
      <c r="A197" s="8"/>
      <c r="B197" s="14" t="n">
        <v>24</v>
      </c>
      <c r="C197" s="36" t="n">
        <f aca="false">(ABS(C28-E28)/C28)*100</f>
        <v>92.1260869565217</v>
      </c>
      <c r="D197" s="14" t="n">
        <f aca="false">(ABS(D28-F28)/D28)*100</f>
        <v>15.4664233576642</v>
      </c>
      <c r="E197" s="23"/>
      <c r="F197" s="33" t="n">
        <f aca="false">(ABS(C28-G28)/C28)*100</f>
        <v>0.00434782608695652</v>
      </c>
      <c r="G197" s="14" t="n">
        <f aca="false">(ABS(D28-H28)/D28)*100</f>
        <v>0.00072992700729927</v>
      </c>
      <c r="H197" s="23"/>
      <c r="I197" s="12" t="n">
        <f aca="false">(ABS(C28-I28)/C28)*100</f>
        <v>99.4565217391304</v>
      </c>
      <c r="J197" s="14" t="n">
        <f aca="false">(ABS(D28-J28)/D28)*100</f>
        <v>16.6970802919708</v>
      </c>
      <c r="K197" s="23"/>
      <c r="L197" s="14" t="n">
        <f aca="false">(ABS(C28-K28)/C28)*100</f>
        <v>0.00434782608695652</v>
      </c>
      <c r="M197" s="14" t="n">
        <f aca="false">(ABS(D28-L28)/D28)*100</f>
        <v>0.00072992700729927</v>
      </c>
      <c r="N197" s="23"/>
    </row>
    <row r="198" customFormat="false" ht="15" hidden="false" customHeight="false" outlineLevel="0" collapsed="false">
      <c r="A198" s="8"/>
      <c r="B198" s="14" t="n">
        <v>25</v>
      </c>
      <c r="C198" s="36" t="n">
        <f aca="false">(ABS(C29-E29)/C29)*100</f>
        <v>99.8076923076923</v>
      </c>
      <c r="D198" s="14" t="n">
        <f aca="false">(ABS(D29-F29)/D29)*100</f>
        <v>17.097364568082</v>
      </c>
      <c r="E198" s="23"/>
      <c r="F198" s="33" t="n">
        <f aca="false">(ABS(C29-G29)/C29)*100</f>
        <v>0</v>
      </c>
      <c r="G198" s="14" t="n">
        <f aca="false">(ABS(D29-H29)/D29)*100</f>
        <v>0</v>
      </c>
      <c r="H198" s="23"/>
      <c r="I198" s="12" t="n">
        <f aca="false">(ABS(C29-I29)/C29)*100</f>
        <v>99.9230769230769</v>
      </c>
      <c r="J198" s="14" t="n">
        <f aca="false">(ABS(D29-J29)/D29)*100</f>
        <v>17.1171303074671</v>
      </c>
      <c r="K198" s="23"/>
      <c r="L198" s="14" t="n">
        <f aca="false">(ABS(C29-K29)/C29)*100</f>
        <v>0.00854700854700855</v>
      </c>
      <c r="M198" s="14" t="n">
        <f aca="false">(ABS(D29-L29)/D29)*100</f>
        <v>0.00146412884333821</v>
      </c>
      <c r="N198" s="23"/>
    </row>
    <row r="199" customFormat="false" ht="15" hidden="false" customHeight="false" outlineLevel="0" collapsed="false">
      <c r="A199" s="8"/>
      <c r="B199" s="14" t="n">
        <v>26</v>
      </c>
      <c r="C199" s="36" t="n">
        <f aca="false">(ABS(C30-E30)/C30)*100</f>
        <v>95.3991596638656</v>
      </c>
      <c r="D199" s="14" t="n">
        <f aca="false">(ABS(D30-F30)/D30)*100</f>
        <v>16.6703377386197</v>
      </c>
      <c r="E199" s="23"/>
      <c r="F199" s="33" t="n">
        <f aca="false">(ABS(C30-G30)/C30)*100</f>
        <v>0.00840336134453782</v>
      </c>
      <c r="G199" s="14" t="n">
        <f aca="false">(ABS(D30-H30)/D30)*100</f>
        <v>0.00146842878120411</v>
      </c>
      <c r="H199" s="23"/>
      <c r="I199" s="12" t="n">
        <f aca="false">(ABS(C30-I30)/C30)*100</f>
        <v>99.5294117647059</v>
      </c>
      <c r="J199" s="14" t="n">
        <f aca="false">(ABS(D30-J30)/D30)*100</f>
        <v>17.3920704845815</v>
      </c>
      <c r="K199" s="23"/>
      <c r="L199" s="14" t="n">
        <f aca="false">(ABS(C30-K30)/C30)*100</f>
        <v>0.00840336134453782</v>
      </c>
      <c r="M199" s="14" t="n">
        <f aca="false">(ABS(D30-L30)/D30)*100</f>
        <v>0.00146842878120411</v>
      </c>
      <c r="N199" s="23"/>
    </row>
    <row r="200" customFormat="false" ht="15" hidden="false" customHeight="false" outlineLevel="0" collapsed="false">
      <c r="A200" s="8"/>
      <c r="B200" s="14" t="n">
        <v>27</v>
      </c>
      <c r="C200" s="36" t="n">
        <f aca="false">(ABS(C31-E31)/C31)*100</f>
        <v>95.9957983193277</v>
      </c>
      <c r="D200" s="14" t="n">
        <f aca="false">(ABS(D31-F31)/D31)*100</f>
        <v>16.7745961820852</v>
      </c>
      <c r="E200" s="23"/>
      <c r="F200" s="33" t="n">
        <f aca="false">(ABS(C31-G31)/C31)*100</f>
        <v>0.00420168067226891</v>
      </c>
      <c r="G200" s="14" t="n">
        <f aca="false">(ABS(D31-H31)/D31)*100</f>
        <v>0.000734214390602056</v>
      </c>
      <c r="H200" s="23"/>
      <c r="I200" s="12" t="n">
        <f aca="false">(ABS(C31-I31)/C31)*100</f>
        <v>99.9327731092437</v>
      </c>
      <c r="J200" s="14" t="n">
        <f aca="false">(ABS(D31-J31)/D31)*100</f>
        <v>17.4625550660793</v>
      </c>
      <c r="K200" s="23"/>
      <c r="L200" s="14" t="n">
        <f aca="false">(ABS(C31-K31)/C31)*100</f>
        <v>0.00840336134453782</v>
      </c>
      <c r="M200" s="14" t="n">
        <f aca="false">(ABS(D31-L31)/D31)*100</f>
        <v>0.00146842878120411</v>
      </c>
      <c r="N200" s="23"/>
    </row>
    <row r="201" customFormat="false" ht="15" hidden="false" customHeight="false" outlineLevel="0" collapsed="false">
      <c r="A201" s="8"/>
      <c r="B201" s="14" t="n">
        <v>28</v>
      </c>
      <c r="C201" s="36" t="n">
        <f aca="false">(ABS(C32-E32)/C32)*100</f>
        <v>99.8760330578513</v>
      </c>
      <c r="D201" s="14" t="n">
        <f aca="false">(ABS(D32-F32)/D32)*100</f>
        <v>17.7982326951399</v>
      </c>
      <c r="E201" s="23"/>
      <c r="F201" s="33" t="n">
        <f aca="false">(ABS(C32-G32)/C32)*100</f>
        <v>0.00413223140495868</v>
      </c>
      <c r="G201" s="14" t="n">
        <f aca="false">(ABS(D32-H32)/D32)*100</f>
        <v>0.000736377025036819</v>
      </c>
      <c r="H201" s="23"/>
      <c r="I201" s="12" t="n">
        <f aca="false">(ABS(C32-I32)/C32)*100</f>
        <v>99.6239669421488</v>
      </c>
      <c r="J201" s="14" t="n">
        <f aca="false">(ABS(D32-J32)/D32)*100</f>
        <v>17.7533136966127</v>
      </c>
      <c r="K201" s="23"/>
      <c r="L201" s="14" t="n">
        <f aca="false">(ABS(C32-K32)/C32)*100</f>
        <v>0.00413223140495868</v>
      </c>
      <c r="M201" s="14" t="n">
        <f aca="false">(ABS(D32-L32)/D32)*100</f>
        <v>0.000736377025036819</v>
      </c>
      <c r="N201" s="23"/>
    </row>
    <row r="202" customFormat="false" ht="15" hidden="false" customHeight="false" outlineLevel="0" collapsed="false">
      <c r="A202" s="8"/>
      <c r="B202" s="14" t="n">
        <v>29</v>
      </c>
      <c r="C202" s="36" t="n">
        <f aca="false">(ABS(C33-E33)/C33)*100</f>
        <v>99.9715447154472</v>
      </c>
      <c r="D202" s="14" t="n">
        <f aca="false">(ABS(D33-F33)/D33)*100</f>
        <v>18.1632200886263</v>
      </c>
      <c r="E202" s="23"/>
      <c r="F202" s="33" t="n">
        <f aca="false">(ABS(C33-G33)/C33)*100</f>
        <v>0.0040650406504065</v>
      </c>
      <c r="G202" s="14" t="n">
        <f aca="false">(ABS(D33-H33)/D33)*100</f>
        <v>0.000738552437223043</v>
      </c>
      <c r="H202" s="23"/>
      <c r="I202" s="12" t="n">
        <f aca="false">(ABS(C33-I33)/C33)*100</f>
        <v>99.9593495934959</v>
      </c>
      <c r="J202" s="14" t="n">
        <f aca="false">(ABS(D33-J33)/D33)*100</f>
        <v>18.1610044313146</v>
      </c>
      <c r="K202" s="23"/>
      <c r="L202" s="14" t="n">
        <f aca="false">(ABS(C33-K33)/C33)*100</f>
        <v>0.00813008130081301</v>
      </c>
      <c r="M202" s="14" t="n">
        <f aca="false">(ABS(D33-L33)/D33)*100</f>
        <v>0.00147710487444609</v>
      </c>
      <c r="N202" s="23"/>
    </row>
    <row r="203" customFormat="false" ht="15" hidden="false" customHeight="false" outlineLevel="0" collapsed="false">
      <c r="A203" s="8"/>
      <c r="B203" s="14" t="n">
        <v>30</v>
      </c>
      <c r="C203" s="36" t="n">
        <f aca="false">(ABS(C34-E34)/C34)*100</f>
        <v>99.984</v>
      </c>
      <c r="D203" s="14" t="n">
        <f aca="false">(ABS(D34-F34)/D34)*100</f>
        <v>18.5155555555556</v>
      </c>
      <c r="E203" s="23"/>
      <c r="F203" s="33" t="n">
        <f aca="false">(ABS(C34-G34)/C34)*100</f>
        <v>0.064</v>
      </c>
      <c r="G203" s="14" t="n">
        <f aca="false">(ABS(D34-H34)/D34)*100</f>
        <v>0.0118518518518519</v>
      </c>
      <c r="H203" s="23"/>
      <c r="I203" s="12" t="n">
        <f aca="false">(ABS(C34-I34)/C34)*100</f>
        <v>99.968</v>
      </c>
      <c r="J203" s="14" t="n">
        <f aca="false">(ABS(D34-J34)/D34)*100</f>
        <v>18.5125925925926</v>
      </c>
      <c r="K203" s="23"/>
      <c r="L203" s="14" t="n">
        <f aca="false">(ABS(C34-K34)/C34)*100</f>
        <v>0.02</v>
      </c>
      <c r="M203" s="14" t="n">
        <f aca="false">(ABS(D34-L34)/D34)*100</f>
        <v>0.0037037037037037</v>
      </c>
      <c r="N203" s="23"/>
    </row>
    <row r="204" customFormat="false" ht="15" hidden="false" customHeight="false" outlineLevel="0" collapsed="false">
      <c r="A204" s="8"/>
      <c r="B204" s="14" t="n">
        <v>31</v>
      </c>
      <c r="C204" s="36" t="n">
        <f aca="false">(ABS(C35-E35)/C35)*100</f>
        <v>96.8267716535433</v>
      </c>
      <c r="D204" s="14" t="n">
        <f aca="false">(ABS(D35-F35)/D35)*100</f>
        <v>18.2719167904903</v>
      </c>
      <c r="E204" s="23"/>
      <c r="F204" s="33" t="n">
        <f aca="false">(ABS(C35-G35)/C35)*100</f>
        <v>0.00393700787401575</v>
      </c>
      <c r="G204" s="14" t="n">
        <f aca="false">(ABS(D35-H35)/D35)*100</f>
        <v>0.000742942050520059</v>
      </c>
      <c r="H204" s="23"/>
      <c r="I204" s="12" t="n">
        <f aca="false">(ABS(C35-I35)/C35)*100</f>
        <v>99.9566929133858</v>
      </c>
      <c r="J204" s="14" t="n">
        <f aca="false">(ABS(D35-J35)/D35)*100</f>
        <v>18.8625557206538</v>
      </c>
      <c r="K204" s="23"/>
      <c r="L204" s="14" t="n">
        <f aca="false">(ABS(C35-K35)/C35)*100</f>
        <v>0.0078740157480315</v>
      </c>
      <c r="M204" s="14" t="n">
        <f aca="false">(ABS(D35-L35)/D35)*100</f>
        <v>0.00148588410104012</v>
      </c>
      <c r="N204" s="23"/>
    </row>
    <row r="205" customFormat="false" ht="15" hidden="false" customHeight="false" outlineLevel="0" collapsed="false">
      <c r="A205" s="8"/>
      <c r="B205" s="14" t="n">
        <v>32</v>
      </c>
      <c r="C205" s="36" t="n">
        <f aca="false">(ABS(C36-E36)/C36)*100</f>
        <v>98.7906976744186</v>
      </c>
      <c r="D205" s="14" t="n">
        <f aca="false">(ABS(D36-F36)/D36)*100</f>
        <v>18.9925484351714</v>
      </c>
      <c r="E205" s="23"/>
      <c r="F205" s="33" t="n">
        <f aca="false">(ABS(C36-G36)/C36)*100</f>
        <v>0.00387596899224806</v>
      </c>
      <c r="G205" s="14" t="n">
        <f aca="false">(ABS(D36-H36)/D36)*100</f>
        <v>0.000745156482861401</v>
      </c>
      <c r="H205" s="23"/>
      <c r="I205" s="12" t="n">
        <f aca="false">(ABS(C36-I36)/C36)*100</f>
        <v>99.922480620155</v>
      </c>
      <c r="J205" s="14" t="n">
        <f aca="false">(ABS(D36-J36)/D36)*100</f>
        <v>19.2101341281669</v>
      </c>
      <c r="K205" s="23"/>
      <c r="L205" s="14" t="n">
        <f aca="false">(ABS(C36-K36)/C36)*100</f>
        <v>0.00775193798449613</v>
      </c>
      <c r="M205" s="14" t="n">
        <f aca="false">(ABS(D36-L36)/D36)*100</f>
        <v>0.0014903129657228</v>
      </c>
      <c r="N205" s="23"/>
    </row>
    <row r="206" customFormat="false" ht="15" hidden="false" customHeight="false" outlineLevel="0" collapsed="false">
      <c r="A206" s="8"/>
      <c r="B206" s="14" t="n">
        <v>33</v>
      </c>
      <c r="C206" s="36" t="n">
        <f aca="false">(ABS(C37-E37)/C37)*100</f>
        <v>98.1821705426357</v>
      </c>
      <c r="D206" s="14" t="n">
        <f aca="false">(ABS(D37-F37)/D37)*100</f>
        <v>18.8755588673621</v>
      </c>
      <c r="E206" s="23"/>
      <c r="F206" s="33" t="n">
        <f aca="false">(ABS(C37-G37)/C37)*100</f>
        <v>0.00387596899224806</v>
      </c>
      <c r="G206" s="14" t="n">
        <f aca="false">(ABS(D37-H37)/D37)*100</f>
        <v>0.000745156482861401</v>
      </c>
      <c r="H206" s="23"/>
      <c r="I206" s="12" t="n">
        <f aca="false">(ABS(C37-I37)/C37)*100</f>
        <v>99.6744186046512</v>
      </c>
      <c r="J206" s="14" t="n">
        <f aca="false">(ABS(D37-J37)/D37)*100</f>
        <v>19.1624441132638</v>
      </c>
      <c r="K206" s="23"/>
      <c r="L206" s="14" t="n">
        <f aca="false">(ABS(C37-K37)/C37)*100</f>
        <v>0.00387596899224806</v>
      </c>
      <c r="M206" s="14" t="n">
        <f aca="false">(ABS(D37-L37)/D37)*100</f>
        <v>0.000745156482861401</v>
      </c>
      <c r="N206" s="23"/>
    </row>
    <row r="207" customFormat="false" ht="15" hidden="false" customHeight="false" outlineLevel="0" collapsed="false">
      <c r="A207" s="8"/>
      <c r="B207" s="14" t="n">
        <v>34</v>
      </c>
      <c r="C207" s="36" t="n">
        <f aca="false">(ABS(C38-E38)/C38)*100</f>
        <v>99.9160305343511</v>
      </c>
      <c r="D207" s="14" t="n">
        <f aca="false">(ABS(D38-F38)/D38)*100</f>
        <v>19.5650224215247</v>
      </c>
      <c r="E207" s="23"/>
      <c r="F207" s="33" t="n">
        <f aca="false">(ABS(C38-G38)/C38)*100</f>
        <v>0</v>
      </c>
      <c r="G207" s="14" t="n">
        <f aca="false">(ABS(D38-H38)/D38)*100</f>
        <v>0</v>
      </c>
      <c r="H207" s="23"/>
      <c r="I207" s="12" t="n">
        <f aca="false">(ABS(C38-I38)/C38)*100</f>
        <v>99.9351145038168</v>
      </c>
      <c r="J207" s="14" t="n">
        <f aca="false">(ABS(D38-J38)/D38)*100</f>
        <v>19.5687593423019</v>
      </c>
      <c r="K207" s="23"/>
      <c r="L207" s="14" t="n">
        <f aca="false">(ABS(C38-K38)/C38)*100</f>
        <v>0.00381679389312977</v>
      </c>
      <c r="M207" s="14" t="n">
        <f aca="false">(ABS(D38-L38)/D38)*100</f>
        <v>0.000747384155455904</v>
      </c>
      <c r="N207" s="23"/>
    </row>
    <row r="208" customFormat="false" ht="15" hidden="false" customHeight="false" outlineLevel="0" collapsed="false">
      <c r="A208" s="8"/>
      <c r="B208" s="14" t="n">
        <v>35</v>
      </c>
      <c r="C208" s="36" t="n">
        <f aca="false">(ABS(C39-E39)/C39)*100</f>
        <v>99.7406015037594</v>
      </c>
      <c r="D208" s="14" t="n">
        <f aca="false">(ABS(D39-F39)/D39)*100</f>
        <v>19.8883058470765</v>
      </c>
      <c r="E208" s="23"/>
      <c r="F208" s="33" t="n">
        <f aca="false">(ABS(C39-G39)/C39)*100</f>
        <v>0.0075187969924812</v>
      </c>
      <c r="G208" s="14" t="n">
        <f aca="false">(ABS(D39-H39)/D39)*100</f>
        <v>0.00149925037481259</v>
      </c>
      <c r="H208" s="23"/>
      <c r="I208" s="12" t="n">
        <f aca="false">(ABS(C39-I39)/C39)*100</f>
        <v>99.9473684210526</v>
      </c>
      <c r="J208" s="14" t="n">
        <f aca="false">(ABS(D39-J39)/D39)*100</f>
        <v>19.9295352323838</v>
      </c>
      <c r="K208" s="23"/>
      <c r="L208" s="14" t="n">
        <f aca="false">(ABS(C39-K39)/C39)*100</f>
        <v>0.0075187969924812</v>
      </c>
      <c r="M208" s="14" t="n">
        <f aca="false">(ABS(D39-L39)/D39)*100</f>
        <v>0.00149925037481259</v>
      </c>
      <c r="N208" s="23"/>
    </row>
    <row r="209" customFormat="false" ht="15" hidden="false" customHeight="false" outlineLevel="0" collapsed="false">
      <c r="A209" s="8"/>
      <c r="B209" s="14" t="n">
        <v>36</v>
      </c>
      <c r="C209" s="36" t="n">
        <f aca="false">(ABS(C40-E40)/C40)*100</f>
        <v>99.9548872180451</v>
      </c>
      <c r="D209" s="14" t="n">
        <f aca="false">(ABS(D40-F40)/D40)*100</f>
        <v>19.9310344827586</v>
      </c>
      <c r="E209" s="23"/>
      <c r="F209" s="33" t="n">
        <f aca="false">(ABS(C40-G40)/C40)*100</f>
        <v>0.0075187969924812</v>
      </c>
      <c r="G209" s="14" t="n">
        <f aca="false">(ABS(D40-H40)/D40)*100</f>
        <v>0.00149925037481259</v>
      </c>
      <c r="H209" s="23"/>
      <c r="I209" s="12" t="n">
        <f aca="false">(ABS(C40-I40)/C40)*100</f>
        <v>93.5864661654135</v>
      </c>
      <c r="J209" s="14" t="n">
        <f aca="false">(ABS(D40-J40)/D40)*100</f>
        <v>18.6611694152924</v>
      </c>
      <c r="K209" s="23"/>
      <c r="L209" s="14" t="n">
        <f aca="false">(ABS(C40-K40)/C40)*100</f>
        <v>0.0075187969924812</v>
      </c>
      <c r="M209" s="14" t="n">
        <f aca="false">(ABS(D40-L40)/D40)*100</f>
        <v>0.00149925037481259</v>
      </c>
      <c r="N209" s="23"/>
    </row>
    <row r="210" customFormat="false" ht="15" hidden="false" customHeight="false" outlineLevel="0" collapsed="false">
      <c r="A210" s="8"/>
      <c r="B210" s="14" t="n">
        <v>37</v>
      </c>
      <c r="C210" s="36" t="n">
        <f aca="false">(ABS(C41-E41)/C41)*100</f>
        <v>99.7740740740741</v>
      </c>
      <c r="D210" s="14" t="n">
        <f aca="false">(ABS(D41-F41)/D41)*100</f>
        <v>20.2548872180451</v>
      </c>
      <c r="E210" s="23"/>
      <c r="F210" s="33" t="n">
        <f aca="false">(ABS(C41-G41)/C41)*100</f>
        <v>0.037037037037037</v>
      </c>
      <c r="G210" s="14" t="n">
        <f aca="false">(ABS(D41-H41)/D41)*100</f>
        <v>0.0075187969924812</v>
      </c>
      <c r="H210" s="23"/>
      <c r="I210" s="12" t="n">
        <f aca="false">(ABS(C41-I41)/C41)*100</f>
        <v>99.9740740740741</v>
      </c>
      <c r="J210" s="14" t="n">
        <f aca="false">(ABS(D41-J41)/D41)*100</f>
        <v>20.2954887218045</v>
      </c>
      <c r="K210" s="23"/>
      <c r="L210" s="14" t="n">
        <f aca="false">(ABS(C41-K41)/C41)*100</f>
        <v>0.0111111111111111</v>
      </c>
      <c r="M210" s="14" t="n">
        <f aca="false">(ABS(D41-L41)/D41)*100</f>
        <v>0.00225563909774436</v>
      </c>
      <c r="N210" s="23"/>
    </row>
    <row r="211" customFormat="false" ht="15" hidden="false" customHeight="false" outlineLevel="0" collapsed="false">
      <c r="A211" s="8"/>
      <c r="B211" s="14" t="n">
        <v>38</v>
      </c>
      <c r="C211" s="36" t="n">
        <f aca="false">(ABS(C42-E42)/C42)*100</f>
        <v>97.7226277372263</v>
      </c>
      <c r="D211" s="14" t="n">
        <f aca="false">(ABS(D42-F42)/D42)*100</f>
        <v>20.1930618401207</v>
      </c>
      <c r="E211" s="23"/>
      <c r="F211" s="33" t="n">
        <f aca="false">(ABS(C42-G42)/C42)*100</f>
        <v>0.00364963503649635</v>
      </c>
      <c r="G211" s="14" t="n">
        <f aca="false">(ABS(D42-H42)/D42)*100</f>
        <v>0.000754147812971342</v>
      </c>
      <c r="H211" s="23"/>
      <c r="I211" s="12" t="n">
        <f aca="false">(ABS(C42-I42)/C42)*100</f>
        <v>99.8065693430657</v>
      </c>
      <c r="J211" s="14" t="n">
        <f aca="false">(ABS(D42-J42)/D42)*100</f>
        <v>20.6236802413273</v>
      </c>
      <c r="K211" s="23"/>
      <c r="L211" s="14" t="n">
        <f aca="false">(ABS(C42-K42)/C42)*100</f>
        <v>0.00364963503649635</v>
      </c>
      <c r="M211" s="14" t="n">
        <f aca="false">(ABS(D42-L42)/D42)*100</f>
        <v>0.000754147812971342</v>
      </c>
      <c r="N211" s="23"/>
    </row>
    <row r="212" customFormat="false" ht="15" hidden="false" customHeight="false" outlineLevel="0" collapsed="false">
      <c r="A212" s="8"/>
      <c r="B212" s="14" t="n">
        <v>39</v>
      </c>
      <c r="C212" s="36" t="n">
        <f aca="false">(ABS(C43-E43)/C43)*100</f>
        <v>99.8357664233577</v>
      </c>
      <c r="D212" s="14" t="n">
        <f aca="false">(ABS(D43-F43)/D43)*100</f>
        <v>20.6297134238311</v>
      </c>
      <c r="E212" s="23"/>
      <c r="F212" s="33" t="n">
        <f aca="false">(ABS(C43-G43)/C43)*100</f>
        <v>0.00364963503649635</v>
      </c>
      <c r="G212" s="14" t="n">
        <f aca="false">(ABS(D43-H43)/D43)*100</f>
        <v>0.000754147812971342</v>
      </c>
      <c r="H212" s="23"/>
      <c r="I212" s="12" t="n">
        <f aca="false">(ABS(C43-I43)/C43)*100</f>
        <v>97.0948905109489</v>
      </c>
      <c r="J212" s="14" t="n">
        <f aca="false">(ABS(D43-J43)/D43)*100</f>
        <v>20.0633484162896</v>
      </c>
      <c r="K212" s="23"/>
      <c r="L212" s="14" t="n">
        <f aca="false">(ABS(C43-K43)/C43)*100</f>
        <v>0.00364963503649635</v>
      </c>
      <c r="M212" s="14" t="n">
        <f aca="false">(ABS(D43-L43)/D43)*100</f>
        <v>0.000754147812971342</v>
      </c>
      <c r="N212" s="23"/>
    </row>
    <row r="213" customFormat="false" ht="15" hidden="false" customHeight="false" outlineLevel="0" collapsed="false">
      <c r="A213" s="8"/>
      <c r="B213" s="14" t="n">
        <v>40</v>
      </c>
      <c r="C213" s="36" t="n">
        <f aca="false">(ABS(C44-E44)/C44)*100</f>
        <v>99.9136690647482</v>
      </c>
      <c r="D213" s="14" t="n">
        <f aca="false">(ABS(D44-F44)/D44)*100</f>
        <v>21.0105900151286</v>
      </c>
      <c r="E213" s="23"/>
      <c r="F213" s="33" t="n">
        <f aca="false">(ABS(C44-G44)/C44)*100</f>
        <v>0.00719424460431655</v>
      </c>
      <c r="G213" s="14" t="n">
        <f aca="false">(ABS(D44-H44)/D44)*100</f>
        <v>0.00151285930408472</v>
      </c>
      <c r="H213" s="23"/>
      <c r="I213" s="12" t="n">
        <f aca="false">(ABS(C44-I44)/C44)*100</f>
        <v>99.9748201438849</v>
      </c>
      <c r="J213" s="14" t="n">
        <f aca="false">(ABS(D44-J44)/D44)*100</f>
        <v>21.0234493192133</v>
      </c>
      <c r="K213" s="23"/>
      <c r="L213" s="14" t="n">
        <f aca="false">(ABS(C44-K44)/C44)*100</f>
        <v>0</v>
      </c>
      <c r="M213" s="14" t="n">
        <f aca="false">(ABS(D44-L44)/D44)*100</f>
        <v>0</v>
      </c>
      <c r="N213" s="23"/>
    </row>
    <row r="214" customFormat="false" ht="15" hidden="false" customHeight="false" outlineLevel="0" collapsed="false">
      <c r="A214" s="8"/>
      <c r="B214" s="14" t="n">
        <v>41</v>
      </c>
      <c r="C214" s="36" t="n">
        <f aca="false">(ABS(C45-E45)/C45)*100</f>
        <v>99.8309352517986</v>
      </c>
      <c r="D214" s="14" t="n">
        <f aca="false">(ABS(D45-F45)/D45)*100</f>
        <v>20.9931921331316</v>
      </c>
      <c r="E214" s="23"/>
      <c r="F214" s="33" t="n">
        <f aca="false">(ABS(C45-G45)/C45)*100</f>
        <v>0.00719424460431655</v>
      </c>
      <c r="G214" s="14" t="n">
        <f aca="false">(ABS(D45-H45)/D45)*100</f>
        <v>0.00151285930408472</v>
      </c>
      <c r="H214" s="23"/>
      <c r="I214" s="12" t="n">
        <f aca="false">(ABS(C45-I45)/C45)*100</f>
        <v>99.9244604316547</v>
      </c>
      <c r="J214" s="14" t="n">
        <f aca="false">(ABS(D45-J45)/D45)*100</f>
        <v>21.0128593040847</v>
      </c>
      <c r="K214" s="23"/>
      <c r="L214" s="14" t="n">
        <f aca="false">(ABS(C45-K45)/C45)*100</f>
        <v>0</v>
      </c>
      <c r="M214" s="14" t="n">
        <f aca="false">(ABS(D45-L45)/D45)*100</f>
        <v>0</v>
      </c>
      <c r="N214" s="23"/>
    </row>
    <row r="215" customFormat="false" ht="15" hidden="false" customHeight="false" outlineLevel="0" collapsed="false">
      <c r="A215" s="8"/>
      <c r="B215" s="14" t="n">
        <v>42</v>
      </c>
      <c r="C215" s="36" t="n">
        <f aca="false">(ABS(C46-E46)/C46)*100</f>
        <v>99.9609929078014</v>
      </c>
      <c r="D215" s="14" t="n">
        <f aca="false">(ABS(D46-F46)/D46)*100</f>
        <v>21.3877086494689</v>
      </c>
      <c r="E215" s="23"/>
      <c r="F215" s="33" t="n">
        <f aca="false">(ABS(C46-G46)/C46)*100</f>
        <v>0.00709219858156028</v>
      </c>
      <c r="G215" s="14" t="n">
        <f aca="false">(ABS(D46-H46)/D46)*100</f>
        <v>0.00151745068285281</v>
      </c>
      <c r="H215" s="23"/>
      <c r="I215" s="12" t="n">
        <f aca="false">(ABS(C46-I46)/C46)*100</f>
        <v>99.6631205673759</v>
      </c>
      <c r="J215" s="14" t="n">
        <f aca="false">(ABS(D46-J46)/D46)*100</f>
        <v>21.3239757207891</v>
      </c>
      <c r="K215" s="23"/>
      <c r="L215" s="14" t="n">
        <f aca="false">(ABS(C46-K46)/C46)*100</f>
        <v>0.00354609929078014</v>
      </c>
      <c r="M215" s="14" t="n">
        <f aca="false">(ABS(D46-L46)/D46)*100</f>
        <v>0.000758725341426404</v>
      </c>
      <c r="N215" s="23"/>
    </row>
    <row r="216" customFormat="false" ht="15" hidden="false" customHeight="false" outlineLevel="0" collapsed="false">
      <c r="A216" s="8"/>
      <c r="B216" s="14" t="n">
        <v>43</v>
      </c>
      <c r="C216" s="36" t="n">
        <f aca="false">(ABS(C47-E47)/C47)*100</f>
        <v>99.9255319148936</v>
      </c>
      <c r="D216" s="14" t="n">
        <f aca="false">(ABS(D47-F47)/D47)*100</f>
        <v>21.3801213960546</v>
      </c>
      <c r="E216" s="23"/>
      <c r="F216" s="33" t="n">
        <f aca="false">(ABS(C47-G47)/C47)*100</f>
        <v>0.00709219858156028</v>
      </c>
      <c r="G216" s="14" t="n">
        <f aca="false">(ABS(D47-H47)/D47)*100</f>
        <v>0.00151745068285281</v>
      </c>
      <c r="H216" s="23"/>
      <c r="I216" s="12" t="n">
        <f aca="false">(ABS(C47-I47)/C47)*100</f>
        <v>99.322695035461</v>
      </c>
      <c r="J216" s="14" t="n">
        <f aca="false">(ABS(D47-J47)/D47)*100</f>
        <v>21.2511380880121</v>
      </c>
      <c r="K216" s="23"/>
      <c r="L216" s="14" t="n">
        <f aca="false">(ABS(C47-K47)/C47)*100</f>
        <v>0</v>
      </c>
      <c r="M216" s="14" t="n">
        <f aca="false">(ABS(D47-L47)/D47)*100</f>
        <v>0</v>
      </c>
      <c r="N216" s="23"/>
    </row>
    <row r="217" customFormat="false" ht="15" hidden="false" customHeight="false" outlineLevel="0" collapsed="false">
      <c r="A217" s="8"/>
      <c r="B217" s="14" t="n">
        <v>44</v>
      </c>
      <c r="C217" s="36" t="n">
        <f aca="false">(ABS(C48-E48)/C48)*100</f>
        <v>99.986013986014</v>
      </c>
      <c r="D217" s="14" t="n">
        <f aca="false">(ABS(D48-F48)/D48)*100</f>
        <v>21.7625570776256</v>
      </c>
      <c r="E217" s="23"/>
      <c r="F217" s="33" t="n">
        <f aca="false">(ABS(C48-G48)/C48)*100</f>
        <v>0.0034965034965035</v>
      </c>
      <c r="G217" s="14" t="n">
        <f aca="false">(ABS(D48-H48)/D48)*100</f>
        <v>0.00076103500761035</v>
      </c>
      <c r="H217" s="23"/>
      <c r="I217" s="12" t="n">
        <f aca="false">(ABS(C48-I48)/C48)*100</f>
        <v>99.3601398601399</v>
      </c>
      <c r="J217" s="14" t="n">
        <f aca="false">(ABS(D48-J48)/D48)*100</f>
        <v>21.6263318112633</v>
      </c>
      <c r="K217" s="23"/>
      <c r="L217" s="14" t="n">
        <f aca="false">(ABS(C48-K48)/C48)*100</f>
        <v>0.0034965034965035</v>
      </c>
      <c r="M217" s="14" t="n">
        <f aca="false">(ABS(D48-L48)/D48)*100</f>
        <v>0.00076103500761035</v>
      </c>
      <c r="N217" s="23"/>
    </row>
    <row r="218" customFormat="false" ht="15" hidden="false" customHeight="false" outlineLevel="0" collapsed="false">
      <c r="A218" s="8"/>
      <c r="B218" s="14" t="n">
        <v>45</v>
      </c>
      <c r="C218" s="36" t="n">
        <f aca="false">(ABS(C49-E49)/C49)*100</f>
        <v>99.958041958042</v>
      </c>
      <c r="D218" s="14" t="n">
        <f aca="false">(ABS(D49-F49)/D49)*100</f>
        <v>21.7564687975647</v>
      </c>
      <c r="E218" s="23"/>
      <c r="F218" s="33" t="n">
        <f aca="false">(ABS(C49-G49)/C49)*100</f>
        <v>0.0034965034965035</v>
      </c>
      <c r="G218" s="14" t="n">
        <f aca="false">(ABS(D49-H49)/D49)*100</f>
        <v>0.00076103500761035</v>
      </c>
      <c r="H218" s="23"/>
      <c r="I218" s="12" t="n">
        <f aca="false">(ABS(C49-I49)/C49)*100</f>
        <v>99.9545454545455</v>
      </c>
      <c r="J218" s="14" t="n">
        <f aca="false">(ABS(D49-J49)/D49)*100</f>
        <v>21.7557077625571</v>
      </c>
      <c r="K218" s="23"/>
      <c r="L218" s="14" t="n">
        <f aca="false">(ABS(C49-K49)/C49)*100</f>
        <v>0.0034965034965035</v>
      </c>
      <c r="M218" s="14" t="n">
        <f aca="false">(ABS(D49-L49)/D49)*100</f>
        <v>0.00076103500761035</v>
      </c>
      <c r="N218" s="23"/>
    </row>
    <row r="219" customFormat="false" ht="15" hidden="false" customHeight="false" outlineLevel="0" collapsed="false">
      <c r="A219" s="8"/>
      <c r="B219" s="14" t="n">
        <v>46</v>
      </c>
      <c r="C219" s="36" t="n">
        <f aca="false">(ABS(C50-E50)/C50)*100</f>
        <v>99.9758620689655</v>
      </c>
      <c r="D219" s="14" t="n">
        <f aca="false">(ABS(D50-F50)/D50)*100</f>
        <v>22.1320610687023</v>
      </c>
      <c r="E219" s="23"/>
      <c r="F219" s="33" t="n">
        <f aca="false">(ABS(C50-G50)/C50)*100</f>
        <v>0.00689655172413793</v>
      </c>
      <c r="G219" s="14" t="n">
        <f aca="false">(ABS(D50-H50)/D50)*100</f>
        <v>0.00152671755725191</v>
      </c>
      <c r="H219" s="23"/>
      <c r="I219" s="12" t="n">
        <f aca="false">(ABS(C50-I50)/C50)*100</f>
        <v>97.8068965517241</v>
      </c>
      <c r="J219" s="14" t="n">
        <f aca="false">(ABS(D50-J50)/D50)*100</f>
        <v>21.6519083969466</v>
      </c>
      <c r="K219" s="23"/>
      <c r="L219" s="14" t="n">
        <f aca="false">(ABS(C50-K50)/C50)*100</f>
        <v>0.00344827586206897</v>
      </c>
      <c r="M219" s="14" t="n">
        <f aca="false">(ABS(D50-L50)/D50)*100</f>
        <v>0.000763358778625954</v>
      </c>
      <c r="N219" s="23"/>
    </row>
    <row r="220" customFormat="false" ht="15" hidden="false" customHeight="false" outlineLevel="0" collapsed="false">
      <c r="A220" s="8"/>
      <c r="B220" s="14" t="n">
        <v>47</v>
      </c>
      <c r="C220" s="36" t="n">
        <f aca="false">(ABS(C51-E51)/C51)*100</f>
        <v>99.9793103448276</v>
      </c>
      <c r="D220" s="14" t="n">
        <f aca="false">(ABS(D51-F51)/D51)*100</f>
        <v>22.1328244274809</v>
      </c>
      <c r="E220" s="23"/>
      <c r="F220" s="33" t="n">
        <f aca="false">(ABS(C51-G51)/C51)*100</f>
        <v>0.00689655172413793</v>
      </c>
      <c r="G220" s="14" t="n">
        <f aca="false">(ABS(D51-H51)/D51)*100</f>
        <v>0.00152671755725191</v>
      </c>
      <c r="H220" s="23"/>
      <c r="I220" s="12" t="n">
        <f aca="false">(ABS(C51-I51)/C51)*100</f>
        <v>99.2620689655172</v>
      </c>
      <c r="J220" s="14" t="n">
        <f aca="false">(ABS(D51-J51)/D51)*100</f>
        <v>21.9740458015267</v>
      </c>
      <c r="K220" s="23"/>
      <c r="L220" s="14" t="n">
        <f aca="false">(ABS(C51-K51)/C51)*100</f>
        <v>0.00344827586206897</v>
      </c>
      <c r="M220" s="14" t="n">
        <f aca="false">(ABS(D51-L51)/D51)*100</f>
        <v>0.000763358778625954</v>
      </c>
      <c r="N220" s="23"/>
    </row>
    <row r="221" customFormat="false" ht="15" hidden="false" customHeight="false" outlineLevel="0" collapsed="false">
      <c r="A221" s="8"/>
      <c r="B221" s="14" t="n">
        <v>48</v>
      </c>
      <c r="C221" s="36" t="n">
        <f aca="false">(ABS(C52-E52)/C52)*100</f>
        <v>99.9931972789116</v>
      </c>
      <c r="D221" s="14" t="n">
        <f aca="false">(ABS(D52-F52)/D52)*100</f>
        <v>22.509954058193</v>
      </c>
      <c r="E221" s="23"/>
      <c r="F221" s="33" t="n">
        <f aca="false">(ABS(C52-G52)/C52)*100</f>
        <v>0.00680272108843537</v>
      </c>
      <c r="G221" s="14" t="n">
        <f aca="false">(ABS(D52-H52)/D52)*100</f>
        <v>0.00153139356814701</v>
      </c>
      <c r="H221" s="23"/>
      <c r="I221" s="12" t="n">
        <f aca="false">(ABS(C52-I52)/C52)*100</f>
        <v>99.2278911564626</v>
      </c>
      <c r="J221" s="14" t="n">
        <f aca="false">(ABS(D52-J52)/D52)*100</f>
        <v>22.3376722817764</v>
      </c>
      <c r="K221" s="23"/>
      <c r="L221" s="14" t="n">
        <f aca="false">(ABS(C52-K52)/C52)*100</f>
        <v>0.00340136054421769</v>
      </c>
      <c r="M221" s="14" t="n">
        <f aca="false">(ABS(D52-L52)/D52)*100</f>
        <v>0.000765696784073507</v>
      </c>
      <c r="N221" s="23"/>
    </row>
    <row r="222" customFormat="false" ht="15" hidden="false" customHeight="false" outlineLevel="0" collapsed="false">
      <c r="A222" s="8"/>
      <c r="B222" s="14" t="n">
        <v>49</v>
      </c>
      <c r="C222" s="36" t="n">
        <f aca="false">(ABS(C53-E53)/C53)*100</f>
        <v>98.3061224489796</v>
      </c>
      <c r="D222" s="14" t="n">
        <f aca="false">(ABS(D53-F53)/D53)*100</f>
        <v>22.1301684532925</v>
      </c>
      <c r="E222" s="23"/>
      <c r="F222" s="33" t="n">
        <f aca="false">(ABS(C53-G53)/C53)*100</f>
        <v>0.00680272108843537</v>
      </c>
      <c r="G222" s="14" t="n">
        <f aca="false">(ABS(D53-H53)/D53)*100</f>
        <v>0.00153139356814701</v>
      </c>
      <c r="H222" s="23"/>
      <c r="I222" s="12" t="n">
        <f aca="false">(ABS(C53-I53)/C53)*100</f>
        <v>99.6258503401361</v>
      </c>
      <c r="J222" s="14" t="n">
        <f aca="false">(ABS(D53-J53)/D53)*100</f>
        <v>22.427258805513</v>
      </c>
      <c r="K222" s="23"/>
      <c r="L222" s="14" t="n">
        <f aca="false">(ABS(C53-K53)/C53)*100</f>
        <v>0</v>
      </c>
      <c r="M222" s="14" t="n">
        <f aca="false">(ABS(D53-L53)/D53)*100</f>
        <v>0</v>
      </c>
      <c r="N222" s="23"/>
    </row>
    <row r="223" customFormat="false" ht="15" hidden="false" customHeight="false" outlineLevel="0" collapsed="false">
      <c r="A223" s="8"/>
      <c r="B223" s="14" t="n">
        <v>50</v>
      </c>
      <c r="C223" s="36" t="n">
        <f aca="false">(ABS(C54-E54)/C54)*100</f>
        <v>99.9798657718121</v>
      </c>
      <c r="D223" s="14" t="n">
        <f aca="false">(ABS(D54-F54)/D54)*100</f>
        <v>22.8832565284178</v>
      </c>
      <c r="E223" s="23"/>
      <c r="F223" s="33" t="n">
        <f aca="false">(ABS(C54-G54)/C54)*100</f>
        <v>0.00335570469798658</v>
      </c>
      <c r="G223" s="14" t="n">
        <f aca="false">(ABS(D54-H54)/D54)*100</f>
        <v>0.000768049155145929</v>
      </c>
      <c r="H223" s="23"/>
      <c r="I223" s="12" t="n">
        <f aca="false">(ABS(C54-I54)/C54)*100</f>
        <v>99.8489932885906</v>
      </c>
      <c r="J223" s="14" t="n">
        <f aca="false">(ABS(D54-J54)/D54)*100</f>
        <v>22.8533026113671</v>
      </c>
      <c r="K223" s="23"/>
      <c r="L223" s="14" t="n">
        <f aca="false">(ABS(C54-K54)/C54)*100</f>
        <v>0.00335570469798658</v>
      </c>
      <c r="M223" s="14" t="n">
        <f aca="false">(ABS(D54-L54)/D54)*100</f>
        <v>0.000768049155145929</v>
      </c>
      <c r="N223" s="23"/>
    </row>
    <row r="224" customFormat="false" ht="15" hidden="false" customHeight="false" outlineLevel="0" collapsed="false">
      <c r="A224" s="8"/>
      <c r="B224" s="14" t="n">
        <v>51</v>
      </c>
      <c r="C224" s="36" t="n">
        <f aca="false">(ABS(C55-E55)/C55)*100</f>
        <v>99.6442953020134</v>
      </c>
      <c r="D224" s="14" t="n">
        <f aca="false">(ABS(D55-F55)/D55)*100</f>
        <v>22.8064516129032</v>
      </c>
      <c r="E224" s="23"/>
      <c r="F224" s="33" t="n">
        <f aca="false">(ABS(C55-G55)/C55)*100</f>
        <v>0.00671140939597315</v>
      </c>
      <c r="G224" s="14" t="n">
        <f aca="false">(ABS(D55-H55)/D55)*100</f>
        <v>0.00153609831029186</v>
      </c>
      <c r="H224" s="23"/>
      <c r="I224" s="12" t="n">
        <f aca="false">(ABS(C55-I55)/C55)*100</f>
        <v>98.4563758389262</v>
      </c>
      <c r="J224" s="14" t="n">
        <f aca="false">(ABS(D55-J55)/D55)*100</f>
        <v>22.5345622119816</v>
      </c>
      <c r="K224" s="23"/>
      <c r="L224" s="14" t="n">
        <f aca="false">(ABS(C55-K55)/C55)*100</f>
        <v>0</v>
      </c>
      <c r="M224" s="14" t="n">
        <f aca="false">(ABS(D55-L55)/D55)*100</f>
        <v>0</v>
      </c>
      <c r="N224" s="23"/>
    </row>
    <row r="225" customFormat="false" ht="15" hidden="false" customHeight="false" outlineLevel="0" collapsed="false">
      <c r="A225" s="8"/>
      <c r="B225" s="14" t="n">
        <v>52</v>
      </c>
      <c r="C225" s="36" t="n">
        <f aca="false">(ABS(C56-E56)/C56)*100</f>
        <v>99.6040268456376</v>
      </c>
      <c r="D225" s="14" t="n">
        <f aca="false">(ABS(D56-F56)/D56)*100</f>
        <v>22.7972350230415</v>
      </c>
      <c r="E225" s="23"/>
      <c r="F225" s="33" t="n">
        <f aca="false">(ABS(C56-G56)/C56)*100</f>
        <v>0.664429530201342</v>
      </c>
      <c r="G225" s="14" t="n">
        <f aca="false">(ABS(D56-H56)/D56)*100</f>
        <v>0.152073732718894</v>
      </c>
      <c r="H225" s="23"/>
      <c r="I225" s="12" t="n">
        <f aca="false">(ABS(C56-I56)/C56)*100</f>
        <v>99.9093959731544</v>
      </c>
      <c r="J225" s="14" t="n">
        <f aca="false">(ABS(D56-J56)/D56)*100</f>
        <v>22.8671274961598</v>
      </c>
      <c r="K225" s="23"/>
      <c r="L225" s="14" t="n">
        <f aca="false">(ABS(C56-K56)/C56)*100</f>
        <v>0.00335570469798658</v>
      </c>
      <c r="M225" s="14" t="n">
        <f aca="false">(ABS(D56-L56)/D56)*100</f>
        <v>0.000768049155145929</v>
      </c>
      <c r="N225" s="23"/>
    </row>
    <row r="226" customFormat="false" ht="15" hidden="false" customHeight="false" outlineLevel="0" collapsed="false">
      <c r="A226" s="8"/>
      <c r="B226" s="14" t="n">
        <v>53</v>
      </c>
      <c r="C226" s="36" t="n">
        <f aca="false">(ABS(C57-E57)/C57)*100</f>
        <v>99.9867549668874</v>
      </c>
      <c r="D226" s="14" t="n">
        <f aca="false">(ABS(D57-F57)/D57)*100</f>
        <v>23.2634822804314</v>
      </c>
      <c r="E226" s="23"/>
      <c r="F226" s="33" t="n">
        <f aca="false">(ABS(C57-G57)/C57)*100</f>
        <v>0.0033112582781457</v>
      </c>
      <c r="G226" s="14" t="n">
        <f aca="false">(ABS(D57-H57)/D57)*100</f>
        <v>0.000770416024653313</v>
      </c>
      <c r="H226" s="23"/>
      <c r="I226" s="12" t="n">
        <f aca="false">(ABS(C57-I57)/C57)*100</f>
        <v>99.8211920529801</v>
      </c>
      <c r="J226" s="14" t="n">
        <f aca="false">(ABS(D57-J57)/D57)*100</f>
        <v>23.2249614791988</v>
      </c>
      <c r="K226" s="23"/>
      <c r="L226" s="14" t="n">
        <f aca="false">(ABS(C57-K57)/C57)*100</f>
        <v>0</v>
      </c>
      <c r="M226" s="14" t="n">
        <f aca="false">(ABS(D57-L57)/D57)*100</f>
        <v>0</v>
      </c>
      <c r="N226" s="23"/>
    </row>
    <row r="227" customFormat="false" ht="15" hidden="false" customHeight="false" outlineLevel="0" collapsed="false">
      <c r="A227" s="8"/>
      <c r="B227" s="14" t="n">
        <v>54</v>
      </c>
      <c r="C227" s="36" t="n">
        <f aca="false">(ABS(C58-E58)/C58)*100</f>
        <v>99.8344370860927</v>
      </c>
      <c r="D227" s="14" t="n">
        <f aca="false">(ABS(D58-F58)/D58)*100</f>
        <v>23.2280431432974</v>
      </c>
      <c r="E227" s="23"/>
      <c r="F227" s="33" t="n">
        <f aca="false">(ABS(C58-G58)/C58)*100</f>
        <v>0.0629139072847682</v>
      </c>
      <c r="G227" s="14" t="n">
        <f aca="false">(ABS(D58-H58)/D58)*100</f>
        <v>0.0146379044684129</v>
      </c>
      <c r="H227" s="23"/>
      <c r="I227" s="12" t="n">
        <f aca="false">(ABS(C58-I58)/C58)*100</f>
        <v>90.953642384106</v>
      </c>
      <c r="J227" s="14" t="n">
        <f aca="false">(ABS(D58-J58)/D58)*100</f>
        <v>21.1617873651772</v>
      </c>
      <c r="K227" s="23"/>
      <c r="L227" s="14" t="n">
        <f aca="false">(ABS(C58-K58)/C58)*100</f>
        <v>0.033112582781457</v>
      </c>
      <c r="M227" s="14" t="n">
        <f aca="false">(ABS(D58-L58)/D58)*100</f>
        <v>0.00770416024653313</v>
      </c>
      <c r="N227" s="23"/>
    </row>
    <row r="228" customFormat="false" ht="15" hidden="false" customHeight="false" outlineLevel="0" collapsed="false">
      <c r="A228" s="8"/>
      <c r="B228" s="14" t="n">
        <v>55</v>
      </c>
      <c r="C228" s="36" t="n">
        <f aca="false">(ABS(C59-E59)/C59)*100</f>
        <v>99.2582781456954</v>
      </c>
      <c r="D228" s="14" t="n">
        <f aca="false">(ABS(D59-F59)/D59)*100</f>
        <v>23.0939907550077</v>
      </c>
      <c r="E228" s="23"/>
      <c r="F228" s="33" t="n">
        <f aca="false">(ABS(C59-G59)/C59)*100</f>
        <v>0.00662251655629139</v>
      </c>
      <c r="G228" s="14" t="n">
        <f aca="false">(ABS(D59-H59)/D59)*100</f>
        <v>0.00154083204930663</v>
      </c>
      <c r="H228" s="23"/>
      <c r="I228" s="12" t="n">
        <f aca="false">(ABS(C59-I59)/C59)*100</f>
        <v>99.705298013245</v>
      </c>
      <c r="J228" s="14" t="n">
        <f aca="false">(ABS(D59-J59)/D59)*100</f>
        <v>23.1979969183359</v>
      </c>
      <c r="K228" s="23"/>
      <c r="L228" s="14" t="n">
        <f aca="false">(ABS(C59-K59)/C59)*100</f>
        <v>0</v>
      </c>
      <c r="M228" s="14" t="n">
        <f aca="false">(ABS(D59-L59)/D59)*100</f>
        <v>0</v>
      </c>
      <c r="N228" s="23"/>
    </row>
    <row r="229" customFormat="false" ht="15" hidden="false" customHeight="false" outlineLevel="0" collapsed="false">
      <c r="A229" s="8"/>
      <c r="B229" s="14" t="n">
        <v>56</v>
      </c>
      <c r="C229" s="36" t="n">
        <f aca="false">(ABS(C60-E60)/C60)*100</f>
        <v>99.9803921568627</v>
      </c>
      <c r="D229" s="14" t="n">
        <f aca="false">(ABS(D60-F60)/D60)*100</f>
        <v>23.6429675425039</v>
      </c>
      <c r="E229" s="23"/>
      <c r="F229" s="33" t="n">
        <f aca="false">(ABS(C60-G60)/C60)*100</f>
        <v>0.0065359477124183</v>
      </c>
      <c r="G229" s="14" t="n">
        <f aca="false">(ABS(D60-H60)/D60)*100</f>
        <v>0.00154559505409583</v>
      </c>
      <c r="H229" s="23"/>
      <c r="I229" s="12" t="n">
        <f aca="false">(ABS(C60-I60)/C60)*100</f>
        <v>98.8104575163399</v>
      </c>
      <c r="J229" s="14" t="n">
        <f aca="false">(ABS(D60-J60)/D60)*100</f>
        <v>23.3663060278207</v>
      </c>
      <c r="K229" s="23"/>
      <c r="L229" s="14" t="n">
        <f aca="false">(ABS(C60-K60)/C60)*100</f>
        <v>0</v>
      </c>
      <c r="M229" s="14" t="n">
        <f aca="false">(ABS(D60-L60)/D60)*100</f>
        <v>0</v>
      </c>
      <c r="N229" s="23"/>
    </row>
    <row r="230" customFormat="false" ht="15" hidden="false" customHeight="false" outlineLevel="0" collapsed="false">
      <c r="A230" s="8"/>
      <c r="B230" s="14" t="n">
        <v>57</v>
      </c>
      <c r="C230" s="36" t="n">
        <f aca="false">(ABS(C61-E61)/C61)*100</f>
        <v>99.9444444444444</v>
      </c>
      <c r="D230" s="14" t="n">
        <f aca="false">(ABS(D61-F61)/D61)*100</f>
        <v>23.6344667697063</v>
      </c>
      <c r="E230" s="23"/>
      <c r="F230" s="33" t="n">
        <f aca="false">(ABS(C61-G61)/C61)*100</f>
        <v>0.00326797385620915</v>
      </c>
      <c r="G230" s="14" t="n">
        <f aca="false">(ABS(D61-H61)/D61)*100</f>
        <v>0.000772797527047913</v>
      </c>
      <c r="H230" s="23"/>
      <c r="I230" s="12" t="n">
        <f aca="false">(ABS(C61-I61)/C61)*100</f>
        <v>94.0457516339869</v>
      </c>
      <c r="J230" s="14" t="n">
        <f aca="false">(ABS(D61-J61)/D61)*100</f>
        <v>22.2395672333849</v>
      </c>
      <c r="K230" s="23"/>
      <c r="L230" s="14" t="n">
        <f aca="false">(ABS(C61-K61)/C61)*100</f>
        <v>0.00326797385620915</v>
      </c>
      <c r="M230" s="14" t="n">
        <f aca="false">(ABS(D61-L61)/D61)*100</f>
        <v>0.000772797527047913</v>
      </c>
      <c r="N230" s="23"/>
    </row>
    <row r="231" customFormat="false" ht="15" hidden="false" customHeight="false" outlineLevel="0" collapsed="false">
      <c r="A231" s="8"/>
      <c r="B231" s="14" t="n">
        <v>58</v>
      </c>
      <c r="C231" s="36" t="n">
        <f aca="false">(ABS(C62-E62)/C62)*100</f>
        <v>99.9411764705882</v>
      </c>
      <c r="D231" s="14" t="n">
        <f aca="false">(ABS(D62-F62)/D62)*100</f>
        <v>23.6336939721793</v>
      </c>
      <c r="E231" s="23"/>
      <c r="F231" s="33" t="n">
        <f aca="false">(ABS(C62-G62)/C62)*100</f>
        <v>0.0065359477124183</v>
      </c>
      <c r="G231" s="14" t="n">
        <f aca="false">(ABS(D62-H62)/D62)*100</f>
        <v>0.00154559505409583</v>
      </c>
      <c r="H231" s="23"/>
      <c r="I231" s="12" t="n">
        <f aca="false">(ABS(C62-I62)/C62)*100</f>
        <v>99.5882352941176</v>
      </c>
      <c r="J231" s="14" t="n">
        <f aca="false">(ABS(D62-J62)/D62)*100</f>
        <v>23.5502318392581</v>
      </c>
      <c r="K231" s="23"/>
      <c r="L231" s="14" t="n">
        <f aca="false">(ABS(C62-K62)/C62)*100</f>
        <v>0</v>
      </c>
      <c r="M231" s="14" t="n">
        <f aca="false">(ABS(D62-L62)/D62)*100</f>
        <v>0</v>
      </c>
      <c r="N231" s="23"/>
    </row>
    <row r="232" customFormat="false" ht="15" hidden="false" customHeight="false" outlineLevel="0" collapsed="false">
      <c r="A232" s="8"/>
      <c r="B232" s="14" t="n">
        <v>59</v>
      </c>
      <c r="C232" s="36" t="n">
        <f aca="false">(ABS(C63-E63)/C63)*100</f>
        <v>99.9870967741936</v>
      </c>
      <c r="D232" s="14" t="n">
        <f aca="false">(ABS(D63-F63)/D63)*100</f>
        <v>24.0279069767442</v>
      </c>
      <c r="E232" s="23"/>
      <c r="F232" s="33" t="n">
        <f aca="false">(ABS(C63-G63)/C63)*100</f>
        <v>0.00645161290322581</v>
      </c>
      <c r="G232" s="14" t="n">
        <f aca="false">(ABS(D63-H63)/D63)*100</f>
        <v>0.00155038759689922</v>
      </c>
      <c r="H232" s="23"/>
      <c r="I232" s="12" t="n">
        <f aca="false">(ABS(C63-I63)/C63)*100</f>
        <v>91.7806451612903</v>
      </c>
      <c r="J232" s="14" t="n">
        <f aca="false">(ABS(D63-J63)/D63)*100</f>
        <v>22.0558139534884</v>
      </c>
      <c r="K232" s="23"/>
      <c r="L232" s="14" t="n">
        <f aca="false">(ABS(C63-K63)/C63)*100</f>
        <v>0</v>
      </c>
      <c r="M232" s="14" t="n">
        <f aca="false">(ABS(D63-L63)/D63)*100</f>
        <v>0</v>
      </c>
      <c r="N232" s="23"/>
    </row>
    <row r="233" customFormat="false" ht="15" hidden="false" customHeight="false" outlineLevel="0" collapsed="false">
      <c r="A233" s="8"/>
      <c r="B233" s="14" t="n">
        <v>60</v>
      </c>
      <c r="C233" s="36" t="n">
        <f aca="false">(ABS(C64-E64)/C64)*100</f>
        <v>99.9548387096774</v>
      </c>
      <c r="D233" s="14" t="n">
        <f aca="false">(ABS(D64-F64)/D64)*100</f>
        <v>24.0201550387597</v>
      </c>
      <c r="E233" s="23"/>
      <c r="F233" s="33" t="n">
        <f aca="false">(ABS(C64-G64)/C64)*100</f>
        <v>0.00645161290322581</v>
      </c>
      <c r="G233" s="14" t="n">
        <f aca="false">(ABS(D64-H64)/D64)*100</f>
        <v>0.00155038759689922</v>
      </c>
      <c r="H233" s="23"/>
      <c r="I233" s="12" t="n">
        <f aca="false">(ABS(C64-I64)/C64)*100</f>
        <v>95.5774193548387</v>
      </c>
      <c r="J233" s="14" t="n">
        <f aca="false">(ABS(D64-J64)/D64)*100</f>
        <v>22.9682170542636</v>
      </c>
      <c r="K233" s="23"/>
      <c r="L233" s="14" t="n">
        <f aca="false">(ABS(C64-K64)/C64)*100</f>
        <v>0</v>
      </c>
      <c r="M233" s="14" t="n">
        <f aca="false">(ABS(D64-L64)/D64)*100</f>
        <v>0</v>
      </c>
      <c r="N233" s="23"/>
    </row>
    <row r="234" customFormat="false" ht="15" hidden="false" customHeight="false" outlineLevel="0" collapsed="false">
      <c r="A234" s="8"/>
      <c r="B234" s="14" t="n">
        <v>61</v>
      </c>
      <c r="C234" s="36" t="n">
        <f aca="false">(ABS(C65-E65)/C65)*100</f>
        <v>99.8516129032258</v>
      </c>
      <c r="D234" s="14" t="n">
        <f aca="false">(ABS(D65-F65)/D65)*100</f>
        <v>23.9953488372093</v>
      </c>
      <c r="E234" s="23"/>
      <c r="F234" s="33" t="n">
        <f aca="false">(ABS(C65-G65)/C65)*100</f>
        <v>0.00645161290322581</v>
      </c>
      <c r="G234" s="14" t="n">
        <f aca="false">(ABS(D65-H65)/D65)*100</f>
        <v>0.00155038759689922</v>
      </c>
      <c r="H234" s="23"/>
      <c r="I234" s="12" t="n">
        <f aca="false">(ABS(C65-I65)/C65)*100</f>
        <v>99.7064516129032</v>
      </c>
      <c r="J234" s="14" t="n">
        <f aca="false">(ABS(D65-J65)/D65)*100</f>
        <v>23.9604651162791</v>
      </c>
      <c r="K234" s="23"/>
      <c r="L234" s="14" t="n">
        <f aca="false">(ABS(C65-K65)/C65)*100</f>
        <v>0</v>
      </c>
      <c r="M234" s="14" t="n">
        <f aca="false">(ABS(D65-L65)/D65)*100</f>
        <v>0</v>
      </c>
      <c r="N234" s="23"/>
    </row>
    <row r="235" customFormat="false" ht="15" hidden="false" customHeight="false" outlineLevel="0" collapsed="false">
      <c r="A235" s="8"/>
      <c r="B235" s="14" t="n">
        <v>62</v>
      </c>
      <c r="C235" s="36" t="n">
        <f aca="false">(ABS(C66-E66)/C66)*100</f>
        <v>99.9612903225806</v>
      </c>
      <c r="D235" s="14" t="n">
        <f aca="false">(ABS(D66-F66)/D66)*100</f>
        <v>24.0217054263566</v>
      </c>
      <c r="E235" s="23"/>
      <c r="F235" s="33" t="n">
        <f aca="false">(ABS(C66-G66)/C66)*100</f>
        <v>0.0451612903225806</v>
      </c>
      <c r="G235" s="14" t="n">
        <f aca="false">(ABS(D66-H66)/D66)*100</f>
        <v>0.0108527131782946</v>
      </c>
      <c r="H235" s="23"/>
      <c r="I235" s="12" t="n">
        <f aca="false">(ABS(C66-I66)/C66)*100</f>
        <v>99.9806451612903</v>
      </c>
      <c r="J235" s="14" t="n">
        <f aca="false">(ABS(D66-J66)/D66)*100</f>
        <v>24.0263565891473</v>
      </c>
      <c r="K235" s="23"/>
      <c r="L235" s="14" t="n">
        <f aca="false">(ABS(C66-K66)/C66)*100</f>
        <v>0.0193548387096774</v>
      </c>
      <c r="M235" s="14" t="n">
        <f aca="false">(ABS(D66-L66)/D66)*100</f>
        <v>0.00465116279069767</v>
      </c>
      <c r="N235" s="23"/>
    </row>
    <row r="236" customFormat="false" ht="15" hidden="false" customHeight="false" outlineLevel="0" collapsed="false">
      <c r="A236" s="8"/>
      <c r="B236" s="14" t="n">
        <v>63</v>
      </c>
      <c r="C236" s="36" t="n">
        <f aca="false">(ABS(C67-E67)/C67)*100</f>
        <v>99.8407643312102</v>
      </c>
      <c r="D236" s="14" t="n">
        <f aca="false">(ABS(D67-F67)/D67)*100</f>
        <v>24.3779160186625</v>
      </c>
      <c r="E236" s="23"/>
      <c r="F236" s="33" t="n">
        <f aca="false">(ABS(C67-G67)/C67)*100</f>
        <v>0.00636942675159236</v>
      </c>
      <c r="G236" s="14" t="n">
        <f aca="false">(ABS(D67-H67)/D67)*100</f>
        <v>0.0015552099533437</v>
      </c>
      <c r="H236" s="23"/>
      <c r="I236" s="12" t="n">
        <f aca="false">(ABS(C67-I67)/C67)*100</f>
        <v>99.9076433121019</v>
      </c>
      <c r="J236" s="14" t="n">
        <f aca="false">(ABS(D67-J67)/D67)*100</f>
        <v>24.3942457231726</v>
      </c>
      <c r="K236" s="23"/>
      <c r="L236" s="14" t="n">
        <f aca="false">(ABS(C67-K67)/C67)*100</f>
        <v>0</v>
      </c>
      <c r="M236" s="14" t="n">
        <f aca="false">(ABS(D67-L67)/D67)*100</f>
        <v>0</v>
      </c>
      <c r="N236" s="23"/>
    </row>
    <row r="237" customFormat="false" ht="15" hidden="false" customHeight="false" outlineLevel="0" collapsed="false">
      <c r="A237" s="8"/>
      <c r="B237" s="14" t="n">
        <v>64</v>
      </c>
      <c r="C237" s="36" t="n">
        <f aca="false">(ABS(C68-E68)/C68)*100</f>
        <v>99.2197452229299</v>
      </c>
      <c r="D237" s="14" t="n">
        <f aca="false">(ABS(D68-F68)/D68)*100</f>
        <v>24.2262830482115</v>
      </c>
      <c r="E237" s="23"/>
      <c r="F237" s="33" t="n">
        <f aca="false">(ABS(C68-G68)/C68)*100</f>
        <v>0.00318471337579618</v>
      </c>
      <c r="G237" s="14" t="n">
        <f aca="false">(ABS(D68-H68)/D68)*100</f>
        <v>0.000777604976671851</v>
      </c>
      <c r="H237" s="23"/>
      <c r="I237" s="12" t="n">
        <f aca="false">(ABS(C68-I68)/C68)*100</f>
        <v>99.9140127388535</v>
      </c>
      <c r="J237" s="14" t="n">
        <f aca="false">(ABS(D68-J68)/D68)*100</f>
        <v>24.395800933126</v>
      </c>
      <c r="K237" s="23"/>
      <c r="L237" s="14" t="n">
        <f aca="false">(ABS(C68-K68)/C68)*100</f>
        <v>0.00318471337579618</v>
      </c>
      <c r="M237" s="14" t="n">
        <f aca="false">(ABS(D68-L68)/D68)*100</f>
        <v>0.000777604976671851</v>
      </c>
      <c r="N237" s="23"/>
    </row>
    <row r="238" customFormat="false" ht="15" hidden="false" customHeight="false" outlineLevel="0" collapsed="false">
      <c r="A238" s="8"/>
      <c r="B238" s="14" t="n">
        <v>65</v>
      </c>
      <c r="C238" s="36" t="n">
        <f aca="false">(ABS(C69-E69)/C69)*100</f>
        <v>100</v>
      </c>
      <c r="D238" s="14" t="n">
        <f aca="false">(ABS(D69-F69)/D69)*100</f>
        <v>24.4167962674961</v>
      </c>
      <c r="E238" s="23"/>
      <c r="F238" s="33" t="n">
        <f aca="false">(ABS(C69-G69)/C69)*100</f>
        <v>0.503184713375796</v>
      </c>
      <c r="G238" s="14" t="n">
        <f aca="false">(ABS(D69-H69)/D69)*100</f>
        <v>0.122861586314152</v>
      </c>
      <c r="H238" s="23"/>
      <c r="I238" s="12" t="n">
        <f aca="false">(ABS(C69-I69)/C69)*100</f>
        <v>99.8503184713376</v>
      </c>
      <c r="J238" s="14" t="n">
        <f aca="false">(ABS(D69-J69)/D69)*100</f>
        <v>24.3802488335925</v>
      </c>
      <c r="K238" s="23"/>
      <c r="L238" s="14" t="n">
        <f aca="false">(ABS(C69-K69)/C69)*100</f>
        <v>0.00318471337579618</v>
      </c>
      <c r="M238" s="14" t="n">
        <f aca="false">(ABS(D69-L69)/D69)*100</f>
        <v>0.000777604976671851</v>
      </c>
      <c r="N238" s="23"/>
    </row>
    <row r="239" customFormat="false" ht="15" hidden="false" customHeight="false" outlineLevel="0" collapsed="false">
      <c r="A239" s="8"/>
      <c r="B239" s="14" t="n">
        <v>66</v>
      </c>
      <c r="C239" s="36" t="n">
        <f aca="false">(ABS(C70-E70)/C70)*100</f>
        <v>99.7324840764331</v>
      </c>
      <c r="D239" s="14" t="n">
        <f aca="false">(ABS(D70-F70)/D70)*100</f>
        <v>24.3514774494557</v>
      </c>
      <c r="E239" s="23"/>
      <c r="F239" s="33" t="n">
        <f aca="false">(ABS(C70-G70)/C70)*100</f>
        <v>0.00636942675159236</v>
      </c>
      <c r="G239" s="14" t="n">
        <f aca="false">(ABS(D70-H70)/D70)*100</f>
        <v>0.0015552099533437</v>
      </c>
      <c r="H239" s="23"/>
      <c r="I239" s="12" t="n">
        <f aca="false">(ABS(C70-I70)/C70)*100</f>
        <v>99.703821656051</v>
      </c>
      <c r="J239" s="14" t="n">
        <f aca="false">(ABS(D70-J70)/D70)*100</f>
        <v>24.3444790046656</v>
      </c>
      <c r="K239" s="23"/>
      <c r="L239" s="14" t="n">
        <f aca="false">(ABS(C70-K70)/C70)*100</f>
        <v>0</v>
      </c>
      <c r="M239" s="14" t="n">
        <f aca="false">(ABS(D70-L70)/D70)*100</f>
        <v>0</v>
      </c>
      <c r="N239" s="23"/>
    </row>
    <row r="240" customFormat="false" ht="15" hidden="false" customHeight="false" outlineLevel="0" collapsed="false">
      <c r="A240" s="8"/>
      <c r="B240" s="14" t="n">
        <v>67</v>
      </c>
      <c r="C240" s="36" t="n">
        <f aca="false">(ABS(C71-E71)/C71)*100</f>
        <v>99.5796178343949</v>
      </c>
      <c r="D240" s="14" t="n">
        <f aca="false">(ABS(D71-F71)/D71)*100</f>
        <v>24.3141524105754</v>
      </c>
      <c r="E240" s="23"/>
      <c r="F240" s="33" t="n">
        <f aca="false">(ABS(C71-G71)/C71)*100</f>
        <v>0.0477707006369427</v>
      </c>
      <c r="G240" s="14" t="n">
        <f aca="false">(ABS(D71-H71)/D71)*100</f>
        <v>0.0116640746500778</v>
      </c>
      <c r="H240" s="23"/>
      <c r="I240" s="12" t="n">
        <f aca="false">(ABS(C71-I71)/C71)*100</f>
        <v>98.9617834394905</v>
      </c>
      <c r="J240" s="14" t="n">
        <f aca="false">(ABS(D71-J71)/D71)*100</f>
        <v>24.1632970451011</v>
      </c>
      <c r="K240" s="23"/>
      <c r="L240" s="14" t="n">
        <f aca="false">(ABS(C71-K71)/C71)*100</f>
        <v>0.0318471337579618</v>
      </c>
      <c r="M240" s="14" t="n">
        <f aca="false">(ABS(D71-L71)/D71)*100</f>
        <v>0.00777604976671851</v>
      </c>
      <c r="N240" s="23"/>
    </row>
    <row r="241" customFormat="false" ht="15" hidden="false" customHeight="false" outlineLevel="0" collapsed="false">
      <c r="A241" s="8"/>
      <c r="B241" s="14" t="n">
        <v>68</v>
      </c>
      <c r="C241" s="36" t="n">
        <f aca="false">(ABS(C72-E72)/C72)*100</f>
        <v>99.9842767295598</v>
      </c>
      <c r="D241" s="14" t="n">
        <f aca="false">(ABS(D72-F72)/D72)*100</f>
        <v>24.8010920436817</v>
      </c>
      <c r="E241" s="23"/>
      <c r="F241" s="33" t="n">
        <f aca="false">(ABS(C72-G72)/C72)*100</f>
        <v>0.00628930817610063</v>
      </c>
      <c r="G241" s="14" t="n">
        <f aca="false">(ABS(D72-H72)/D72)*100</f>
        <v>0.0015600624024961</v>
      </c>
      <c r="H241" s="23"/>
      <c r="I241" s="12" t="n">
        <f aca="false">(ABS(C72-I72)/C72)*100</f>
        <v>98.1446540880503</v>
      </c>
      <c r="J241" s="14" t="n">
        <f aca="false">(ABS(D72-J72)/D72)*100</f>
        <v>24.3447737909516</v>
      </c>
      <c r="K241" s="23"/>
      <c r="L241" s="14" t="n">
        <f aca="false">(ABS(C72-K72)/C72)*100</f>
        <v>0</v>
      </c>
      <c r="M241" s="14" t="n">
        <f aca="false">(ABS(D72-L72)/D72)*100</f>
        <v>0</v>
      </c>
      <c r="N241" s="23"/>
    </row>
    <row r="242" customFormat="false" ht="15" hidden="false" customHeight="false" outlineLevel="0" collapsed="false">
      <c r="A242" s="8"/>
      <c r="B242" s="14" t="n">
        <v>69</v>
      </c>
      <c r="C242" s="36" t="n">
        <f aca="false">(ABS(C73-E73)/C73)*100</f>
        <v>97.5817610062893</v>
      </c>
      <c r="D242" s="14" t="n">
        <f aca="false">(ABS(D73-F73)/D73)*100</f>
        <v>24.2051482059282</v>
      </c>
      <c r="E242" s="23"/>
      <c r="F242" s="33" t="n">
        <f aca="false">(ABS(C73-G73)/C73)*100</f>
        <v>0.00314465408805031</v>
      </c>
      <c r="G242" s="14" t="n">
        <f aca="false">(ABS(D73-H73)/D73)*100</f>
        <v>0.00078003120124805</v>
      </c>
      <c r="H242" s="23"/>
      <c r="I242" s="12" t="n">
        <f aca="false">(ABS(C73-I73)/C73)*100</f>
        <v>97.7264150943396</v>
      </c>
      <c r="J242" s="14" t="n">
        <f aca="false">(ABS(D73-J73)/D73)*100</f>
        <v>24.2410296411856</v>
      </c>
      <c r="K242" s="23"/>
      <c r="L242" s="14" t="n">
        <f aca="false">(ABS(C73-K73)/C73)*100</f>
        <v>0.00314465408805031</v>
      </c>
      <c r="M242" s="14" t="n">
        <f aca="false">(ABS(D73-L73)/D73)*100</f>
        <v>0.00078003120124805</v>
      </c>
      <c r="N242" s="23"/>
    </row>
    <row r="243" customFormat="false" ht="15" hidden="false" customHeight="false" outlineLevel="0" collapsed="false">
      <c r="A243" s="8"/>
      <c r="B243" s="14" t="n">
        <v>70</v>
      </c>
      <c r="C243" s="36" t="n">
        <f aca="false">(ABS(C74-E74)/C74)*100</f>
        <v>99.6635220125786</v>
      </c>
      <c r="D243" s="14" t="n">
        <f aca="false">(ABS(D74-F74)/D74)*100</f>
        <v>24.7215288611544</v>
      </c>
      <c r="E243" s="23"/>
      <c r="F243" s="33" t="n">
        <f aca="false">(ABS(C74-G74)/C74)*100</f>
        <v>0.00628930817610063</v>
      </c>
      <c r="G243" s="14" t="n">
        <f aca="false">(ABS(D74-H74)/D74)*100</f>
        <v>0.0015600624024961</v>
      </c>
      <c r="H243" s="23"/>
      <c r="I243" s="12" t="n">
        <f aca="false">(ABS(C74-I74)/C74)*100</f>
        <v>98.9119496855346</v>
      </c>
      <c r="J243" s="14" t="n">
        <f aca="false">(ABS(D74-J74)/D74)*100</f>
        <v>24.5351014040562</v>
      </c>
      <c r="K243" s="23"/>
      <c r="L243" s="14" t="n">
        <f aca="false">(ABS(C74-K74)/C74)*100</f>
        <v>0</v>
      </c>
      <c r="M243" s="14" t="n">
        <f aca="false">(ABS(D74-L74)/D74)*100</f>
        <v>0</v>
      </c>
      <c r="N243" s="23"/>
    </row>
    <row r="244" customFormat="false" ht="15" hidden="false" customHeight="false" outlineLevel="0" collapsed="false">
      <c r="A244" s="8"/>
      <c r="B244" s="14" t="n">
        <v>71</v>
      </c>
      <c r="C244" s="36" t="n">
        <f aca="false">(ABS(C75-E75)/C75)*100</f>
        <v>99.9496855345912</v>
      </c>
      <c r="D244" s="14" t="n">
        <f aca="false">(ABS(D75-F75)/D75)*100</f>
        <v>24.792511700468</v>
      </c>
      <c r="E244" s="23"/>
      <c r="F244" s="33" t="n">
        <f aca="false">(ABS(C75-G75)/C75)*100</f>
        <v>0.00628930817610063</v>
      </c>
      <c r="G244" s="14" t="n">
        <f aca="false">(ABS(D75-H75)/D75)*100</f>
        <v>0.0015600624024961</v>
      </c>
      <c r="H244" s="23"/>
      <c r="I244" s="12" t="n">
        <f aca="false">(ABS(C75-I75)/C75)*100</f>
        <v>97.2767295597484</v>
      </c>
      <c r="J244" s="14" t="n">
        <f aca="false">(ABS(D75-J75)/D75)*100</f>
        <v>24.1294851794072</v>
      </c>
      <c r="K244" s="23"/>
      <c r="L244" s="14" t="n">
        <f aca="false">(ABS(C75-K75)/C75)*100</f>
        <v>0</v>
      </c>
      <c r="M244" s="14" t="n">
        <f aca="false">(ABS(D75-L75)/D75)*100</f>
        <v>0</v>
      </c>
      <c r="N244" s="23"/>
    </row>
    <row r="245" customFormat="false" ht="15" hidden="false" customHeight="false" outlineLevel="0" collapsed="false">
      <c r="A245" s="8"/>
      <c r="B245" s="14" t="n">
        <v>72</v>
      </c>
      <c r="C245" s="36" t="n">
        <f aca="false">(ABS(C76-E76)/C76)*100</f>
        <v>99.9842767295598</v>
      </c>
      <c r="D245" s="14" t="n">
        <f aca="false">(ABS(D76-F76)/D76)*100</f>
        <v>24.8010920436817</v>
      </c>
      <c r="E245" s="23"/>
      <c r="F245" s="33" t="n">
        <f aca="false">(ABS(C76-G76)/C76)*100</f>
        <v>0.00628930817610063</v>
      </c>
      <c r="G245" s="14" t="n">
        <f aca="false">(ABS(D76-H76)/D76)*100</f>
        <v>0.0015600624024961</v>
      </c>
      <c r="H245" s="23"/>
      <c r="I245" s="12" t="n">
        <f aca="false">(ABS(C76-I76)/C76)*100</f>
        <v>99.2861635220126</v>
      </c>
      <c r="J245" s="14" t="n">
        <f aca="false">(ABS(D76-J76)/D76)*100</f>
        <v>24.6279251170047</v>
      </c>
      <c r="K245" s="23"/>
      <c r="L245" s="14" t="n">
        <f aca="false">(ABS(C76-K76)/C76)*100</f>
        <v>0</v>
      </c>
      <c r="M245" s="14" t="n">
        <f aca="false">(ABS(D76-L76)/D76)*100</f>
        <v>0</v>
      </c>
      <c r="N245" s="23"/>
    </row>
    <row r="246" customFormat="false" ht="15" hidden="false" customHeight="false" outlineLevel="0" collapsed="false">
      <c r="A246" s="8"/>
      <c r="B246" s="14" t="n">
        <v>73</v>
      </c>
      <c r="C246" s="36" t="n">
        <f aca="false">(ABS(C77-E77)/C77)*100</f>
        <v>96.4119496855346</v>
      </c>
      <c r="D246" s="14" t="n">
        <f aca="false">(ABS(D77-F77)/D77)*100</f>
        <v>23.914976599064</v>
      </c>
      <c r="E246" s="23"/>
      <c r="F246" s="33" t="n">
        <f aca="false">(ABS(C77-G77)/C77)*100</f>
        <v>0.00628930817610063</v>
      </c>
      <c r="G246" s="14" t="n">
        <f aca="false">(ABS(D77-H77)/D77)*100</f>
        <v>0.0015600624024961</v>
      </c>
      <c r="H246" s="23"/>
      <c r="I246" s="12" t="n">
        <f aca="false">(ABS(C77-I77)/C77)*100</f>
        <v>99.8899371069182</v>
      </c>
      <c r="J246" s="14" t="n">
        <f aca="false">(ABS(D77-J77)/D77)*100</f>
        <v>24.7776911076443</v>
      </c>
      <c r="K246" s="23"/>
      <c r="L246" s="14" t="n">
        <f aca="false">(ABS(C77-K77)/C77)*100</f>
        <v>0</v>
      </c>
      <c r="M246" s="14" t="n">
        <f aca="false">(ABS(D77-L77)/D77)*100</f>
        <v>0</v>
      </c>
      <c r="N246" s="23"/>
    </row>
    <row r="247" customFormat="false" ht="15" hidden="false" customHeight="false" outlineLevel="0" collapsed="false">
      <c r="A247" s="8"/>
      <c r="B247" s="14" t="n">
        <v>74</v>
      </c>
      <c r="C247" s="36" t="n">
        <f aca="false">(ABS(C78-E78)/C78)*100</f>
        <v>99.9779874213837</v>
      </c>
      <c r="D247" s="14" t="n">
        <f aca="false">(ABS(D78-F78)/D78)*100</f>
        <v>24.7995319812793</v>
      </c>
      <c r="E247" s="23"/>
      <c r="F247" s="33" t="n">
        <f aca="false">(ABS(C78-G78)/C78)*100</f>
        <v>0.00314465408805031</v>
      </c>
      <c r="G247" s="14" t="n">
        <f aca="false">(ABS(D78-H78)/D78)*100</f>
        <v>0.00078003120124805</v>
      </c>
      <c r="H247" s="23"/>
      <c r="I247" s="12" t="n">
        <f aca="false">(ABS(C78-I78)/C78)*100</f>
        <v>100</v>
      </c>
      <c r="J247" s="14" t="n">
        <f aca="false">(ABS(D78-J78)/D78)*100</f>
        <v>24.804992199688</v>
      </c>
      <c r="K247" s="23"/>
      <c r="L247" s="14" t="n">
        <f aca="false">(ABS(C78-K78)/C78)*100</f>
        <v>0</v>
      </c>
      <c r="M247" s="14" t="n">
        <f aca="false">(ABS(D78-L78)/D78)*100</f>
        <v>0</v>
      </c>
      <c r="N247" s="23"/>
    </row>
    <row r="248" customFormat="false" ht="15" hidden="false" customHeight="false" outlineLevel="0" collapsed="false">
      <c r="A248" s="8"/>
      <c r="B248" s="14" t="n">
        <v>75</v>
      </c>
      <c r="C248" s="36" t="n">
        <f aca="false">(ABS(C79-E79)/C79)*100</f>
        <v>99.9779874213837</v>
      </c>
      <c r="D248" s="14" t="n">
        <f aca="false">(ABS(D79-F79)/D79)*100</f>
        <v>24.7995319812793</v>
      </c>
      <c r="E248" s="23"/>
      <c r="F248" s="33" t="n">
        <f aca="false">(ABS(C79-G79)/C79)*100</f>
        <v>0.059748427672956</v>
      </c>
      <c r="G248" s="14" t="n">
        <f aca="false">(ABS(D79-H79)/D79)*100</f>
        <v>0.0148205928237129</v>
      </c>
      <c r="H248" s="23"/>
      <c r="I248" s="12" t="n">
        <f aca="false">(ABS(C79-I79)/C79)*100</f>
        <v>99.996855345912</v>
      </c>
      <c r="J248" s="14" t="n">
        <f aca="false">(ABS(D79-J79)/D79)*100</f>
        <v>24.8042121684867</v>
      </c>
      <c r="K248" s="23"/>
      <c r="L248" s="14" t="n">
        <f aca="false">(ABS(C79-K79)/C79)*100</f>
        <v>0.0314465408805031</v>
      </c>
      <c r="M248" s="14" t="n">
        <f aca="false">(ABS(D79-L79)/D79)*100</f>
        <v>0.0078003120124805</v>
      </c>
      <c r="N248" s="23"/>
    </row>
    <row r="249" customFormat="false" ht="15" hidden="false" customHeight="false" outlineLevel="0" collapsed="false">
      <c r="A249" s="8"/>
      <c r="B249" s="14" t="n">
        <v>76</v>
      </c>
      <c r="C249" s="36" t="n">
        <f aca="false">(ABS(C80-E80)/C80)*100</f>
        <v>99.7389937106918</v>
      </c>
      <c r="D249" s="14" t="n">
        <f aca="false">(ABS(D80-F80)/D80)*100</f>
        <v>24.7402496099844</v>
      </c>
      <c r="E249" s="23"/>
      <c r="F249" s="33" t="n">
        <f aca="false">(ABS(C80-G80)/C80)*100</f>
        <v>0.00628930817610063</v>
      </c>
      <c r="G249" s="14" t="n">
        <f aca="false">(ABS(D80-H80)/D80)*100</f>
        <v>0.0015600624024961</v>
      </c>
      <c r="H249" s="23"/>
      <c r="I249" s="12" t="n">
        <f aca="false">(ABS(C80-I80)/C80)*100</f>
        <v>98.3050314465409</v>
      </c>
      <c r="J249" s="14" t="n">
        <f aca="false">(ABS(D80-J80)/D80)*100</f>
        <v>24.3845553822153</v>
      </c>
      <c r="K249" s="23"/>
      <c r="L249" s="14" t="n">
        <f aca="false">(ABS(C80-K80)/C80)*100</f>
        <v>0</v>
      </c>
      <c r="M249" s="14" t="n">
        <f aca="false">(ABS(D80-L80)/D80)*100</f>
        <v>0</v>
      </c>
      <c r="N249" s="23"/>
    </row>
    <row r="250" customFormat="false" ht="15" hidden="false" customHeight="false" outlineLevel="0" collapsed="false">
      <c r="A250" s="8"/>
      <c r="B250" s="14" t="n">
        <v>77</v>
      </c>
      <c r="C250" s="36" t="n">
        <f aca="false">(ABS(C81-E81)/C81)*100</f>
        <v>99.9528301886792</v>
      </c>
      <c r="D250" s="14" t="n">
        <f aca="false">(ABS(D81-F81)/D81)*100</f>
        <v>24.7932917316693</v>
      </c>
      <c r="E250" s="23"/>
      <c r="F250" s="33" t="n">
        <f aca="false">(ABS(C81-G81)/C81)*100</f>
        <v>0.00628930817610063</v>
      </c>
      <c r="G250" s="14" t="n">
        <f aca="false">(ABS(D81-H81)/D81)*100</f>
        <v>0.0015600624024961</v>
      </c>
      <c r="H250" s="23"/>
      <c r="I250" s="12" t="n">
        <f aca="false">(ABS(C81-I81)/C81)*100</f>
        <v>98.8396226415094</v>
      </c>
      <c r="J250" s="14" t="n">
        <f aca="false">(ABS(D81-J81)/D81)*100</f>
        <v>24.5171606864275</v>
      </c>
      <c r="K250" s="23"/>
      <c r="L250" s="14" t="n">
        <f aca="false">(ABS(C81-K81)/C81)*100</f>
        <v>0</v>
      </c>
      <c r="M250" s="14" t="n">
        <f aca="false">(ABS(D81-L81)/D81)*100</f>
        <v>0</v>
      </c>
      <c r="N250" s="23"/>
    </row>
    <row r="251" customFormat="false" ht="15" hidden="false" customHeight="false" outlineLevel="0" collapsed="false">
      <c r="A251" s="8"/>
      <c r="B251" s="14" t="n">
        <v>78</v>
      </c>
      <c r="C251" s="36" t="n">
        <f aca="false">(ABS(C82-E82)/C82)*100</f>
        <v>99.9276729559748</v>
      </c>
      <c r="D251" s="14" t="n">
        <f aca="false">(ABS(D82-F82)/D82)*100</f>
        <v>24.7870514820593</v>
      </c>
      <c r="E251" s="23"/>
      <c r="F251" s="33" t="n">
        <f aca="false">(ABS(C82-G82)/C82)*100</f>
        <v>0.00628930817610063</v>
      </c>
      <c r="G251" s="14" t="n">
        <f aca="false">(ABS(D82-H82)/D82)*100</f>
        <v>0.0015600624024961</v>
      </c>
      <c r="H251" s="23"/>
      <c r="I251" s="12" t="n">
        <f aca="false">(ABS(C82-I82)/C82)*100</f>
        <v>100</v>
      </c>
      <c r="J251" s="14" t="n">
        <f aca="false">(ABS(D82-J82)/D82)*100</f>
        <v>24.804992199688</v>
      </c>
      <c r="K251" s="23"/>
      <c r="L251" s="14" t="n">
        <f aca="false">(ABS(C82-K82)/C82)*100</f>
        <v>0</v>
      </c>
      <c r="M251" s="14" t="n">
        <f aca="false">(ABS(D82-L82)/D82)*100</f>
        <v>0</v>
      </c>
      <c r="N251" s="23"/>
    </row>
    <row r="252" customFormat="false" ht="15" hidden="false" customHeight="false" outlineLevel="0" collapsed="false">
      <c r="A252" s="8"/>
      <c r="B252" s="14" t="n">
        <v>79</v>
      </c>
      <c r="C252" s="36" t="n">
        <f aca="false">(ABS(C83-E83)/C83)*100</f>
        <v>99.6289308176101</v>
      </c>
      <c r="D252" s="14" t="n">
        <f aca="false">(ABS(D83-F83)/D83)*100</f>
        <v>24.7129485179407</v>
      </c>
      <c r="E252" s="23"/>
      <c r="F252" s="33" t="n">
        <f aca="false">(ABS(C83-G83)/C83)*100</f>
        <v>0.00628930817610063</v>
      </c>
      <c r="G252" s="14" t="n">
        <f aca="false">(ABS(D83-H83)/D83)*100</f>
        <v>0.0015600624024961</v>
      </c>
      <c r="H252" s="23"/>
      <c r="I252" s="12" t="n">
        <f aca="false">(ABS(C83-I83)/C83)*100</f>
        <v>90.5251572327044</v>
      </c>
      <c r="J252" s="14" t="n">
        <f aca="false">(ABS(D83-J83)/D83)*100</f>
        <v>22.4547581903276</v>
      </c>
      <c r="K252" s="23"/>
      <c r="L252" s="14" t="n">
        <f aca="false">(ABS(C83-K83)/C83)*100</f>
        <v>0</v>
      </c>
      <c r="M252" s="14" t="n">
        <f aca="false">(ABS(D83-L83)/D83)*100</f>
        <v>0</v>
      </c>
      <c r="N252" s="23"/>
    </row>
    <row r="253" customFormat="false" ht="15" hidden="false" customHeight="false" outlineLevel="0" collapsed="false">
      <c r="A253" s="8"/>
      <c r="B253" s="14" t="n">
        <v>80</v>
      </c>
      <c r="C253" s="36" t="n">
        <f aca="false">(ABS(C84-E84)/C84)*100</f>
        <v>99.9782608695652</v>
      </c>
      <c r="D253" s="14" t="n">
        <f aca="false">(ABS(D84-F84)/D84)*100</f>
        <v>25.1901408450704</v>
      </c>
      <c r="E253" s="23"/>
      <c r="F253" s="33" t="n">
        <f aca="false">(ABS(C84-G84)/C84)*100</f>
        <v>0.0496894409937888</v>
      </c>
      <c r="G253" s="14" t="n">
        <f aca="false">(ABS(D84-H84)/D84)*100</f>
        <v>0.0125195618153365</v>
      </c>
      <c r="H253" s="23"/>
      <c r="I253" s="12" t="n">
        <f aca="false">(ABS(C84-I84)/C84)*100</f>
        <v>99.6304347826087</v>
      </c>
      <c r="J253" s="14" t="n">
        <f aca="false">(ABS(D84-J84)/D84)*100</f>
        <v>25.1025039123631</v>
      </c>
      <c r="K253" s="23"/>
      <c r="L253" s="14" t="n">
        <f aca="false">(ABS(C84-K84)/C84)*100</f>
        <v>0.0062111801242236</v>
      </c>
      <c r="M253" s="14" t="n">
        <f aca="false">(ABS(D84-L84)/D84)*100</f>
        <v>0.00156494522691706</v>
      </c>
      <c r="N253" s="23"/>
    </row>
    <row r="254" customFormat="false" ht="15" hidden="false" customHeight="false" outlineLevel="0" collapsed="false">
      <c r="A254" s="8"/>
      <c r="B254" s="14" t="n">
        <v>81</v>
      </c>
      <c r="C254" s="36" t="n">
        <f aca="false">(ABS(C85-E85)/C85)*100</f>
        <v>99.7798742138365</v>
      </c>
      <c r="D254" s="14" t="n">
        <f aca="false">(ABS(D85-F85)/D85)*100</f>
        <v>24.7503900156006</v>
      </c>
      <c r="E254" s="23"/>
      <c r="F254" s="33" t="n">
        <f aca="false">(ABS(C85-G85)/C85)*100</f>
        <v>0.628930817610063</v>
      </c>
      <c r="G254" s="14" t="n">
        <f aca="false">(ABS(D85-H85)/D85)*100</f>
        <v>0.15600624024961</v>
      </c>
      <c r="H254" s="23"/>
      <c r="I254" s="12" t="n">
        <f aca="false">(ABS(C85-I85)/C85)*100</f>
        <v>94.4559748427673</v>
      </c>
      <c r="J254" s="14" t="n">
        <f aca="false">(ABS(D85-J85)/D85)*100</f>
        <v>23.4297971918877</v>
      </c>
      <c r="K254" s="23"/>
      <c r="L254" s="14" t="n">
        <f aca="false">(ABS(C85-K85)/C85)*100</f>
        <v>0.00314465408805031</v>
      </c>
      <c r="M254" s="14" t="n">
        <f aca="false">(ABS(D85-L85)/D85)*100</f>
        <v>0.00078003120124805</v>
      </c>
      <c r="N254" s="23"/>
    </row>
    <row r="255" customFormat="false" ht="15" hidden="false" customHeight="false" outlineLevel="0" collapsed="false">
      <c r="A255" s="8"/>
      <c r="B255" s="14" t="n">
        <v>82</v>
      </c>
      <c r="C255" s="36" t="n">
        <f aca="false">(ABS(C86-E86)/C86)*100</f>
        <v>99.9779874213837</v>
      </c>
      <c r="D255" s="14" t="n">
        <f aca="false">(ABS(D86-F86)/D86)*100</f>
        <v>24.7995319812793</v>
      </c>
      <c r="E255" s="23"/>
      <c r="F255" s="33" t="n">
        <f aca="false">(ABS(C86-G86)/C86)*100</f>
        <v>0.00628930817610063</v>
      </c>
      <c r="G255" s="14" t="n">
        <f aca="false">(ABS(D86-H86)/D86)*100</f>
        <v>0.0015600624024961</v>
      </c>
      <c r="H255" s="23"/>
      <c r="I255" s="12" t="n">
        <f aca="false">(ABS(C86-I86)/C86)*100</f>
        <v>95.2987421383648</v>
      </c>
      <c r="J255" s="14" t="n">
        <f aca="false">(ABS(D86-J86)/D86)*100</f>
        <v>23.6388455538222</v>
      </c>
      <c r="K255" s="23"/>
      <c r="L255" s="14" t="n">
        <f aca="false">(ABS(C86-K86)/C86)*100</f>
        <v>0</v>
      </c>
      <c r="M255" s="14" t="n">
        <f aca="false">(ABS(D86-L86)/D86)*100</f>
        <v>0</v>
      </c>
      <c r="N255" s="23"/>
    </row>
    <row r="256" customFormat="false" ht="15" hidden="false" customHeight="false" outlineLevel="0" collapsed="false">
      <c r="A256" s="8"/>
      <c r="B256" s="14" t="n">
        <v>83</v>
      </c>
      <c r="C256" s="36" t="n">
        <f aca="false">(ABS(C87-E87)/C87)*100</f>
        <v>96.9716981132076</v>
      </c>
      <c r="D256" s="14" t="n">
        <f aca="false">(ABS(D87-F87)/D87)*100</f>
        <v>24.0538221528861</v>
      </c>
      <c r="E256" s="23"/>
      <c r="F256" s="33" t="n">
        <f aca="false">(ABS(C87-G87)/C87)*100</f>
        <v>0.00628930817610063</v>
      </c>
      <c r="G256" s="14" t="n">
        <f aca="false">(ABS(D87-H87)/D87)*100</f>
        <v>0.0015600624024961</v>
      </c>
      <c r="H256" s="23"/>
      <c r="I256" s="12" t="n">
        <f aca="false">(ABS(C87-I87)/C87)*100</f>
        <v>97.559748427673</v>
      </c>
      <c r="J256" s="14" t="n">
        <f aca="false">(ABS(D87-J87)/D87)*100</f>
        <v>24.1996879875195</v>
      </c>
      <c r="K256" s="23"/>
      <c r="L256" s="14" t="n">
        <f aca="false">(ABS(C87-K87)/C87)*100</f>
        <v>0</v>
      </c>
      <c r="M256" s="14" t="n">
        <f aca="false">(ABS(D87-L87)/D87)*100</f>
        <v>0</v>
      </c>
      <c r="N256" s="23"/>
    </row>
    <row r="257" customFormat="false" ht="15" hidden="false" customHeight="false" outlineLevel="0" collapsed="false">
      <c r="A257" s="8"/>
      <c r="B257" s="14" t="n">
        <v>84</v>
      </c>
      <c r="C257" s="36" t="n">
        <f aca="false">(ABS(C88-E88)/C88)*100</f>
        <v>99.9496855345912</v>
      </c>
      <c r="D257" s="14" t="n">
        <f aca="false">(ABS(D88-F88)/D88)*100</f>
        <v>24.792511700468</v>
      </c>
      <c r="E257" s="23"/>
      <c r="F257" s="33" t="n">
        <f aca="false">(ABS(C88-G88)/C88)*100</f>
        <v>0.00628930817610063</v>
      </c>
      <c r="G257" s="14" t="n">
        <f aca="false">(ABS(D88-H88)/D88)*100</f>
        <v>0.0015600624024961</v>
      </c>
      <c r="H257" s="23"/>
      <c r="I257" s="12" t="n">
        <f aca="false">(ABS(C88-I88)/C88)*100</f>
        <v>93.9496855345912</v>
      </c>
      <c r="J257" s="14" t="n">
        <f aca="false">(ABS(D88-J88)/D88)*100</f>
        <v>23.3042121684867</v>
      </c>
      <c r="K257" s="23"/>
      <c r="L257" s="14" t="n">
        <f aca="false">(ABS(C88-K88)/C88)*100</f>
        <v>0</v>
      </c>
      <c r="M257" s="14" t="n">
        <f aca="false">(ABS(D88-L88)/D88)*100</f>
        <v>0</v>
      </c>
      <c r="N257" s="23"/>
    </row>
    <row r="258" customFormat="false" ht="15" hidden="false" customHeight="false" outlineLevel="0" collapsed="false">
      <c r="A258" s="8"/>
      <c r="B258" s="14" t="n">
        <v>85</v>
      </c>
      <c r="C258" s="36" t="n">
        <f aca="false">(ABS(C89-E89)/C89)*100</f>
        <v>99.8805031446541</v>
      </c>
      <c r="D258" s="14" t="n">
        <f aca="false">(ABS(D89-F89)/D89)*100</f>
        <v>24.7753510140406</v>
      </c>
      <c r="E258" s="23"/>
      <c r="F258" s="33" t="n">
        <f aca="false">(ABS(C89-G89)/C89)*100</f>
        <v>0.00314465408805031</v>
      </c>
      <c r="G258" s="14" t="n">
        <f aca="false">(ABS(D89-H89)/D89)*100</f>
        <v>0.00078003120124805</v>
      </c>
      <c r="H258" s="23"/>
      <c r="I258" s="12" t="n">
        <f aca="false">(ABS(C89-I89)/C89)*100</f>
        <v>97.6037735849057</v>
      </c>
      <c r="J258" s="14" t="n">
        <f aca="false">(ABS(D89-J89)/D89)*100</f>
        <v>24.210608424337</v>
      </c>
      <c r="K258" s="23"/>
      <c r="L258" s="14" t="n">
        <f aca="false">(ABS(C89-K89)/C89)*100</f>
        <v>0.00314465408805031</v>
      </c>
      <c r="M258" s="14" t="n">
        <f aca="false">(ABS(D89-L89)/D89)*100</f>
        <v>0.00078003120124805</v>
      </c>
      <c r="N258" s="23"/>
    </row>
    <row r="259" customFormat="false" ht="15" hidden="false" customHeight="false" outlineLevel="0" collapsed="false">
      <c r="A259" s="8"/>
      <c r="B259" s="14" t="n">
        <v>86</v>
      </c>
      <c r="C259" s="36" t="n">
        <f aca="false">(ABS(C90-E90)/C90)*100</f>
        <v>99.9496855345912</v>
      </c>
      <c r="D259" s="14" t="n">
        <f aca="false">(ABS(D90-F90)/D90)*100</f>
        <v>24.792511700468</v>
      </c>
      <c r="E259" s="23"/>
      <c r="F259" s="33" t="n">
        <f aca="false">(ABS(C90-G90)/C90)*100</f>
        <v>0.00314465408805031</v>
      </c>
      <c r="G259" s="14" t="n">
        <f aca="false">(ABS(D90-H90)/D90)*100</f>
        <v>0.00078003120124805</v>
      </c>
      <c r="H259" s="23"/>
      <c r="I259" s="12" t="n">
        <f aca="false">(ABS(C90-I90)/C90)*100</f>
        <v>91.0157232704403</v>
      </c>
      <c r="J259" s="14" t="n">
        <f aca="false">(ABS(D90-J90)/D90)*100</f>
        <v>22.5764430577223</v>
      </c>
      <c r="K259" s="23"/>
      <c r="L259" s="14" t="n">
        <f aca="false">(ABS(C90-K90)/C90)*100</f>
        <v>0.00314465408805031</v>
      </c>
      <c r="M259" s="14" t="n">
        <f aca="false">(ABS(D90-L90)/D90)*100</f>
        <v>0.00078003120124805</v>
      </c>
      <c r="N259" s="23"/>
    </row>
    <row r="260" customFormat="false" ht="15" hidden="false" customHeight="false" outlineLevel="0" collapsed="false">
      <c r="A260" s="8"/>
      <c r="B260" s="14" t="n">
        <v>87</v>
      </c>
      <c r="C260" s="36" t="n">
        <f aca="false">(ABS(C91-E91)/C91)*100</f>
        <v>99.9591194968553</v>
      </c>
      <c r="D260" s="14" t="n">
        <f aca="false">(ABS(D91-F91)/D91)*100</f>
        <v>24.7948517940718</v>
      </c>
      <c r="E260" s="23"/>
      <c r="F260" s="33" t="n">
        <f aca="false">(ABS(C91-G91)/C91)*100</f>
        <v>0.00628930817610063</v>
      </c>
      <c r="G260" s="14" t="n">
        <f aca="false">(ABS(D91-H91)/D91)*100</f>
        <v>0.0015600624024961</v>
      </c>
      <c r="H260" s="23"/>
      <c r="I260" s="12" t="n">
        <f aca="false">(ABS(C91-I91)/C91)*100</f>
        <v>93.311320754717</v>
      </c>
      <c r="J260" s="14" t="n">
        <f aca="false">(ABS(D91-J91)/D91)*100</f>
        <v>23.1458658346334</v>
      </c>
      <c r="K260" s="23"/>
      <c r="L260" s="14" t="n">
        <f aca="false">(ABS(C91-K91)/C91)*100</f>
        <v>0</v>
      </c>
      <c r="M260" s="14" t="n">
        <f aca="false">(ABS(D91-L91)/D91)*100</f>
        <v>0</v>
      </c>
      <c r="N260" s="23"/>
    </row>
    <row r="261" customFormat="false" ht="15" hidden="false" customHeight="false" outlineLevel="0" collapsed="false">
      <c r="A261" s="8"/>
      <c r="B261" s="14" t="n">
        <v>88</v>
      </c>
      <c r="C261" s="36" t="n">
        <f aca="false">(ABS(C92-E92)/C92)*100</f>
        <v>99.9465408805031</v>
      </c>
      <c r="D261" s="14" t="n">
        <f aca="false">(ABS(D92-F92)/D92)*100</f>
        <v>24.7917316692668</v>
      </c>
      <c r="E261" s="23"/>
      <c r="F261" s="33" t="n">
        <f aca="false">(ABS(C92-G92)/C92)*100</f>
        <v>0.00628930817610063</v>
      </c>
      <c r="G261" s="14" t="n">
        <f aca="false">(ABS(D92-H92)/D92)*100</f>
        <v>0.0015600624024961</v>
      </c>
      <c r="H261" s="23"/>
      <c r="I261" s="12" t="n">
        <f aca="false">(ABS(C92-I92)/C92)*100</f>
        <v>94.5220125786164</v>
      </c>
      <c r="J261" s="14" t="n">
        <f aca="false">(ABS(D92-J92)/D92)*100</f>
        <v>23.4461778471139</v>
      </c>
      <c r="K261" s="23"/>
      <c r="L261" s="14" t="n">
        <f aca="false">(ABS(C92-K92)/C92)*100</f>
        <v>0</v>
      </c>
      <c r="M261" s="14" t="n">
        <f aca="false">(ABS(D92-L92)/D92)*100</f>
        <v>0</v>
      </c>
      <c r="N261" s="23"/>
    </row>
    <row r="262" customFormat="false" ht="15" hidden="false" customHeight="false" outlineLevel="0" collapsed="false">
      <c r="A262" s="8"/>
      <c r="B262" s="14" t="n">
        <v>89</v>
      </c>
      <c r="C262" s="36" t="n">
        <f aca="false">(ABS(C93-E93)/C93)*100</f>
        <v>99.9654088050314</v>
      </c>
      <c r="D262" s="14" t="n">
        <f aca="false">(ABS(D93-F93)/D93)*100</f>
        <v>24.7964118564743</v>
      </c>
      <c r="E262" s="23"/>
      <c r="F262" s="33" t="n">
        <f aca="false">(ABS(C93-G93)/C93)*100</f>
        <v>0.00314465408805031</v>
      </c>
      <c r="G262" s="14" t="n">
        <f aca="false">(ABS(D93-H93)/D93)*100</f>
        <v>0.00078003120124805</v>
      </c>
      <c r="H262" s="23"/>
      <c r="I262" s="12" t="n">
        <f aca="false">(ABS(C93-I93)/C93)*100</f>
        <v>96.6603773584906</v>
      </c>
      <c r="J262" s="14" t="n">
        <f aca="false">(ABS(D93-J93)/D93)*100</f>
        <v>23.9765990639626</v>
      </c>
      <c r="K262" s="23"/>
      <c r="L262" s="14" t="n">
        <f aca="false">(ABS(C93-K93)/C93)*100</f>
        <v>0.00314465408805031</v>
      </c>
      <c r="M262" s="14" t="n">
        <f aca="false">(ABS(D93-L93)/D93)*100</f>
        <v>0.00078003120124805</v>
      </c>
      <c r="N262" s="23"/>
    </row>
    <row r="263" customFormat="false" ht="15" hidden="false" customHeight="false" outlineLevel="0" collapsed="false">
      <c r="A263" s="8"/>
      <c r="B263" s="14" t="n">
        <v>90</v>
      </c>
      <c r="C263" s="36" t="n">
        <f aca="false">(ABS(C94-E94)/C94)*100</f>
        <v>98.2893081761006</v>
      </c>
      <c r="D263" s="14" t="n">
        <f aca="false">(ABS(D94-F94)/D94)*100</f>
        <v>24.380655226209</v>
      </c>
      <c r="E263" s="23"/>
      <c r="F263" s="33" t="n">
        <f aca="false">(ABS(C94-G94)/C94)*100</f>
        <v>0.00628930817610063</v>
      </c>
      <c r="G263" s="14" t="n">
        <f aca="false">(ABS(D94-H94)/D94)*100</f>
        <v>0.0015600624024961</v>
      </c>
      <c r="H263" s="23"/>
      <c r="I263" s="12" t="n">
        <f aca="false">(ABS(C94-I94)/C94)*100</f>
        <v>89.2075471698113</v>
      </c>
      <c r="J263" s="14" t="n">
        <f aca="false">(ABS(D94-J94)/D94)*100</f>
        <v>22.1279251170047</v>
      </c>
      <c r="K263" s="23"/>
      <c r="L263" s="14" t="n">
        <f aca="false">(ABS(C94-K94)/C94)*100</f>
        <v>0</v>
      </c>
      <c r="M263" s="14" t="n">
        <f aca="false">(ABS(D94-L94)/D94)*100</f>
        <v>0</v>
      </c>
      <c r="N263" s="23"/>
    </row>
    <row r="264" customFormat="false" ht="15" hidden="false" customHeight="false" outlineLevel="0" collapsed="false">
      <c r="A264" s="8"/>
      <c r="B264" s="14" t="n">
        <v>91</v>
      </c>
      <c r="C264" s="36" t="n">
        <f aca="false">(ABS(C95-E95)/C95)*100</f>
        <v>99.4654088050314</v>
      </c>
      <c r="D264" s="14" t="n">
        <f aca="false">(ABS(D95-F95)/D95)*100</f>
        <v>24.6723868954758</v>
      </c>
      <c r="E264" s="23"/>
      <c r="F264" s="33" t="n">
        <f aca="false">(ABS(C95-G95)/C95)*100</f>
        <v>0.50314465408805</v>
      </c>
      <c r="G264" s="14" t="n">
        <f aca="false">(ABS(D95-H95)/D95)*100</f>
        <v>0.124804992199688</v>
      </c>
      <c r="H264" s="23"/>
      <c r="I264" s="12" t="n">
        <f aca="false">(ABS(C95-I95)/C95)*100</f>
        <v>99.3522012578616</v>
      </c>
      <c r="J264" s="14" t="n">
        <f aca="false">(ABS(D95-J95)/D95)*100</f>
        <v>24.6443057722309</v>
      </c>
      <c r="K264" s="23"/>
      <c r="L264" s="14" t="n">
        <f aca="false">(ABS(C95-K95)/C95)*100</f>
        <v>0.00314465408805031</v>
      </c>
      <c r="M264" s="14" t="n">
        <f aca="false">(ABS(D95-L95)/D95)*100</f>
        <v>0.00078003120124805</v>
      </c>
      <c r="N264" s="23"/>
    </row>
    <row r="265" customFormat="false" ht="15" hidden="false" customHeight="false" outlineLevel="0" collapsed="false">
      <c r="A265" s="8"/>
      <c r="B265" s="14" t="n">
        <v>92</v>
      </c>
      <c r="C265" s="36" t="n">
        <f aca="false">(ABS(C96-E96)/C96)*100</f>
        <v>91.5754716981132</v>
      </c>
      <c r="D265" s="14" t="n">
        <f aca="false">(ABS(D96-F96)/D96)*100</f>
        <v>22.7152886115445</v>
      </c>
      <c r="E265" s="23"/>
      <c r="F265" s="33" t="n">
        <f aca="false">(ABS(C96-G96)/C96)*100</f>
        <v>0.00314465408805031</v>
      </c>
      <c r="G265" s="14" t="n">
        <f aca="false">(ABS(D96-H96)/D96)*100</f>
        <v>0.00078003120124805</v>
      </c>
      <c r="H265" s="23"/>
      <c r="I265" s="12" t="n">
        <f aca="false">(ABS(C96-I96)/C96)*100</f>
        <v>99.125786163522</v>
      </c>
      <c r="J265" s="14" t="n">
        <f aca="false">(ABS(D96-J96)/D96)*100</f>
        <v>24.588143525741</v>
      </c>
      <c r="K265" s="23"/>
      <c r="L265" s="14" t="n">
        <f aca="false">(ABS(C96-K96)/C96)*100</f>
        <v>0</v>
      </c>
      <c r="M265" s="14" t="n">
        <f aca="false">(ABS(D96-L96)/D96)*100</f>
        <v>0</v>
      </c>
      <c r="N265" s="23"/>
    </row>
    <row r="266" customFormat="false" ht="15" hidden="false" customHeight="false" outlineLevel="0" collapsed="false">
      <c r="A266" s="8"/>
      <c r="B266" s="14" t="n">
        <v>93</v>
      </c>
      <c r="C266" s="36" t="n">
        <f aca="false">(ABS(C97-E97)/C97)*100</f>
        <v>99.8853503184713</v>
      </c>
      <c r="D266" s="14" t="n">
        <f aca="false">(ABS(D97-F97)/D97)*100</f>
        <v>24.3888024883359</v>
      </c>
      <c r="E266" s="23"/>
      <c r="F266" s="33" t="n">
        <f aca="false">(ABS(C97-G97)/C97)*100</f>
        <v>0.00318471337579618</v>
      </c>
      <c r="G266" s="14" t="n">
        <f aca="false">(ABS(D97-H97)/D97)*100</f>
        <v>0.000777604976671851</v>
      </c>
      <c r="H266" s="23"/>
      <c r="I266" s="12" t="n">
        <f aca="false">(ABS(C97-I97)/C97)*100</f>
        <v>98.7452229299363</v>
      </c>
      <c r="J266" s="14" t="n">
        <f aca="false">(ABS(D97-J97)/D97)*100</f>
        <v>24.1104199066874</v>
      </c>
      <c r="K266" s="23"/>
      <c r="L266" s="14" t="n">
        <f aca="false">(ABS(C97-K97)/C97)*100</f>
        <v>0.00318471337579618</v>
      </c>
      <c r="M266" s="14" t="n">
        <f aca="false">(ABS(D97-L97)/D97)*100</f>
        <v>0.000777604976671851</v>
      </c>
      <c r="N266" s="23"/>
    </row>
    <row r="267" customFormat="false" ht="15" hidden="false" customHeight="false" outlineLevel="0" collapsed="false">
      <c r="A267" s="8"/>
      <c r="B267" s="14" t="n">
        <v>94</v>
      </c>
      <c r="C267" s="36" t="n">
        <f aca="false">(ABS(C98-E98)/C98)*100</f>
        <v>99.843949044586</v>
      </c>
      <c r="D267" s="14" t="n">
        <f aca="false">(ABS(D98-F98)/D98)*100</f>
        <v>24.3786936236392</v>
      </c>
      <c r="E267" s="23"/>
      <c r="F267" s="33" t="n">
        <f aca="false">(ABS(C98-G98)/C98)*100</f>
        <v>0.00318471337579618</v>
      </c>
      <c r="G267" s="14" t="n">
        <f aca="false">(ABS(D98-H98)/D98)*100</f>
        <v>0.000777604976671851</v>
      </c>
      <c r="H267" s="23"/>
      <c r="I267" s="12" t="n">
        <f aca="false">(ABS(C98-I98)/C98)*100</f>
        <v>99.8789808917198</v>
      </c>
      <c r="J267" s="14" t="n">
        <f aca="false">(ABS(D98-J98)/D98)*100</f>
        <v>24.3872472783826</v>
      </c>
      <c r="K267" s="23"/>
      <c r="L267" s="14" t="n">
        <f aca="false">(ABS(C98-K98)/C98)*100</f>
        <v>0</v>
      </c>
      <c r="M267" s="14" t="n">
        <f aca="false">(ABS(D98-L98)/D98)*100</f>
        <v>0</v>
      </c>
      <c r="N267" s="23"/>
    </row>
    <row r="268" customFormat="false" ht="15" hidden="false" customHeight="false" outlineLevel="0" collapsed="false">
      <c r="A268" s="8"/>
      <c r="B268" s="14" t="n">
        <v>95</v>
      </c>
      <c r="C268" s="36" t="n">
        <f aca="false">(ABS(C99-E99)/C99)*100</f>
        <v>99.9426751592357</v>
      </c>
      <c r="D268" s="14" t="n">
        <f aca="false">(ABS(D99-F99)/D99)*100</f>
        <v>24.402799377916</v>
      </c>
      <c r="E268" s="23"/>
      <c r="F268" s="33" t="n">
        <f aca="false">(ABS(C99-G99)/C99)*100</f>
        <v>0.00318471337579618</v>
      </c>
      <c r="G268" s="14" t="n">
        <f aca="false">(ABS(D99-H99)/D99)*100</f>
        <v>0.000777604976671851</v>
      </c>
      <c r="H268" s="23"/>
      <c r="I268" s="12" t="n">
        <f aca="false">(ABS(C99-I99)/C99)*100</f>
        <v>99.8152866242038</v>
      </c>
      <c r="J268" s="14" t="n">
        <f aca="false">(ABS(D99-J99)/D99)*100</f>
        <v>24.3716951788491</v>
      </c>
      <c r="K268" s="23"/>
      <c r="L268" s="14" t="n">
        <f aca="false">(ABS(C99-K99)/C99)*100</f>
        <v>0</v>
      </c>
      <c r="M268" s="14" t="n">
        <f aca="false">(ABS(D99-L99)/D99)*100</f>
        <v>0</v>
      </c>
      <c r="N268" s="23"/>
    </row>
    <row r="269" customFormat="false" ht="15" hidden="false" customHeight="false" outlineLevel="0" collapsed="false">
      <c r="A269" s="8"/>
      <c r="B269" s="14" t="n">
        <v>96</v>
      </c>
      <c r="C269" s="36" t="n">
        <f aca="false">(ABS(C100-E100)/C100)*100</f>
        <v>97.6496815286624</v>
      </c>
      <c r="D269" s="14" t="n">
        <f aca="false">(ABS(D100-F100)/D100)*100</f>
        <v>23.8429237947123</v>
      </c>
      <c r="E269" s="23"/>
      <c r="F269" s="33" t="n">
        <f aca="false">(ABS(C100-G100)/C100)*100</f>
        <v>0.00318471337579618</v>
      </c>
      <c r="G269" s="14" t="n">
        <f aca="false">(ABS(D100-H100)/D100)*100</f>
        <v>0.000777604976671851</v>
      </c>
      <c r="H269" s="23"/>
      <c r="I269" s="12" t="n">
        <f aca="false">(ABS(C100-I100)/C100)*100</f>
        <v>98.7579617834395</v>
      </c>
      <c r="J269" s="14" t="n">
        <f aca="false">(ABS(D100-J100)/D100)*100</f>
        <v>24.1135303265941</v>
      </c>
      <c r="K269" s="23"/>
      <c r="L269" s="14" t="n">
        <f aca="false">(ABS(C100-K100)/C100)*100</f>
        <v>0.00318471337579618</v>
      </c>
      <c r="M269" s="14" t="n">
        <f aca="false">(ABS(D100-L100)/D100)*100</f>
        <v>0.000777604976671851</v>
      </c>
      <c r="N269" s="23"/>
    </row>
    <row r="270" customFormat="false" ht="15" hidden="false" customHeight="false" outlineLevel="0" collapsed="false">
      <c r="A270" s="8"/>
      <c r="B270" s="14" t="n">
        <v>97</v>
      </c>
      <c r="C270" s="36" t="n">
        <f aca="false">(ABS(C101-E101)/C101)*100</f>
        <v>99.8853503184713</v>
      </c>
      <c r="D270" s="14" t="n">
        <f aca="false">(ABS(D101-F101)/D101)*100</f>
        <v>24.3888024883359</v>
      </c>
      <c r="E270" s="23"/>
      <c r="F270" s="33" t="n">
        <f aca="false">(ABS(C101-G101)/C101)*100</f>
        <v>0</v>
      </c>
      <c r="G270" s="14" t="n">
        <f aca="false">(ABS(D101-H101)/D101)*100</f>
        <v>0</v>
      </c>
      <c r="H270" s="23"/>
      <c r="I270" s="12" t="n">
        <f aca="false">(ABS(C101-I101)/C101)*100</f>
        <v>100</v>
      </c>
      <c r="J270" s="14" t="n">
        <f aca="false">(ABS(D101-J101)/D101)*100</f>
        <v>24.4167962674961</v>
      </c>
      <c r="K270" s="23"/>
      <c r="L270" s="14" t="n">
        <f aca="false">(ABS(C101-K101)/C101)*100</f>
        <v>0.00318471337579618</v>
      </c>
      <c r="M270" s="14" t="n">
        <f aca="false">(ABS(D101-L101)/D101)*100</f>
        <v>0.000777604976671851</v>
      </c>
      <c r="N270" s="23"/>
    </row>
    <row r="271" customFormat="false" ht="15" hidden="false" customHeight="false" outlineLevel="0" collapsed="false">
      <c r="A271" s="8"/>
      <c r="B271" s="14" t="n">
        <v>98</v>
      </c>
      <c r="C271" s="36" t="n">
        <f aca="false">(ABS(C102-E102)/C102)*100</f>
        <v>99.958064516129</v>
      </c>
      <c r="D271" s="14" t="n">
        <f aca="false">(ABS(D102-F102)/D102)*100</f>
        <v>24.0209302325581</v>
      </c>
      <c r="E271" s="23"/>
      <c r="F271" s="33" t="n">
        <f aca="false">(ABS(C102-G102)/C102)*100</f>
        <v>0.0032258064516129</v>
      </c>
      <c r="G271" s="14" t="n">
        <f aca="false">(ABS(D102-H102)/D102)*100</f>
        <v>0.000775193798449612</v>
      </c>
      <c r="H271" s="23"/>
      <c r="I271" s="12" t="n">
        <f aca="false">(ABS(C102-I102)/C102)*100</f>
        <v>87.4483870967742</v>
      </c>
      <c r="J271" s="14" t="n">
        <f aca="false">(ABS(D102-J102)/D102)*100</f>
        <v>21.0147286821705</v>
      </c>
      <c r="K271" s="23"/>
      <c r="L271" s="14" t="n">
        <f aca="false">(ABS(C102-K102)/C102)*100</f>
        <v>0</v>
      </c>
      <c r="M271" s="14" t="n">
        <f aca="false">(ABS(D102-L102)/D102)*100</f>
        <v>0</v>
      </c>
      <c r="N271" s="23"/>
    </row>
    <row r="272" customFormat="false" ht="15" hidden="false" customHeight="false" outlineLevel="0" collapsed="false">
      <c r="A272" s="8"/>
      <c r="B272" s="14" t="n">
        <v>99</v>
      </c>
      <c r="C272" s="36" t="n">
        <f aca="false">(ABS(C103-E103)/C103)*100</f>
        <v>99.8645161290323</v>
      </c>
      <c r="D272" s="14" t="n">
        <f aca="false">(ABS(D103-F103)/D103)*100</f>
        <v>23.9984496124031</v>
      </c>
      <c r="E272" s="23"/>
      <c r="F272" s="33" t="n">
        <f aca="false">(ABS(C103-G103)/C103)*100</f>
        <v>0.645161290322581</v>
      </c>
      <c r="G272" s="14" t="n">
        <f aca="false">(ABS(D103-H103)/D103)*100</f>
        <v>0.155038759689922</v>
      </c>
      <c r="H272" s="23"/>
      <c r="I272" s="12" t="n">
        <f aca="false">(ABS(C103-I103)/C103)*100</f>
        <v>85.5290322580645</v>
      </c>
      <c r="J272" s="14" t="n">
        <f aca="false">(ABS(D103-J103)/D103)*100</f>
        <v>20.553488372093</v>
      </c>
      <c r="K272" s="23"/>
      <c r="L272" s="14" t="n">
        <f aca="false">(ABS(C103-K103)/C103)*100</f>
        <v>0.0032258064516129</v>
      </c>
      <c r="M272" s="14" t="n">
        <f aca="false">(ABS(D103-L103)/D103)*100</f>
        <v>0.000775193798449612</v>
      </c>
      <c r="N272" s="23"/>
    </row>
    <row r="273" customFormat="false" ht="15" hidden="false" customHeight="false" outlineLevel="0" collapsed="false">
      <c r="A273" s="8"/>
      <c r="B273" s="14" t="n">
        <v>100</v>
      </c>
      <c r="C273" s="36" t="n">
        <f aca="false">(ABS(C104-E104)/C104)*100</f>
        <v>99.0161290322581</v>
      </c>
      <c r="D273" s="14" t="n">
        <f aca="false">(ABS(D104-F104)/D104)*100</f>
        <v>23.7945736434109</v>
      </c>
      <c r="E273" s="23"/>
      <c r="F273" s="33" t="n">
        <f aca="false">(ABS(C104-G104)/C104)*100</f>
        <v>0.00645161290322581</v>
      </c>
      <c r="G273" s="14" t="n">
        <f aca="false">(ABS(D104-H104)/D104)*100</f>
        <v>0.00155038759689922</v>
      </c>
      <c r="H273" s="23"/>
      <c r="I273" s="12" t="n">
        <f aca="false">(ABS(C104-I104)/C104)*100</f>
        <v>80.3870967741936</v>
      </c>
      <c r="J273" s="14" t="n">
        <f aca="false">(ABS(D104-J104)/D104)*100</f>
        <v>19.3178294573643</v>
      </c>
      <c r="K273" s="23"/>
      <c r="L273" s="14" t="n">
        <f aca="false">(ABS(C104-K104)/C104)*100</f>
        <v>0</v>
      </c>
      <c r="M273" s="14" t="n">
        <f aca="false">(ABS(D104-L104)/D104)*100</f>
        <v>0</v>
      </c>
      <c r="N273" s="23"/>
    </row>
    <row r="274" customFormat="false" ht="15" hidden="false" customHeight="false" outlineLevel="0" collapsed="false">
      <c r="A274" s="8"/>
      <c r="B274" s="14" t="n">
        <v>101</v>
      </c>
      <c r="C274" s="36" t="n">
        <f aca="false">(ABS(C105-E105)/C105)*100</f>
        <v>99.6806451612903</v>
      </c>
      <c r="D274" s="14" t="n">
        <f aca="false">(ABS(D105-F105)/D105)*100</f>
        <v>23.9542635658915</v>
      </c>
      <c r="E274" s="23"/>
      <c r="F274" s="33" t="n">
        <f aca="false">(ABS(C105-G105)/C105)*100</f>
        <v>0.0032258064516129</v>
      </c>
      <c r="G274" s="14" t="n">
        <f aca="false">(ABS(D105-H105)/D105)*100</f>
        <v>0.000775193798449612</v>
      </c>
      <c r="H274" s="23"/>
      <c r="I274" s="12" t="n">
        <f aca="false">(ABS(C105-I105)/C105)*100</f>
        <v>79.1741935483871</v>
      </c>
      <c r="J274" s="14" t="n">
        <f aca="false">(ABS(D105-J105)/D105)*100</f>
        <v>19.0263565891473</v>
      </c>
      <c r="K274" s="23"/>
      <c r="L274" s="14" t="n">
        <f aca="false">(ABS(C105-K105)/C105)*100</f>
        <v>0.0032258064516129</v>
      </c>
      <c r="M274" s="14" t="n">
        <f aca="false">(ABS(D105-L105)/D105)*100</f>
        <v>0.000775193798449612</v>
      </c>
      <c r="N274" s="23"/>
    </row>
    <row r="275" customFormat="false" ht="15" hidden="false" customHeight="false" outlineLevel="0" collapsed="false">
      <c r="A275" s="8"/>
      <c r="B275" s="14" t="n">
        <v>102</v>
      </c>
      <c r="C275" s="36" t="n">
        <f aca="false">(ABS(C106-E106)/C106)*100</f>
        <v>99.9575163398693</v>
      </c>
      <c r="D275" s="14" t="n">
        <f aca="false">(ABS(D106-F106)/D106)*100</f>
        <v>23.6375579598145</v>
      </c>
      <c r="E275" s="23"/>
      <c r="F275" s="33" t="n">
        <f aca="false">(ABS(C106-G106)/C106)*100</f>
        <v>0.00326797385620915</v>
      </c>
      <c r="G275" s="14" t="n">
        <f aca="false">(ABS(D106-H106)/D106)*100</f>
        <v>0.000772797527047913</v>
      </c>
      <c r="H275" s="23"/>
      <c r="I275" s="12" t="n">
        <f aca="false">(ABS(C106-I106)/C106)*100</f>
        <v>79.2156862745098</v>
      </c>
      <c r="J275" s="14" t="n">
        <f aca="false">(ABS(D106-J106)/D106)*100</f>
        <v>18.7326120556414</v>
      </c>
      <c r="K275" s="23"/>
      <c r="L275" s="14" t="n">
        <f aca="false">(ABS(C106-K106)/C106)*100</f>
        <v>0</v>
      </c>
      <c r="M275" s="14" t="n">
        <f aca="false">(ABS(D106-L106)/D106)*100</f>
        <v>0</v>
      </c>
      <c r="N275" s="23"/>
    </row>
    <row r="276" customFormat="false" ht="15" hidden="false" customHeight="false" outlineLevel="0" collapsed="false">
      <c r="A276" s="8"/>
      <c r="B276" s="14" t="n">
        <v>103</v>
      </c>
      <c r="C276" s="36" t="n">
        <f aca="false">(ABS(C107-E107)/C107)*100</f>
        <v>99.5653594771242</v>
      </c>
      <c r="D276" s="14" t="n">
        <f aca="false">(ABS(D107-F107)/D107)*100</f>
        <v>23.5448222565688</v>
      </c>
      <c r="E276" s="23"/>
      <c r="F276" s="33" t="n">
        <f aca="false">(ABS(C107-G107)/C107)*100</f>
        <v>0.0065359477124183</v>
      </c>
      <c r="G276" s="14" t="n">
        <f aca="false">(ABS(D107-H107)/D107)*100</f>
        <v>0.00154559505409583</v>
      </c>
      <c r="H276" s="23"/>
      <c r="I276" s="12" t="n">
        <f aca="false">(ABS(C107-I107)/C107)*100</f>
        <v>88.6993464052288</v>
      </c>
      <c r="J276" s="14" t="n">
        <f aca="false">(ABS(D107-J107)/D107)*100</f>
        <v>20.9752704791345</v>
      </c>
      <c r="K276" s="23"/>
      <c r="L276" s="14" t="n">
        <f aca="false">(ABS(C107-K107)/C107)*100</f>
        <v>0.00326797385620915</v>
      </c>
      <c r="M276" s="14" t="n">
        <f aca="false">(ABS(D107-L107)/D107)*100</f>
        <v>0.000772797527047913</v>
      </c>
      <c r="N276" s="23"/>
    </row>
    <row r="277" customFormat="false" ht="15" hidden="false" customHeight="false" outlineLevel="0" collapsed="false">
      <c r="A277" s="8"/>
      <c r="B277" s="14" t="n">
        <v>104</v>
      </c>
      <c r="C277" s="36" t="n">
        <f aca="false">(ABS(C108-E108)/C108)*100</f>
        <v>99.9411764705882</v>
      </c>
      <c r="D277" s="14" t="n">
        <f aca="false">(ABS(D108-F108)/D108)*100</f>
        <v>23.6336939721793</v>
      </c>
      <c r="E277" s="23"/>
      <c r="F277" s="33" t="n">
        <f aca="false">(ABS(C108-G108)/C108)*100</f>
        <v>0.0065359477124183</v>
      </c>
      <c r="G277" s="14" t="n">
        <f aca="false">(ABS(D108-H108)/D108)*100</f>
        <v>0.00154559505409583</v>
      </c>
      <c r="H277" s="23"/>
      <c r="I277" s="12" t="n">
        <f aca="false">(ABS(C108-I108)/C108)*100</f>
        <v>79.5915032679739</v>
      </c>
      <c r="J277" s="14" t="n">
        <f aca="false">(ABS(D108-J108)/D108)*100</f>
        <v>18.8214837712519</v>
      </c>
      <c r="K277" s="23"/>
      <c r="L277" s="14" t="n">
        <f aca="false">(ABS(C108-K108)/C108)*100</f>
        <v>0</v>
      </c>
      <c r="M277" s="14" t="n">
        <f aca="false">(ABS(D108-L108)/D108)*100</f>
        <v>0</v>
      </c>
      <c r="N277" s="23"/>
    </row>
    <row r="278" customFormat="false" ht="15" hidden="false" customHeight="false" outlineLevel="0" collapsed="false">
      <c r="A278" s="8"/>
      <c r="B278" s="14" t="n">
        <v>105</v>
      </c>
      <c r="C278" s="36" t="n">
        <f aca="false">(ABS(C109-E109)/C109)*100</f>
        <v>99.9801324503311</v>
      </c>
      <c r="D278" s="14" t="n">
        <f aca="false">(ABS(D109-F109)/D109)*100</f>
        <v>23.2619414483821</v>
      </c>
      <c r="E278" s="23"/>
      <c r="F278" s="33" t="n">
        <f aca="false">(ABS(C109-G109)/C109)*100</f>
        <v>0.00662251655629139</v>
      </c>
      <c r="G278" s="14" t="n">
        <f aca="false">(ABS(D109-H109)/D109)*100</f>
        <v>0.00154083204930663</v>
      </c>
      <c r="H278" s="23"/>
      <c r="I278" s="12" t="n">
        <f aca="false">(ABS(C109-I109)/C109)*100</f>
        <v>87.2549668874172</v>
      </c>
      <c r="J278" s="14" t="n">
        <f aca="false">(ABS(D109-J109)/D109)*100</f>
        <v>20.3012326656394</v>
      </c>
      <c r="K278" s="23"/>
      <c r="L278" s="14" t="n">
        <f aca="false">(ABS(C109-K109)/C109)*100</f>
        <v>0</v>
      </c>
      <c r="M278" s="14" t="n">
        <f aca="false">(ABS(D109-L109)/D109)*100</f>
        <v>0</v>
      </c>
      <c r="N278" s="23"/>
    </row>
    <row r="279" customFormat="false" ht="15" hidden="false" customHeight="false" outlineLevel="0" collapsed="false">
      <c r="A279" s="8"/>
      <c r="B279" s="14" t="n">
        <v>106</v>
      </c>
      <c r="C279" s="36" t="n">
        <f aca="false">(ABS(C110-E110)/C110)*100</f>
        <v>99.9867549668874</v>
      </c>
      <c r="D279" s="14" t="n">
        <f aca="false">(ABS(D110-F110)/D110)*100</f>
        <v>23.2634822804314</v>
      </c>
      <c r="E279" s="23"/>
      <c r="F279" s="33" t="n">
        <f aca="false">(ABS(C110-G110)/C110)*100</f>
        <v>0.00662251655629139</v>
      </c>
      <c r="G279" s="14" t="n">
        <f aca="false">(ABS(D110-H110)/D110)*100</f>
        <v>0.00154083204930663</v>
      </c>
      <c r="H279" s="23"/>
      <c r="I279" s="12" t="n">
        <f aca="false">(ABS(C110-I110)/C110)*100</f>
        <v>82.6721854304636</v>
      </c>
      <c r="J279" s="14" t="n">
        <f aca="false">(ABS(D110-J110)/D110)*100</f>
        <v>19.2349768875193</v>
      </c>
      <c r="K279" s="23"/>
      <c r="L279" s="14" t="n">
        <f aca="false">(ABS(C110-K110)/C110)*100</f>
        <v>0.0033112582781457</v>
      </c>
      <c r="M279" s="14" t="n">
        <f aca="false">(ABS(D110-L110)/D110)*100</f>
        <v>0.000770416024653313</v>
      </c>
      <c r="N279" s="23"/>
    </row>
    <row r="280" customFormat="false" ht="15" hidden="false" customHeight="false" outlineLevel="0" collapsed="false">
      <c r="A280" s="8"/>
      <c r="B280" s="14" t="n">
        <v>107</v>
      </c>
      <c r="C280" s="36" t="n">
        <f aca="false">(ABS(C111-E111)/C111)*100</f>
        <v>94.6920529801324</v>
      </c>
      <c r="D280" s="14" t="n">
        <f aca="false">(ABS(D111-F111)/D111)*100</f>
        <v>22.0315870570108</v>
      </c>
      <c r="E280" s="23"/>
      <c r="F280" s="33" t="n">
        <f aca="false">(ABS(C111-G111)/C111)*100</f>
        <v>0.0198675496688742</v>
      </c>
      <c r="G280" s="14" t="n">
        <f aca="false">(ABS(D111-H111)/D111)*100</f>
        <v>0.00462249614791988</v>
      </c>
      <c r="H280" s="23"/>
      <c r="I280" s="12" t="n">
        <f aca="false">(ABS(C111-I111)/C111)*100</f>
        <v>99.7781456953642</v>
      </c>
      <c r="J280" s="14" t="n">
        <f aca="false">(ABS(D111-J111)/D111)*100</f>
        <v>23.2149460708783</v>
      </c>
      <c r="K280" s="23"/>
      <c r="L280" s="14" t="n">
        <f aca="false">(ABS(C111-K111)/C111)*100</f>
        <v>0.00662251655629139</v>
      </c>
      <c r="M280" s="14" t="n">
        <f aca="false">(ABS(D111-L111)/D111)*100</f>
        <v>0.00154083204930663</v>
      </c>
      <c r="N280" s="23"/>
    </row>
    <row r="281" customFormat="false" ht="15" hidden="false" customHeight="false" outlineLevel="0" collapsed="false">
      <c r="A281" s="8"/>
      <c r="B281" s="14" t="n">
        <v>108</v>
      </c>
      <c r="C281" s="36" t="n">
        <f aca="false">(ABS(C112-E112)/C112)*100</f>
        <v>97.748322147651</v>
      </c>
      <c r="D281" s="14" t="n">
        <f aca="false">(ABS(D112-F112)/D112)*100</f>
        <v>22.3725038402458</v>
      </c>
      <c r="E281" s="23"/>
      <c r="F281" s="33" t="n">
        <f aca="false">(ABS(C112-G112)/C112)*100</f>
        <v>0.00671140939597315</v>
      </c>
      <c r="G281" s="14" t="n">
        <f aca="false">(ABS(D112-H112)/D112)*100</f>
        <v>0.00153609831029186</v>
      </c>
      <c r="H281" s="23"/>
      <c r="I281" s="12" t="n">
        <f aca="false">(ABS(C112-I112)/C112)*100</f>
        <v>90.3892617449665</v>
      </c>
      <c r="J281" s="14" t="n">
        <f aca="false">(ABS(D112-J112)/D112)*100</f>
        <v>20.6881720430108</v>
      </c>
      <c r="K281" s="23"/>
      <c r="L281" s="14" t="n">
        <f aca="false">(ABS(C112-K112)/C112)*100</f>
        <v>0</v>
      </c>
      <c r="M281" s="14" t="n">
        <f aca="false">(ABS(D112-L112)/D112)*100</f>
        <v>0</v>
      </c>
      <c r="N281" s="23"/>
    </row>
    <row r="282" customFormat="false" ht="15" hidden="false" customHeight="false" outlineLevel="0" collapsed="false">
      <c r="A282" s="8"/>
      <c r="B282" s="14" t="n">
        <v>109</v>
      </c>
      <c r="C282" s="36" t="n">
        <f aca="false">(ABS(C113-E113)/C113)*100</f>
        <v>99.9697986577181</v>
      </c>
      <c r="D282" s="14" t="n">
        <f aca="false">(ABS(D113-F113)/D113)*100</f>
        <v>22.8809523809524</v>
      </c>
      <c r="E282" s="23"/>
      <c r="F282" s="33" t="n">
        <f aca="false">(ABS(C113-G113)/C113)*100</f>
        <v>0</v>
      </c>
      <c r="G282" s="14" t="n">
        <f aca="false">(ABS(D113-H113)/D113)*100</f>
        <v>0</v>
      </c>
      <c r="H282" s="23"/>
      <c r="I282" s="12" t="n">
        <f aca="false">(ABS(C113-I113)/C113)*100</f>
        <v>78.6543624161074</v>
      </c>
      <c r="J282" s="14" t="n">
        <f aca="false">(ABS(D113-J113)/D113)*100</f>
        <v>18.0023041474654</v>
      </c>
      <c r="K282" s="23"/>
      <c r="L282" s="14" t="n">
        <f aca="false">(ABS(C113-K113)/C113)*100</f>
        <v>0</v>
      </c>
      <c r="M282" s="14" t="n">
        <f aca="false">(ABS(D113-L113)/D113)*100</f>
        <v>0</v>
      </c>
      <c r="N282" s="23"/>
    </row>
    <row r="283" customFormat="false" ht="15" hidden="false" customHeight="false" outlineLevel="0" collapsed="false">
      <c r="A283" s="8"/>
      <c r="B283" s="14" t="n">
        <v>110</v>
      </c>
      <c r="C283" s="36" t="n">
        <f aca="false">(ABS(C114-E114)/C114)*100</f>
        <v>99.9563758389262</v>
      </c>
      <c r="D283" s="14" t="n">
        <f aca="false">(ABS(D114-F114)/D114)*100</f>
        <v>22.8778801843318</v>
      </c>
      <c r="E283" s="23"/>
      <c r="F283" s="33" t="n">
        <f aca="false">(ABS(C114-G114)/C114)*100</f>
        <v>0</v>
      </c>
      <c r="G283" s="14" t="n">
        <f aca="false">(ABS(D114-H114)/D114)*100</f>
        <v>0</v>
      </c>
      <c r="H283" s="23"/>
      <c r="I283" s="12" t="n">
        <f aca="false">(ABS(C114-I114)/C114)*100</f>
        <v>75.2651006711409</v>
      </c>
      <c r="J283" s="14" t="n">
        <f aca="false">(ABS(D114-J114)/D114)*100</f>
        <v>17.2265745007681</v>
      </c>
      <c r="K283" s="23"/>
      <c r="L283" s="14" t="n">
        <f aca="false">(ABS(C114-K114)/C114)*100</f>
        <v>0.00335570469798658</v>
      </c>
      <c r="M283" s="14" t="n">
        <f aca="false">(ABS(D114-L114)/D114)*100</f>
        <v>0.000768049155145929</v>
      </c>
      <c r="N283" s="23"/>
    </row>
    <row r="284" customFormat="false" ht="15" hidden="false" customHeight="false" outlineLevel="0" collapsed="false">
      <c r="A284" s="8"/>
      <c r="B284" s="14" t="n">
        <v>111</v>
      </c>
      <c r="C284" s="36" t="n">
        <f aca="false">(ABS(C115-E115)/C115)*100</f>
        <v>99.9727891156463</v>
      </c>
      <c r="D284" s="14" t="n">
        <f aca="false">(ABS(D115-F115)/D115)*100</f>
        <v>22.5053598774885</v>
      </c>
      <c r="E284" s="23"/>
      <c r="F284" s="33" t="n">
        <f aca="false">(ABS(C115-G115)/C115)*100</f>
        <v>0.0612244897959184</v>
      </c>
      <c r="G284" s="14" t="n">
        <f aca="false">(ABS(D115-H115)/D115)*100</f>
        <v>0.0137825421133231</v>
      </c>
      <c r="H284" s="23"/>
      <c r="I284" s="12" t="n">
        <f aca="false">(ABS(C115-I115)/C115)*100</f>
        <v>99.9489795918368</v>
      </c>
      <c r="J284" s="14" t="n">
        <f aca="false">(ABS(D115-J115)/D115)*100</f>
        <v>22.5</v>
      </c>
      <c r="K284" s="23"/>
      <c r="L284" s="14" t="n">
        <f aca="false">(ABS(C115-K115)/C115)*100</f>
        <v>0.00680272108843537</v>
      </c>
      <c r="M284" s="14" t="n">
        <f aca="false">(ABS(D115-L115)/D115)*100</f>
        <v>0.00153139356814701</v>
      </c>
      <c r="N284" s="23"/>
    </row>
    <row r="285" customFormat="false" ht="15" hidden="false" customHeight="false" outlineLevel="0" collapsed="false">
      <c r="A285" s="8"/>
      <c r="B285" s="14" t="n">
        <v>112</v>
      </c>
      <c r="C285" s="36" t="n">
        <f aca="false">(ABS(C116-E116)/C116)*100</f>
        <v>95.6530612244898</v>
      </c>
      <c r="D285" s="14" t="n">
        <f aca="false">(ABS(D116-F116)/D116)*100</f>
        <v>21.5329249617152</v>
      </c>
      <c r="E285" s="23"/>
      <c r="F285" s="33" t="n">
        <f aca="false">(ABS(C116-G116)/C116)*100</f>
        <v>0.00340136054421769</v>
      </c>
      <c r="G285" s="14" t="n">
        <f aca="false">(ABS(D116-H116)/D116)*100</f>
        <v>0.000765696784073507</v>
      </c>
      <c r="H285" s="23"/>
      <c r="I285" s="12" t="n">
        <f aca="false">(ABS(C116-I116)/C116)*100</f>
        <v>83.3333333333333</v>
      </c>
      <c r="J285" s="14" t="n">
        <f aca="false">(ABS(D116-J116)/D116)*100</f>
        <v>18.7595712098009</v>
      </c>
      <c r="K285" s="23"/>
      <c r="L285" s="14" t="n">
        <f aca="false">(ABS(C116-K116)/C116)*100</f>
        <v>0.00340136054421769</v>
      </c>
      <c r="M285" s="14" t="n">
        <f aca="false">(ABS(D116-L116)/D116)*100</f>
        <v>0.000765696784073507</v>
      </c>
      <c r="N285" s="23"/>
    </row>
    <row r="286" customFormat="false" ht="15" hidden="false" customHeight="false" outlineLevel="0" collapsed="false">
      <c r="A286" s="8"/>
      <c r="B286" s="14" t="n">
        <v>113</v>
      </c>
      <c r="C286" s="36" t="n">
        <f aca="false">(ABS(C117-E117)/C117)*100</f>
        <v>99.9034482758621</v>
      </c>
      <c r="D286" s="14" t="n">
        <f aca="false">(ABS(D117-F117)/D117)*100</f>
        <v>22.1160305343511</v>
      </c>
      <c r="E286" s="23"/>
      <c r="F286" s="33" t="n">
        <f aca="false">(ABS(C117-G117)/C117)*100</f>
        <v>0.00344827586206897</v>
      </c>
      <c r="G286" s="14" t="n">
        <f aca="false">(ABS(D117-H117)/D117)*100</f>
        <v>0.000763358778625954</v>
      </c>
      <c r="H286" s="23"/>
      <c r="I286" s="12" t="n">
        <f aca="false">(ABS(C117-I117)/C117)*100</f>
        <v>88.1793103448276</v>
      </c>
      <c r="J286" s="14" t="n">
        <f aca="false">(ABS(D117-J117)/D117)*100</f>
        <v>19.5206106870229</v>
      </c>
      <c r="K286" s="23"/>
      <c r="L286" s="14" t="n">
        <f aca="false">(ABS(C117-K117)/C117)*100</f>
        <v>0.00344827586206897</v>
      </c>
      <c r="M286" s="14" t="n">
        <f aca="false">(ABS(D117-L117)/D117)*100</f>
        <v>0.000763358778625954</v>
      </c>
      <c r="N286" s="23"/>
    </row>
    <row r="287" customFormat="false" ht="15" hidden="false" customHeight="false" outlineLevel="0" collapsed="false">
      <c r="A287" s="8"/>
      <c r="B287" s="14" t="n">
        <v>114</v>
      </c>
      <c r="C287" s="36" t="n">
        <f aca="false">(ABS(C118-E118)/C118)*100</f>
        <v>99.9551724137931</v>
      </c>
      <c r="D287" s="14" t="n">
        <f aca="false">(ABS(D118-F118)/D118)*100</f>
        <v>22.1274809160305</v>
      </c>
      <c r="E287" s="23"/>
      <c r="F287" s="33" t="n">
        <f aca="false">(ABS(C118-G118)/C118)*100</f>
        <v>0.00344827586206897</v>
      </c>
      <c r="G287" s="14" t="n">
        <f aca="false">(ABS(D118-H118)/D118)*100</f>
        <v>0.000763358778625954</v>
      </c>
      <c r="H287" s="23"/>
      <c r="I287" s="12" t="n">
        <f aca="false">(ABS(C118-I118)/C118)*100</f>
        <v>89.8620689655172</v>
      </c>
      <c r="J287" s="14" t="n">
        <f aca="false">(ABS(D118-J118)/D118)*100</f>
        <v>19.8931297709924</v>
      </c>
      <c r="K287" s="23"/>
      <c r="L287" s="14" t="n">
        <f aca="false">(ABS(C118-K118)/C118)*100</f>
        <v>0.00344827586206897</v>
      </c>
      <c r="M287" s="14" t="n">
        <f aca="false">(ABS(D118-L118)/D118)*100</f>
        <v>0.000763358778625954</v>
      </c>
      <c r="N287" s="23"/>
    </row>
    <row r="288" customFormat="false" ht="15" hidden="false" customHeight="false" outlineLevel="0" collapsed="false">
      <c r="A288" s="8"/>
      <c r="B288" s="14" t="n">
        <v>115</v>
      </c>
      <c r="C288" s="36" t="n">
        <f aca="false">(ABS(C119-E119)/C119)*100</f>
        <v>97.3986013986014</v>
      </c>
      <c r="D288" s="14" t="n">
        <f aca="false">(ABS(D119-F119)/D119)*100</f>
        <v>21.1993911719939</v>
      </c>
      <c r="E288" s="23"/>
      <c r="F288" s="33" t="n">
        <f aca="false">(ABS(C119-G119)/C119)*100</f>
        <v>0</v>
      </c>
      <c r="G288" s="14" t="n">
        <f aca="false">(ABS(D119-H119)/D119)*100</f>
        <v>0</v>
      </c>
      <c r="H288" s="23"/>
      <c r="I288" s="12" t="n">
        <f aca="false">(ABS(C119-I119)/C119)*100</f>
        <v>78.7132867132867</v>
      </c>
      <c r="J288" s="14" t="n">
        <f aca="false">(ABS(D119-J119)/D119)*100</f>
        <v>17.1324200913242</v>
      </c>
      <c r="K288" s="23"/>
      <c r="L288" s="14" t="n">
        <f aca="false">(ABS(C119-K119)/C119)*100</f>
        <v>0</v>
      </c>
      <c r="M288" s="14" t="n">
        <f aca="false">(ABS(D119-L119)/D119)*100</f>
        <v>0</v>
      </c>
      <c r="N288" s="23"/>
    </row>
    <row r="289" customFormat="false" ht="15" hidden="false" customHeight="false" outlineLevel="0" collapsed="false">
      <c r="A289" s="8"/>
      <c r="B289" s="14" t="n">
        <v>116</v>
      </c>
      <c r="C289" s="36" t="n">
        <f aca="false">(ABS(C120-E120)/C120)*100</f>
        <v>99.8986013986014</v>
      </c>
      <c r="D289" s="14" t="n">
        <f aca="false">(ABS(D120-F120)/D120)*100</f>
        <v>21.7435312024353</v>
      </c>
      <c r="E289" s="23"/>
      <c r="F289" s="33" t="n">
        <f aca="false">(ABS(C120-G120)/C120)*100</f>
        <v>0</v>
      </c>
      <c r="G289" s="14" t="n">
        <f aca="false">(ABS(D120-H120)/D120)*100</f>
        <v>0</v>
      </c>
      <c r="H289" s="23"/>
      <c r="I289" s="12" t="n">
        <f aca="false">(ABS(C120-I120)/C120)*100</f>
        <v>89.7727272727273</v>
      </c>
      <c r="J289" s="14" t="n">
        <f aca="false">(ABS(D120-J120)/D120)*100</f>
        <v>19.5395738203957</v>
      </c>
      <c r="K289" s="23"/>
      <c r="L289" s="14" t="n">
        <f aca="false">(ABS(C120-K120)/C120)*100</f>
        <v>0</v>
      </c>
      <c r="M289" s="14" t="n">
        <f aca="false">(ABS(D120-L120)/D120)*100</f>
        <v>0</v>
      </c>
      <c r="N289" s="23"/>
    </row>
    <row r="290" customFormat="false" ht="15" hidden="false" customHeight="false" outlineLevel="0" collapsed="false">
      <c r="A290" s="8"/>
      <c r="B290" s="14" t="n">
        <v>117</v>
      </c>
      <c r="C290" s="36" t="n">
        <f aca="false">(ABS(C121-E121)/C121)*100</f>
        <v>99.9432624113475</v>
      </c>
      <c r="D290" s="14" t="n">
        <f aca="false">(ABS(D121-F121)/D121)*100</f>
        <v>21.3839150227618</v>
      </c>
      <c r="E290" s="23"/>
      <c r="F290" s="33" t="n">
        <f aca="false">(ABS(C121-G121)/C121)*100</f>
        <v>0</v>
      </c>
      <c r="G290" s="14" t="n">
        <f aca="false">(ABS(D121-H121)/D121)*100</f>
        <v>0</v>
      </c>
      <c r="H290" s="23"/>
      <c r="I290" s="12" t="n">
        <f aca="false">(ABS(C121-I121)/C121)*100</f>
        <v>83.8333333333333</v>
      </c>
      <c r="J290" s="14" t="n">
        <f aca="false">(ABS(D121-J121)/D121)*100</f>
        <v>17.9370257966616</v>
      </c>
      <c r="K290" s="23"/>
      <c r="L290" s="14" t="n">
        <f aca="false">(ABS(C121-K121)/C121)*100</f>
        <v>0</v>
      </c>
      <c r="M290" s="14" t="n">
        <f aca="false">(ABS(D121-L121)/D121)*100</f>
        <v>0</v>
      </c>
      <c r="N290" s="23"/>
    </row>
    <row r="291" customFormat="false" ht="15" hidden="false" customHeight="false" outlineLevel="0" collapsed="false">
      <c r="A291" s="8"/>
      <c r="B291" s="14" t="n">
        <v>118</v>
      </c>
      <c r="C291" s="36" t="n">
        <f aca="false">(ABS(C122-E122)/C122)*100</f>
        <v>99.936170212766</v>
      </c>
      <c r="D291" s="14" t="n">
        <f aca="false">(ABS(D122-F122)/D122)*100</f>
        <v>21.3823975720789</v>
      </c>
      <c r="E291" s="23"/>
      <c r="F291" s="33" t="n">
        <f aca="false">(ABS(C122-G122)/C122)*100</f>
        <v>0.00354609929078014</v>
      </c>
      <c r="G291" s="14" t="n">
        <f aca="false">(ABS(D122-H122)/D122)*100</f>
        <v>0.000758725341426404</v>
      </c>
      <c r="H291" s="23"/>
      <c r="I291" s="12" t="n">
        <f aca="false">(ABS(C122-I122)/C122)*100</f>
        <v>77.145390070922</v>
      </c>
      <c r="J291" s="14" t="n">
        <f aca="false">(ABS(D122-J122)/D122)*100</f>
        <v>16.5060698027314</v>
      </c>
      <c r="K291" s="23"/>
      <c r="L291" s="14" t="n">
        <f aca="false">(ABS(C122-K122)/C122)*100</f>
        <v>0.00354609929078014</v>
      </c>
      <c r="M291" s="14" t="n">
        <f aca="false">(ABS(D122-L122)/D122)*100</f>
        <v>0.000758725341426404</v>
      </c>
      <c r="N291" s="23"/>
    </row>
    <row r="292" customFormat="false" ht="15" hidden="false" customHeight="false" outlineLevel="0" collapsed="false">
      <c r="A292" s="8"/>
      <c r="B292" s="14" t="n">
        <v>119</v>
      </c>
      <c r="C292" s="36" t="n">
        <f aca="false">(ABS(C123-E123)/C123)*100</f>
        <v>99.9208633093525</v>
      </c>
      <c r="D292" s="14" t="n">
        <f aca="false">(ABS(D123-F123)/D123)*100</f>
        <v>21.0121028744327</v>
      </c>
      <c r="E292" s="23"/>
      <c r="F292" s="33" t="n">
        <f aca="false">(ABS(C123-G123)/C123)*100</f>
        <v>0</v>
      </c>
      <c r="G292" s="14" t="n">
        <f aca="false">(ABS(D123-H123)/D123)*100</f>
        <v>0</v>
      </c>
      <c r="H292" s="23"/>
      <c r="I292" s="12" t="n">
        <f aca="false">(ABS(C123-I123)/C123)*100</f>
        <v>99.2446043165468</v>
      </c>
      <c r="J292" s="14" t="n">
        <f aca="false">(ABS(D123-J123)/D123)*100</f>
        <v>20.8698940998487</v>
      </c>
      <c r="K292" s="23"/>
      <c r="L292" s="14" t="n">
        <f aca="false">(ABS(C123-K123)/C123)*100</f>
        <v>0</v>
      </c>
      <c r="M292" s="14" t="n">
        <f aca="false">(ABS(D123-L123)/D123)*100</f>
        <v>0</v>
      </c>
      <c r="N292" s="23"/>
    </row>
    <row r="293" customFormat="false" ht="15" hidden="false" customHeight="false" outlineLevel="0" collapsed="false">
      <c r="A293" s="8"/>
      <c r="B293" s="14" t="n">
        <v>120</v>
      </c>
      <c r="C293" s="36" t="n">
        <f aca="false">(ABS(C124-E124)/C124)*100</f>
        <v>99.773381294964</v>
      </c>
      <c r="D293" s="14" t="n">
        <f aca="false">(ABS(D124-F124)/D124)*100</f>
        <v>20.9810892586989</v>
      </c>
      <c r="E293" s="23"/>
      <c r="F293" s="33" t="n">
        <f aca="false">(ABS(C124-G124)/C124)*100</f>
        <v>0.00359712230215827</v>
      </c>
      <c r="G293" s="14" t="n">
        <f aca="false">(ABS(D124-H124)/D124)*100</f>
        <v>0.00075642965204236</v>
      </c>
      <c r="H293" s="23"/>
      <c r="I293" s="12" t="n">
        <f aca="false">(ABS(C124-I124)/C124)*100</f>
        <v>99.9784172661871</v>
      </c>
      <c r="J293" s="14" t="n">
        <f aca="false">(ABS(D124-J124)/D124)*100</f>
        <v>21.0242057488654</v>
      </c>
      <c r="K293" s="23"/>
      <c r="L293" s="14" t="n">
        <f aca="false">(ABS(C124-K124)/C124)*100</f>
        <v>0.00359712230215827</v>
      </c>
      <c r="M293" s="14" t="n">
        <f aca="false">(ABS(D124-L124)/D124)*100</f>
        <v>0.00075642965204236</v>
      </c>
      <c r="N293" s="23"/>
    </row>
    <row r="294" customFormat="false" ht="15" hidden="false" customHeight="false" outlineLevel="0" collapsed="false">
      <c r="A294" s="8"/>
      <c r="B294" s="14" t="n">
        <v>121</v>
      </c>
      <c r="C294" s="36" t="n">
        <f aca="false">(ABS(C125-E125)/C125)*100</f>
        <v>99.6423357664234</v>
      </c>
      <c r="D294" s="14" t="n">
        <f aca="false">(ABS(D125-F125)/D125)*100</f>
        <v>20.5897435897436</v>
      </c>
      <c r="E294" s="23"/>
      <c r="F294" s="33" t="n">
        <f aca="false">(ABS(C125-G125)/C125)*100</f>
        <v>0</v>
      </c>
      <c r="G294" s="14" t="n">
        <f aca="false">(ABS(D125-H125)/D125)*100</f>
        <v>0</v>
      </c>
      <c r="H294" s="23"/>
      <c r="I294" s="12" t="n">
        <f aca="false">(ABS(C125-I125)/C125)*100</f>
        <v>99.6094890510949</v>
      </c>
      <c r="J294" s="14" t="n">
        <f aca="false">(ABS(D125-J125)/D125)*100</f>
        <v>20.5829562594268</v>
      </c>
      <c r="K294" s="23"/>
      <c r="L294" s="14" t="n">
        <f aca="false">(ABS(C125-K125)/C125)*100</f>
        <v>0</v>
      </c>
      <c r="M294" s="14" t="n">
        <f aca="false">(ABS(D125-L125)/D125)*100</f>
        <v>0</v>
      </c>
      <c r="N294" s="23"/>
    </row>
    <row r="295" customFormat="false" ht="15" hidden="false" customHeight="false" outlineLevel="0" collapsed="false">
      <c r="A295" s="8"/>
      <c r="B295" s="14" t="n">
        <v>122</v>
      </c>
      <c r="C295" s="36" t="n">
        <f aca="false">(ABS(C126-E126)/C126)*100</f>
        <v>98.5875912408759</v>
      </c>
      <c r="D295" s="14" t="n">
        <f aca="false">(ABS(D126-F126)/D126)*100</f>
        <v>20.3717948717949</v>
      </c>
      <c r="E295" s="23"/>
      <c r="F295" s="33" t="n">
        <f aca="false">(ABS(C126-G126)/C126)*100</f>
        <v>0.00364963503649635</v>
      </c>
      <c r="G295" s="14" t="n">
        <f aca="false">(ABS(D126-H126)/D126)*100</f>
        <v>0.000754147812971342</v>
      </c>
      <c r="H295" s="23"/>
      <c r="I295" s="12" t="n">
        <f aca="false">(ABS(C126-I126)/C126)*100</f>
        <v>99.956204379562</v>
      </c>
      <c r="J295" s="14" t="n">
        <f aca="false">(ABS(D126-J126)/D126)*100</f>
        <v>20.6546003016591</v>
      </c>
      <c r="K295" s="23"/>
      <c r="L295" s="14" t="n">
        <f aca="false">(ABS(C126-K126)/C126)*100</f>
        <v>0.00364963503649635</v>
      </c>
      <c r="M295" s="14" t="n">
        <f aca="false">(ABS(D126-L126)/D126)*100</f>
        <v>0.000754147812971342</v>
      </c>
      <c r="N295" s="23"/>
    </row>
    <row r="296" customFormat="false" ht="15" hidden="false" customHeight="false" outlineLevel="0" collapsed="false">
      <c r="A296" s="8"/>
      <c r="B296" s="14" t="n">
        <v>123</v>
      </c>
      <c r="C296" s="36" t="n">
        <f aca="false">(ABS(C127-E127)/C127)*100</f>
        <v>99.9518518518518</v>
      </c>
      <c r="D296" s="14" t="n">
        <f aca="false">(ABS(D127-F127)/D127)*100</f>
        <v>20.290977443609</v>
      </c>
      <c r="E296" s="23"/>
      <c r="F296" s="33" t="n">
        <f aca="false">(ABS(C127-G127)/C127)*100</f>
        <v>0</v>
      </c>
      <c r="G296" s="14" t="n">
        <f aca="false">(ABS(D127-H127)/D127)*100</f>
        <v>0</v>
      </c>
      <c r="H296" s="23"/>
      <c r="I296" s="12" t="n">
        <f aca="false">(ABS(C127-I127)/C127)*100</f>
        <v>99.9111111111111</v>
      </c>
      <c r="J296" s="14" t="n">
        <f aca="false">(ABS(D127-J127)/D127)*100</f>
        <v>20.2827067669173</v>
      </c>
      <c r="K296" s="23"/>
      <c r="L296" s="14" t="n">
        <f aca="false">(ABS(C127-K127)/C127)*100</f>
        <v>0</v>
      </c>
      <c r="M296" s="14" t="n">
        <f aca="false">(ABS(D127-L127)/D127)*100</f>
        <v>0</v>
      </c>
      <c r="N296" s="23"/>
    </row>
    <row r="297" customFormat="false" ht="15" hidden="false" customHeight="false" outlineLevel="0" collapsed="false">
      <c r="A297" s="8"/>
      <c r="B297" s="14" t="n">
        <v>124</v>
      </c>
      <c r="C297" s="36" t="n">
        <f aca="false">(ABS(C128-E128)/C128)*100</f>
        <v>98.9285714285714</v>
      </c>
      <c r="D297" s="14" t="n">
        <f aca="false">(ABS(D128-F128)/D128)*100</f>
        <v>19.7263868065967</v>
      </c>
      <c r="E297" s="23"/>
      <c r="F297" s="33" t="n">
        <f aca="false">(ABS(C128-G128)/C128)*100</f>
        <v>0</v>
      </c>
      <c r="G297" s="14" t="n">
        <f aca="false">(ABS(D128-H128)/D128)*100</f>
        <v>0</v>
      </c>
      <c r="H297" s="23"/>
      <c r="I297" s="12" t="n">
        <f aca="false">(ABS(C128-I128)/C128)*100</f>
        <v>99.5526315789474</v>
      </c>
      <c r="J297" s="14" t="n">
        <f aca="false">(ABS(D128-J128)/D128)*100</f>
        <v>19.8508245877061</v>
      </c>
      <c r="K297" s="23"/>
      <c r="L297" s="14" t="n">
        <f aca="false">(ABS(C128-K128)/C128)*100</f>
        <v>0</v>
      </c>
      <c r="M297" s="14" t="n">
        <f aca="false">(ABS(D128-L128)/D128)*100</f>
        <v>0</v>
      </c>
      <c r="N297" s="23"/>
    </row>
    <row r="298" customFormat="false" ht="15" hidden="false" customHeight="false" outlineLevel="0" collapsed="false">
      <c r="A298" s="8"/>
      <c r="B298" s="14" t="n">
        <v>125</v>
      </c>
      <c r="C298" s="36" t="n">
        <f aca="false">(ABS(C129-E129)/C129)*100</f>
        <v>98.7293233082707</v>
      </c>
      <c r="D298" s="14" t="n">
        <f aca="false">(ABS(D129-F129)/D129)*100</f>
        <v>19.6866566716642</v>
      </c>
      <c r="E298" s="23"/>
      <c r="F298" s="33" t="n">
        <f aca="false">(ABS(C129-G129)/C129)*100</f>
        <v>0</v>
      </c>
      <c r="G298" s="14" t="n">
        <f aca="false">(ABS(D129-H129)/D129)*100</f>
        <v>0</v>
      </c>
      <c r="H298" s="23"/>
      <c r="I298" s="12" t="n">
        <f aca="false">(ABS(C129-I129)/C129)*100</f>
        <v>99.6052631578947</v>
      </c>
      <c r="J298" s="14" t="n">
        <f aca="false">(ABS(D129-J129)/D129)*100</f>
        <v>19.8613193403298</v>
      </c>
      <c r="K298" s="23"/>
      <c r="L298" s="14" t="n">
        <f aca="false">(ABS(C129-K129)/C129)*100</f>
        <v>0</v>
      </c>
      <c r="M298" s="14" t="n">
        <f aca="false">(ABS(D129-L129)/D129)*100</f>
        <v>0</v>
      </c>
      <c r="N298" s="23"/>
    </row>
    <row r="299" customFormat="false" ht="15" hidden="false" customHeight="false" outlineLevel="0" collapsed="false">
      <c r="A299" s="8"/>
      <c r="B299" s="14" t="n">
        <v>126</v>
      </c>
      <c r="C299" s="36" t="n">
        <f aca="false">(ABS(C130-E130)/C130)*100</f>
        <v>99.7900763358779</v>
      </c>
      <c r="D299" s="14" t="n">
        <f aca="false">(ABS(D130-F130)/D130)*100</f>
        <v>19.5403587443946</v>
      </c>
      <c r="E299" s="23"/>
      <c r="F299" s="33" t="n">
        <f aca="false">(ABS(C130-G130)/C130)*100</f>
        <v>0</v>
      </c>
      <c r="G299" s="14" t="n">
        <f aca="false">(ABS(D130-H130)/D130)*100</f>
        <v>0</v>
      </c>
      <c r="H299" s="23"/>
      <c r="I299" s="12" t="n">
        <f aca="false">(ABS(C130-I130)/C130)*100</f>
        <v>99.675572519084</v>
      </c>
      <c r="J299" s="14" t="n">
        <f aca="false">(ABS(D130-J130)/D130)*100</f>
        <v>19.5179372197309</v>
      </c>
      <c r="K299" s="23"/>
      <c r="L299" s="14" t="n">
        <f aca="false">(ABS(C130-K130)/C130)*100</f>
        <v>0</v>
      </c>
      <c r="M299" s="14" t="n">
        <f aca="false">(ABS(D130-L130)/D130)*100</f>
        <v>0</v>
      </c>
      <c r="N299" s="23"/>
    </row>
    <row r="300" customFormat="false" ht="15" hidden="false" customHeight="false" outlineLevel="0" collapsed="false">
      <c r="A300" s="8"/>
      <c r="B300" s="14" t="n">
        <v>127</v>
      </c>
      <c r="C300" s="36" t="n">
        <f aca="false">(ABS(C131-E131)/C131)*100</f>
        <v>99.6937984496124</v>
      </c>
      <c r="D300" s="14" t="n">
        <f aca="false">(ABS(D131-F131)/D131)*100</f>
        <v>19.1661698956781</v>
      </c>
      <c r="E300" s="23"/>
      <c r="F300" s="33" t="n">
        <f aca="false">(ABS(C131-G131)/C131)*100</f>
        <v>0</v>
      </c>
      <c r="G300" s="14" t="n">
        <f aca="false">(ABS(D131-H131)/D131)*100</f>
        <v>0</v>
      </c>
      <c r="H300" s="23"/>
      <c r="I300" s="12" t="n">
        <f aca="false">(ABS(C131-I131)/C131)*100</f>
        <v>100</v>
      </c>
      <c r="J300" s="14" t="n">
        <f aca="false">(ABS(D131-J131)/D131)*100</f>
        <v>19.2250372578241</v>
      </c>
      <c r="K300" s="23"/>
      <c r="L300" s="14" t="n">
        <f aca="false">(ABS(C131-K131)/C131)*100</f>
        <v>0</v>
      </c>
      <c r="M300" s="14" t="n">
        <f aca="false">(ABS(D131-L131)/D131)*100</f>
        <v>0</v>
      </c>
      <c r="N300" s="23"/>
    </row>
    <row r="301" customFormat="false" ht="15" hidden="false" customHeight="false" outlineLevel="0" collapsed="false">
      <c r="A301" s="8"/>
      <c r="B301" s="14" t="n">
        <v>128</v>
      </c>
      <c r="C301" s="36" t="n">
        <f aca="false">(ABS(C132-E132)/C132)*100</f>
        <v>99.7945736434109</v>
      </c>
      <c r="D301" s="14" t="n">
        <f aca="false">(ABS(D132-F132)/D132)*100</f>
        <v>19.1855439642325</v>
      </c>
      <c r="E301" s="23"/>
      <c r="F301" s="33" t="n">
        <f aca="false">(ABS(C132-G132)/C132)*100</f>
        <v>0</v>
      </c>
      <c r="G301" s="14" t="n">
        <f aca="false">(ABS(D132-H132)/D132)*100</f>
        <v>0</v>
      </c>
      <c r="H301" s="23"/>
      <c r="I301" s="12" t="n">
        <f aca="false">(ABS(C132-I132)/C132)*100</f>
        <v>100</v>
      </c>
      <c r="J301" s="14" t="n">
        <f aca="false">(ABS(D132-J132)/D132)*100</f>
        <v>19.2250372578241</v>
      </c>
      <c r="K301" s="23"/>
      <c r="L301" s="14" t="n">
        <f aca="false">(ABS(C132-K132)/C132)*100</f>
        <v>0</v>
      </c>
      <c r="M301" s="14" t="n">
        <f aca="false">(ABS(D132-L132)/D132)*100</f>
        <v>0</v>
      </c>
      <c r="N301" s="23"/>
    </row>
    <row r="302" customFormat="false" ht="15" hidden="false" customHeight="false" outlineLevel="0" collapsed="false">
      <c r="A302" s="8"/>
      <c r="B302" s="14" t="n">
        <v>129</v>
      </c>
      <c r="C302" s="36" t="n">
        <f aca="false">(ABS(C133-E133)/C133)*100</f>
        <v>99.7125984251969</v>
      </c>
      <c r="D302" s="14" t="n">
        <f aca="false">(ABS(D133-F133)/D133)*100</f>
        <v>18.8164933135215</v>
      </c>
      <c r="E302" s="23"/>
      <c r="F302" s="33" t="n">
        <f aca="false">(ABS(C133-G133)/C133)*100</f>
        <v>0</v>
      </c>
      <c r="G302" s="14" t="n">
        <f aca="false">(ABS(D133-H133)/D133)*100</f>
        <v>0</v>
      </c>
      <c r="H302" s="23"/>
      <c r="I302" s="12" t="n">
        <f aca="false">(ABS(C133-I133)/C133)*100</f>
        <v>100</v>
      </c>
      <c r="J302" s="14" t="n">
        <f aca="false">(ABS(D133-J133)/D133)*100</f>
        <v>18.8707280832095</v>
      </c>
      <c r="K302" s="23"/>
      <c r="L302" s="14" t="n">
        <f aca="false">(ABS(C133-K133)/C133)*100</f>
        <v>0</v>
      </c>
      <c r="M302" s="14" t="n">
        <f aca="false">(ABS(D133-L133)/D133)*100</f>
        <v>0</v>
      </c>
      <c r="N302" s="23"/>
    </row>
    <row r="303" customFormat="false" ht="15" hidden="false" customHeight="false" outlineLevel="0" collapsed="false">
      <c r="A303" s="8"/>
      <c r="B303" s="14" t="n">
        <v>130</v>
      </c>
      <c r="C303" s="36" t="n">
        <f aca="false">(ABS(C134-E134)/C134)*100</f>
        <v>100</v>
      </c>
      <c r="D303" s="14" t="n">
        <f aca="false">(ABS(D134-F134)/D134)*100</f>
        <v>18.5185185185185</v>
      </c>
      <c r="E303" s="23"/>
      <c r="F303" s="33" t="n">
        <f aca="false">(ABS(C134-G134)/C134)*100</f>
        <v>0.52</v>
      </c>
      <c r="G303" s="14" t="n">
        <f aca="false">(ABS(D134-H134)/D134)*100</f>
        <v>0.0962962962962963</v>
      </c>
      <c r="H303" s="23"/>
      <c r="I303" s="12" t="n">
        <f aca="false">(ABS(C134-I134)/C134)*100</f>
        <v>100</v>
      </c>
      <c r="J303" s="14" t="n">
        <f aca="false">(ABS(D134-J134)/D134)*100</f>
        <v>18.5185185185185</v>
      </c>
      <c r="K303" s="23"/>
      <c r="L303" s="14" t="n">
        <f aca="false">(ABS(C134-K134)/C134)*100</f>
        <v>0.004</v>
      </c>
      <c r="M303" s="14" t="n">
        <f aca="false">(ABS(D134-L134)/D134)*100</f>
        <v>0.000740740740740741</v>
      </c>
      <c r="N303" s="23"/>
    </row>
    <row r="304" customFormat="false" ht="15" hidden="false" customHeight="false" outlineLevel="0" collapsed="false">
      <c r="A304" s="8"/>
      <c r="B304" s="14" t="n">
        <v>131</v>
      </c>
      <c r="C304" s="36" t="n">
        <f aca="false">(ABS(C135-E135)/C135)*100</f>
        <v>99.7073170731707</v>
      </c>
      <c r="D304" s="14" t="n">
        <f aca="false">(ABS(D135-F135)/D135)*100</f>
        <v>18.1152141802068</v>
      </c>
      <c r="E304" s="23"/>
      <c r="F304" s="33" t="n">
        <f aca="false">(ABS(C135-G135)/C135)*100</f>
        <v>0.0813008130081301</v>
      </c>
      <c r="G304" s="14" t="n">
        <f aca="false">(ABS(D135-H135)/D135)*100</f>
        <v>0.0147710487444609</v>
      </c>
      <c r="H304" s="23"/>
      <c r="I304" s="12" t="n">
        <f aca="false">(ABS(C135-I135)/C135)*100</f>
        <v>99.9634146341464</v>
      </c>
      <c r="J304" s="14" t="n">
        <f aca="false">(ABS(D135-J135)/D135)*100</f>
        <v>18.1617429837518</v>
      </c>
      <c r="K304" s="23"/>
      <c r="L304" s="14" t="n">
        <f aca="false">(ABS(C135-K135)/C135)*100</f>
        <v>0</v>
      </c>
      <c r="M304" s="14" t="n">
        <f aca="false">(ABS(D135-L135)/D135)*100</f>
        <v>0</v>
      </c>
      <c r="N304" s="23"/>
    </row>
    <row r="305" customFormat="false" ht="15" hidden="false" customHeight="false" outlineLevel="0" collapsed="false">
      <c r="A305" s="8"/>
      <c r="B305" s="14" t="n">
        <v>132</v>
      </c>
      <c r="C305" s="36" t="n">
        <f aca="false">(ABS(C136-E136)/C136)*100</f>
        <v>99.8719008264463</v>
      </c>
      <c r="D305" s="14" t="n">
        <f aca="false">(ABS(D136-F136)/D136)*100</f>
        <v>17.7974963181149</v>
      </c>
      <c r="E305" s="23"/>
      <c r="F305" s="33" t="n">
        <f aca="false">(ABS(C136-G136)/C136)*100</f>
        <v>0</v>
      </c>
      <c r="G305" s="14" t="n">
        <f aca="false">(ABS(D136-H136)/D136)*100</f>
        <v>0</v>
      </c>
      <c r="H305" s="23"/>
      <c r="I305" s="12" t="n">
        <f aca="false">(ABS(C136-I136)/C136)*100</f>
        <v>99.6157024793388</v>
      </c>
      <c r="J305" s="14" t="n">
        <f aca="false">(ABS(D136-J136)/D136)*100</f>
        <v>17.7518409425626</v>
      </c>
      <c r="K305" s="23"/>
      <c r="L305" s="14" t="n">
        <f aca="false">(ABS(C136-K136)/C136)*100</f>
        <v>0</v>
      </c>
      <c r="M305" s="14" t="n">
        <f aca="false">(ABS(D136-L136)/D136)*100</f>
        <v>0</v>
      </c>
      <c r="N305" s="23"/>
    </row>
    <row r="306" customFormat="false" ht="15" hidden="false" customHeight="false" outlineLevel="0" collapsed="false">
      <c r="A306" s="8"/>
      <c r="B306" s="14" t="n">
        <v>133</v>
      </c>
      <c r="C306" s="36" t="n">
        <f aca="false">(ABS(C137-E137)/C137)*100</f>
        <v>99.7478991596639</v>
      </c>
      <c r="D306" s="14" t="n">
        <f aca="false">(ABS(D137-F137)/D137)*100</f>
        <v>17.4302496328928</v>
      </c>
      <c r="E306" s="23"/>
      <c r="F306" s="33" t="n">
        <f aca="false">(ABS(C137-G137)/C137)*100</f>
        <v>0</v>
      </c>
      <c r="G306" s="14" t="n">
        <f aca="false">(ABS(D137-H137)/D137)*100</f>
        <v>0</v>
      </c>
      <c r="H306" s="23"/>
      <c r="I306" s="12" t="n">
        <f aca="false">(ABS(C137-I137)/C137)*100</f>
        <v>98.4957983193277</v>
      </c>
      <c r="J306" s="14" t="n">
        <f aca="false">(ABS(D137-J137)/D137)*100</f>
        <v>17.2114537444934</v>
      </c>
      <c r="K306" s="23"/>
      <c r="L306" s="14" t="n">
        <f aca="false">(ABS(C137-K137)/C137)*100</f>
        <v>0</v>
      </c>
      <c r="M306" s="14" t="n">
        <f aca="false">(ABS(D137-L137)/D137)*100</f>
        <v>0</v>
      </c>
      <c r="N306" s="23"/>
    </row>
    <row r="307" customFormat="false" ht="15" hidden="false" customHeight="false" outlineLevel="0" collapsed="false">
      <c r="A307" s="8"/>
      <c r="B307" s="14" t="n">
        <v>134</v>
      </c>
      <c r="C307" s="36" t="n">
        <f aca="false">(ABS(C138-E138)/C138)*100</f>
        <v>100</v>
      </c>
      <c r="D307" s="14" t="n">
        <f aca="false">(ABS(D138-F138)/D138)*100</f>
        <v>17.4743024963289</v>
      </c>
      <c r="E307" s="23"/>
      <c r="F307" s="33" t="n">
        <f aca="false">(ABS(C138-G138)/C138)*100</f>
        <v>0</v>
      </c>
      <c r="G307" s="14" t="n">
        <f aca="false">(ABS(D138-H138)/D138)*100</f>
        <v>0</v>
      </c>
      <c r="H307" s="23"/>
      <c r="I307" s="12" t="n">
        <f aca="false">(ABS(C138-I138)/C138)*100</f>
        <v>99.2226890756303</v>
      </c>
      <c r="J307" s="14" t="n">
        <f aca="false">(ABS(D138-J138)/D138)*100</f>
        <v>17.3384728340676</v>
      </c>
      <c r="K307" s="23"/>
      <c r="L307" s="14" t="n">
        <f aca="false">(ABS(C138-K138)/C138)*100</f>
        <v>0</v>
      </c>
      <c r="M307" s="14" t="n">
        <f aca="false">(ABS(D138-L138)/D138)*100</f>
        <v>0</v>
      </c>
      <c r="N307" s="23"/>
    </row>
    <row r="308" customFormat="false" ht="15" hidden="false" customHeight="false" outlineLevel="0" collapsed="false">
      <c r="A308" s="8"/>
      <c r="B308" s="14" t="n">
        <v>135</v>
      </c>
      <c r="C308" s="36" t="n">
        <f aca="false">(ABS(C139-E139)/C139)*100</f>
        <v>100</v>
      </c>
      <c r="D308" s="14" t="n">
        <f aca="false">(ABS(D139-F139)/D139)*100</f>
        <v>17.1303074670571</v>
      </c>
      <c r="E308" s="23"/>
      <c r="F308" s="33" t="n">
        <f aca="false">(ABS(C139-G139)/C139)*100</f>
        <v>0</v>
      </c>
      <c r="G308" s="14" t="n">
        <f aca="false">(ABS(D139-H139)/D139)*100</f>
        <v>0</v>
      </c>
      <c r="H308" s="23"/>
      <c r="I308" s="12" t="n">
        <f aca="false">(ABS(C139-I139)/C139)*100</f>
        <v>94.7905982905983</v>
      </c>
      <c r="J308" s="14" t="n">
        <f aca="false">(ABS(D139-J139)/D139)*100</f>
        <v>16.2379209370425</v>
      </c>
      <c r="K308" s="23"/>
      <c r="L308" s="14" t="n">
        <f aca="false">(ABS(C139-K139)/C139)*100</f>
        <v>0</v>
      </c>
      <c r="M308" s="14" t="n">
        <f aca="false">(ABS(D139-L139)/D139)*100</f>
        <v>0</v>
      </c>
      <c r="N308" s="23"/>
    </row>
    <row r="309" customFormat="false" ht="15" hidden="false" customHeight="false" outlineLevel="0" collapsed="false">
      <c r="A309" s="8"/>
      <c r="B309" s="14" t="n">
        <v>136</v>
      </c>
      <c r="C309" s="36" t="n">
        <f aca="false">(ABS(C140-E140)/C140)*100</f>
        <v>99.9521739130435</v>
      </c>
      <c r="D309" s="14" t="n">
        <f aca="false">(ABS(D140-F140)/D140)*100</f>
        <v>16.7802919708029</v>
      </c>
      <c r="E309" s="23"/>
      <c r="F309" s="33" t="n">
        <f aca="false">(ABS(C140-G140)/C140)*100</f>
        <v>0.00434782608695652</v>
      </c>
      <c r="G309" s="14" t="n">
        <f aca="false">(ABS(D140-H140)/D140)*100</f>
        <v>0.00072992700729927</v>
      </c>
      <c r="H309" s="23"/>
      <c r="I309" s="12" t="n">
        <f aca="false">(ABS(C140-I140)/C140)*100</f>
        <v>99.9869565217391</v>
      </c>
      <c r="J309" s="14" t="n">
        <f aca="false">(ABS(D140-J140)/D140)*100</f>
        <v>16.7861313868613</v>
      </c>
      <c r="K309" s="23"/>
      <c r="L309" s="14" t="n">
        <f aca="false">(ABS(C140-K140)/C140)*100</f>
        <v>0.0130434782608696</v>
      </c>
      <c r="M309" s="14" t="n">
        <f aca="false">(ABS(D140-L140)/D140)*100</f>
        <v>0.00218978102189781</v>
      </c>
      <c r="N309" s="23"/>
    </row>
    <row r="310" customFormat="false" ht="15" hidden="false" customHeight="false" outlineLevel="0" collapsed="false">
      <c r="A310" s="8"/>
      <c r="B310" s="14" t="n">
        <v>137</v>
      </c>
      <c r="C310" s="36" t="n">
        <f aca="false">(ABS(C141-E141)/C141)*100</f>
        <v>100</v>
      </c>
      <c r="D310" s="14" t="n">
        <f aca="false">(ABS(D141-F141)/D141)*100</f>
        <v>16.448326055313</v>
      </c>
      <c r="E310" s="23"/>
      <c r="F310" s="33" t="n">
        <f aca="false">(ABS(C141-G141)/C141)*100</f>
        <v>0</v>
      </c>
      <c r="G310" s="14" t="n">
        <f aca="false">(ABS(D141-H141)/D141)*100</f>
        <v>0</v>
      </c>
      <c r="H310" s="23"/>
      <c r="I310" s="12" t="n">
        <f aca="false">(ABS(C141-I141)/C141)*100</f>
        <v>100</v>
      </c>
      <c r="J310" s="14" t="n">
        <f aca="false">(ABS(D141-J141)/D141)*100</f>
        <v>16.448326055313</v>
      </c>
      <c r="K310" s="23"/>
      <c r="L310" s="14" t="n">
        <f aca="false">(ABS(C141-K141)/C141)*100</f>
        <v>0</v>
      </c>
      <c r="M310" s="14" t="n">
        <f aca="false">(ABS(D141-L141)/D141)*100</f>
        <v>0</v>
      </c>
      <c r="N310" s="23"/>
    </row>
    <row r="311" customFormat="false" ht="15" hidden="false" customHeight="false" outlineLevel="0" collapsed="false">
      <c r="A311" s="8"/>
      <c r="B311" s="14" t="n">
        <v>138</v>
      </c>
      <c r="C311" s="36" t="n">
        <f aca="false">(ABS(C142-E142)/C142)*100</f>
        <v>99.981981981982</v>
      </c>
      <c r="D311" s="14" t="n">
        <f aca="false">(ABS(D142-F142)/D142)*100</f>
        <v>16.1074020319303</v>
      </c>
      <c r="E311" s="23"/>
      <c r="F311" s="33" t="n">
        <f aca="false">(ABS(C142-G142)/C142)*100</f>
        <v>0</v>
      </c>
      <c r="G311" s="14" t="n">
        <f aca="false">(ABS(D142-H142)/D142)*100</f>
        <v>0</v>
      </c>
      <c r="H311" s="23"/>
      <c r="I311" s="12" t="n">
        <f aca="false">(ABS(C142-I142)/C142)*100</f>
        <v>100</v>
      </c>
      <c r="J311" s="14" t="n">
        <f aca="false">(ABS(D142-J142)/D142)*100</f>
        <v>16.1103047895501</v>
      </c>
      <c r="K311" s="23"/>
      <c r="L311" s="14" t="n">
        <f aca="false">(ABS(C142-K142)/C142)*100</f>
        <v>0</v>
      </c>
      <c r="M311" s="14" t="n">
        <f aca="false">(ABS(D142-L142)/D142)*100</f>
        <v>0</v>
      </c>
      <c r="N311" s="23"/>
    </row>
    <row r="312" customFormat="false" ht="15" hidden="false" customHeight="false" outlineLevel="0" collapsed="false">
      <c r="A312" s="8"/>
      <c r="B312" s="14" t="n">
        <v>139</v>
      </c>
      <c r="C312" s="36" t="n">
        <f aca="false">(ABS(C143-E143)/C143)*100</f>
        <v>99.6743119266055</v>
      </c>
      <c r="D312" s="14" t="n">
        <f aca="false">(ABS(D143-F143)/D143)*100</f>
        <v>15.7228654124457</v>
      </c>
      <c r="E312" s="23"/>
      <c r="F312" s="33" t="n">
        <f aca="false">(ABS(C143-G143)/C143)*100</f>
        <v>0.00458715596330275</v>
      </c>
      <c r="G312" s="14" t="n">
        <f aca="false">(ABS(D143-H143)/D143)*100</f>
        <v>0.000723589001447178</v>
      </c>
      <c r="H312" s="23"/>
      <c r="I312" s="12" t="n">
        <f aca="false">(ABS(C143-I143)/C143)*100</f>
        <v>100</v>
      </c>
      <c r="J312" s="14" t="n">
        <f aca="false">(ABS(D143-J143)/D143)*100</f>
        <v>15.7742402315485</v>
      </c>
      <c r="K312" s="23"/>
      <c r="L312" s="14" t="n">
        <f aca="false">(ABS(C143-K143)/C143)*100</f>
        <v>0.00458715596330275</v>
      </c>
      <c r="M312" s="14" t="n">
        <f aca="false">(ABS(D143-L143)/D143)*100</f>
        <v>0.000723589001447178</v>
      </c>
      <c r="N312" s="23"/>
    </row>
    <row r="313" customFormat="false" ht="15" hidden="false" customHeight="false" outlineLevel="0" collapsed="false">
      <c r="A313" s="8"/>
      <c r="B313" s="14" t="n">
        <v>140</v>
      </c>
      <c r="C313" s="36" t="n">
        <f aca="false">(ABS(C144-E144)/C144)*100</f>
        <v>99.7809523809524</v>
      </c>
      <c r="D313" s="14" t="n">
        <f aca="false">(ABS(D144-F144)/D144)*100</f>
        <v>15.0748201438849</v>
      </c>
      <c r="E313" s="23"/>
      <c r="F313" s="33" t="n">
        <f aca="false">(ABS(C144-G144)/C144)*100</f>
        <v>0</v>
      </c>
      <c r="G313" s="14" t="n">
        <f aca="false">(ABS(D144-H144)/D144)*100</f>
        <v>0</v>
      </c>
      <c r="H313" s="23"/>
      <c r="I313" s="12" t="n">
        <f aca="false">(ABS(C144-I144)/C144)*100</f>
        <v>99.8952380952381</v>
      </c>
      <c r="J313" s="14" t="n">
        <f aca="false">(ABS(D144-J144)/D144)*100</f>
        <v>15.0920863309353</v>
      </c>
      <c r="K313" s="23"/>
      <c r="L313" s="14" t="n">
        <f aca="false">(ABS(C144-K144)/C144)*100</f>
        <v>0.0238095238095238</v>
      </c>
      <c r="M313" s="14" t="n">
        <f aca="false">(ABS(D144-L144)/D144)*100</f>
        <v>0.00359712230215827</v>
      </c>
      <c r="N313" s="23"/>
    </row>
    <row r="314" customFormat="false" ht="15" hidden="false" customHeight="false" outlineLevel="0" collapsed="false">
      <c r="A314" s="8"/>
      <c r="B314" s="14" t="n">
        <v>141</v>
      </c>
      <c r="C314" s="36" t="n">
        <f aca="false">(ABS(C145-E145)/C145)*100</f>
        <v>95.5922330097087</v>
      </c>
      <c r="D314" s="14" t="n">
        <f aca="false">(ABS(D145-F145)/D145)*100</f>
        <v>14.1262553802009</v>
      </c>
      <c r="E314" s="23"/>
      <c r="F314" s="33" t="n">
        <f aca="false">(ABS(C145-G145)/C145)*100</f>
        <v>0.0728155339805825</v>
      </c>
      <c r="G314" s="14" t="n">
        <f aca="false">(ABS(D145-H145)/D145)*100</f>
        <v>0.0107604017216643</v>
      </c>
      <c r="H314" s="23"/>
      <c r="I314" s="12" t="n">
        <f aca="false">(ABS(C145-I145)/C145)*100</f>
        <v>97.6990291262136</v>
      </c>
      <c r="J314" s="14" t="n">
        <f aca="false">(ABS(D145-J145)/D145)*100</f>
        <v>14.4375896700143</v>
      </c>
      <c r="K314" s="23"/>
      <c r="L314" s="14" t="n">
        <f aca="false">(ABS(C145-K145)/C145)*100</f>
        <v>0.0388349514563107</v>
      </c>
      <c r="M314" s="14" t="n">
        <f aca="false">(ABS(D145-L145)/D145)*100</f>
        <v>0.00573888091822095</v>
      </c>
      <c r="N314" s="23"/>
    </row>
    <row r="315" customFormat="false" ht="15" hidden="false" customHeight="false" outlineLevel="0" collapsed="false">
      <c r="A315" s="8"/>
      <c r="B315" s="14" t="n">
        <v>142</v>
      </c>
      <c r="C315" s="36" t="n">
        <f aca="false">(ABS(C146-E146)/C146)*100</f>
        <v>97.3811881188119</v>
      </c>
      <c r="D315" s="14" t="n">
        <f aca="false">(ABS(D146-F146)/D146)*100</f>
        <v>14.0708154506438</v>
      </c>
      <c r="E315" s="23"/>
      <c r="F315" s="33" t="n">
        <f aca="false">(ABS(C146-G146)/C146)*100</f>
        <v>0</v>
      </c>
      <c r="G315" s="14" t="n">
        <f aca="false">(ABS(D146-H146)/D146)*100</f>
        <v>0</v>
      </c>
      <c r="H315" s="23"/>
      <c r="I315" s="12" t="n">
        <f aca="false">(ABS(C146-I146)/C146)*100</f>
        <v>92.7227722772277</v>
      </c>
      <c r="J315" s="14" t="n">
        <f aca="false">(ABS(D146-J146)/D146)*100</f>
        <v>13.3977110157368</v>
      </c>
      <c r="K315" s="23"/>
      <c r="L315" s="14" t="n">
        <f aca="false">(ABS(C146-K146)/C146)*100</f>
        <v>0.0346534653465347</v>
      </c>
      <c r="M315" s="14" t="n">
        <f aca="false">(ABS(D146-L146)/D146)*100</f>
        <v>0.0050071530758226</v>
      </c>
      <c r="N315" s="23"/>
    </row>
    <row r="316" customFormat="false" ht="15" hidden="false" customHeight="false" outlineLevel="0" collapsed="false">
      <c r="A316" s="8"/>
      <c r="B316" s="14" t="n">
        <v>143</v>
      </c>
      <c r="C316" s="36" t="n">
        <f aca="false">(ABS(C147-E147)/C147)*100</f>
        <v>98.5808080808081</v>
      </c>
      <c r="D316" s="14" t="n">
        <f aca="false">(ABS(D147-F147)/D147)*100</f>
        <v>13.9222539229672</v>
      </c>
      <c r="E316" s="23"/>
      <c r="F316" s="33" t="n">
        <f aca="false">(ABS(C147-G147)/C147)*100</f>
        <v>1</v>
      </c>
      <c r="G316" s="14" t="n">
        <f aca="false">(ABS(D147-H147)/D147)*100</f>
        <v>0.141226818830243</v>
      </c>
      <c r="H316" s="23"/>
      <c r="I316" s="12" t="n">
        <f aca="false">(ABS(C147-I147)/C147)*100</f>
        <v>99.9090909090909</v>
      </c>
      <c r="J316" s="14" t="n">
        <f aca="false">(ABS(D147-J147)/D147)*100</f>
        <v>14.1098430813124</v>
      </c>
      <c r="K316" s="23"/>
      <c r="L316" s="14" t="n">
        <f aca="false">(ABS(C147-K147)/C147)*100</f>
        <v>0.0303030303030303</v>
      </c>
      <c r="M316" s="14" t="n">
        <f aca="false">(ABS(D147-L147)/D147)*100</f>
        <v>0.00427960057061341</v>
      </c>
      <c r="N316" s="23"/>
    </row>
    <row r="317" customFormat="false" ht="15" hidden="false" customHeight="false" outlineLevel="0" collapsed="false">
      <c r="A317" s="8"/>
      <c r="B317" s="14" t="n">
        <v>144</v>
      </c>
      <c r="C317" s="36" t="n">
        <f aca="false">(ABS(C148-E148)/C148)*100</f>
        <v>100</v>
      </c>
      <c r="D317" s="14" t="n">
        <f aca="false">(ABS(D148-F148)/D148)*100</f>
        <v>13.7980085348506</v>
      </c>
      <c r="E317" s="23"/>
      <c r="F317" s="33" t="n">
        <f aca="false">(ABS(C148-G148)/C148)*100</f>
        <v>0</v>
      </c>
      <c r="G317" s="14" t="n">
        <f aca="false">(ABS(D148-H148)/D148)*100</f>
        <v>0</v>
      </c>
      <c r="H317" s="23"/>
      <c r="I317" s="12" t="n">
        <f aca="false">(ABS(C148-I148)/C148)*100</f>
        <v>97.3453608247423</v>
      </c>
      <c r="J317" s="14" t="n">
        <f aca="false">(ABS(D148-J148)/D148)*100</f>
        <v>13.4317211948791</v>
      </c>
      <c r="K317" s="23"/>
      <c r="L317" s="14" t="n">
        <f aca="false">(ABS(C148-K148)/C148)*100</f>
        <v>0.0360824742268041</v>
      </c>
      <c r="M317" s="14" t="n">
        <f aca="false">(ABS(D148-L148)/D148)*100</f>
        <v>0.00497866287339972</v>
      </c>
      <c r="N317" s="23"/>
    </row>
    <row r="318" customFormat="false" ht="15" hidden="false" customHeight="false" outlineLevel="0" collapsed="false">
      <c r="A318" s="8"/>
      <c r="B318" s="14" t="n">
        <v>145</v>
      </c>
      <c r="C318" s="36" t="n">
        <f aca="false">(ABS(C149-E149)/C149)*100</f>
        <v>99.7365591397849</v>
      </c>
      <c r="D318" s="14" t="n">
        <f aca="false">(ABS(D149-F149)/D149)*100</f>
        <v>13.1195190947666</v>
      </c>
      <c r="E318" s="23"/>
      <c r="F318" s="33" t="n">
        <f aca="false">(ABS(C149-G149)/C149)*100</f>
        <v>0.0376344086021505</v>
      </c>
      <c r="G318" s="14" t="n">
        <f aca="false">(ABS(D149-H149)/D149)*100</f>
        <v>0.00495049504950495</v>
      </c>
      <c r="H318" s="23"/>
      <c r="I318" s="12" t="n">
        <f aca="false">(ABS(C149-I149)/C149)*100</f>
        <v>99.8548387096774</v>
      </c>
      <c r="J318" s="14" t="n">
        <f aca="false">(ABS(D149-J149)/D149)*100</f>
        <v>13.1350777934936</v>
      </c>
      <c r="K318" s="23"/>
      <c r="L318" s="14" t="n">
        <f aca="false">(ABS(C149-K149)/C149)*100</f>
        <v>0.0376344086021505</v>
      </c>
      <c r="M318" s="14" t="n">
        <f aca="false">(ABS(D149-L149)/D149)*100</f>
        <v>0.00495049504950495</v>
      </c>
      <c r="N318" s="23"/>
    </row>
    <row r="319" customFormat="false" ht="15" hidden="false" customHeight="false" outlineLevel="0" collapsed="false">
      <c r="A319" s="8"/>
      <c r="B319" s="14" t="n">
        <v>146</v>
      </c>
      <c r="C319" s="36" t="n">
        <f aca="false">(ABS(C150-E150)/C150)*100</f>
        <v>99.2857142857143</v>
      </c>
      <c r="D319" s="14" t="n">
        <f aca="false">(ABS(D150-F150)/D150)*100</f>
        <v>12.7433004231312</v>
      </c>
      <c r="E319" s="23"/>
      <c r="F319" s="33" t="n">
        <f aca="false">(ABS(C150-G150)/C150)*100</f>
        <v>0.043956043956044</v>
      </c>
      <c r="G319" s="14" t="n">
        <f aca="false">(ABS(D150-H150)/D150)*100</f>
        <v>0.00564174894217207</v>
      </c>
      <c r="H319" s="23"/>
      <c r="I319" s="12" t="n">
        <f aca="false">(ABS(C150-I150)/C150)*100</f>
        <v>99.8516483516484</v>
      </c>
      <c r="J319" s="14" t="n">
        <f aca="false">(ABS(D150-J150)/D150)*100</f>
        <v>12.8159379407616</v>
      </c>
      <c r="K319" s="23"/>
      <c r="L319" s="14" t="n">
        <f aca="false">(ABS(C150-K150)/C150)*100</f>
        <v>0.0384615384615385</v>
      </c>
      <c r="M319" s="14" t="n">
        <f aca="false">(ABS(D150-L150)/D150)*100</f>
        <v>0.00493653032440056</v>
      </c>
      <c r="N319" s="23"/>
    </row>
    <row r="320" customFormat="false" ht="15" hidden="false" customHeight="false" outlineLevel="0" collapsed="false">
      <c r="A320" s="8"/>
      <c r="B320" s="14" t="n">
        <v>147</v>
      </c>
      <c r="C320" s="36" t="n">
        <f aca="false">(ABS(C151-E151)/C151)*100</f>
        <v>99.8563218390805</v>
      </c>
      <c r="D320" s="14" t="n">
        <f aca="false">(ABS(D151-F151)/D151)*100</f>
        <v>12.1844319775596</v>
      </c>
      <c r="E320" s="23"/>
      <c r="F320" s="33" t="n">
        <f aca="false">(ABS(C151-G151)/C151)*100</f>
        <v>0.0459770114942529</v>
      </c>
      <c r="G320" s="14" t="n">
        <f aca="false">(ABS(D151-H151)/D151)*100</f>
        <v>0.00561009817671809</v>
      </c>
      <c r="H320" s="23"/>
      <c r="I320" s="12" t="n">
        <f aca="false">(ABS(C151-I151)/C151)*100</f>
        <v>97.5</v>
      </c>
      <c r="J320" s="14" t="n">
        <f aca="false">(ABS(D151-J151)/D151)*100</f>
        <v>11.8969144460028</v>
      </c>
      <c r="K320" s="23"/>
      <c r="L320" s="14" t="n">
        <f aca="false">(ABS(C151-K151)/C151)*100</f>
        <v>0.00574712643678161</v>
      </c>
      <c r="M320" s="14" t="n">
        <f aca="false">(ABS(D151-L151)/D151)*100</f>
        <v>0.000701262272089762</v>
      </c>
      <c r="N320" s="23"/>
    </row>
    <row r="321" customFormat="false" ht="15" hidden="false" customHeight="false" outlineLevel="0" collapsed="false">
      <c r="A321" s="8"/>
      <c r="B321" s="14" t="n">
        <v>148</v>
      </c>
      <c r="C321" s="36" t="n">
        <f aca="false">(ABS(C152-E152)/C152)*100</f>
        <v>99.8529411764706</v>
      </c>
      <c r="D321" s="14" t="n">
        <f aca="false">(ABS(D152-F152)/D152)*100</f>
        <v>11.8706293706294</v>
      </c>
      <c r="E321" s="23"/>
      <c r="F321" s="33" t="n">
        <f aca="false">(ABS(C152-G152)/C152)*100</f>
        <v>0</v>
      </c>
      <c r="G321" s="14" t="n">
        <f aca="false">(ABS(D152-H152)/D152)*100</f>
        <v>0</v>
      </c>
      <c r="H321" s="23"/>
      <c r="I321" s="12" t="n">
        <f aca="false">(ABS(C152-I152)/C152)*100</f>
        <v>99.2705882352941</v>
      </c>
      <c r="J321" s="14" t="n">
        <f aca="false">(ABS(D152-J152)/D152)*100</f>
        <v>11.8013986013986</v>
      </c>
      <c r="K321" s="23"/>
      <c r="L321" s="14" t="n">
        <f aca="false">(ABS(C152-K152)/C152)*100</f>
        <v>0</v>
      </c>
      <c r="M321" s="14" t="n">
        <f aca="false">(ABS(D152-L152)/D152)*100</f>
        <v>0</v>
      </c>
      <c r="N321" s="23"/>
    </row>
    <row r="322" customFormat="false" ht="15" hidden="false" customHeight="false" outlineLevel="0" collapsed="false">
      <c r="A322" s="8"/>
      <c r="B322" s="14" t="n">
        <v>149</v>
      </c>
      <c r="C322" s="36" t="n">
        <f aca="false">(ABS(C153-E153)/C153)*100</f>
        <v>99.2160493827161</v>
      </c>
      <c r="D322" s="14" t="n">
        <f aca="false">(ABS(D153-F153)/D153)*100</f>
        <v>11.1773296244784</v>
      </c>
      <c r="E322" s="23"/>
      <c r="F322" s="33" t="n">
        <f aca="false">(ABS(C153-G153)/C153)*100</f>
        <v>0</v>
      </c>
      <c r="G322" s="14" t="n">
        <f aca="false">(ABS(D153-H153)/D153)*100</f>
        <v>0</v>
      </c>
      <c r="H322" s="23"/>
      <c r="I322" s="12" t="n">
        <f aca="false">(ABS(C153-I153)/C153)*100</f>
        <v>93.9320987654321</v>
      </c>
      <c r="J322" s="14" t="n">
        <f aca="false">(ABS(D153-J153)/D153)*100</f>
        <v>10.5820584144645</v>
      </c>
      <c r="K322" s="23"/>
      <c r="L322" s="14" t="n">
        <f aca="false">(ABS(C153-K153)/C153)*100</f>
        <v>0</v>
      </c>
      <c r="M322" s="14" t="n">
        <f aca="false">(ABS(D153-L153)/D153)*100</f>
        <v>0</v>
      </c>
      <c r="N322" s="23"/>
    </row>
    <row r="323" customFormat="false" ht="15" hidden="false" customHeight="false" outlineLevel="0" collapsed="false">
      <c r="A323" s="8"/>
      <c r="B323" s="14" t="n">
        <v>150</v>
      </c>
      <c r="C323" s="36" t="n">
        <f aca="false">(ABS(C154-E154)/C154)*100</f>
        <v>99.4805194805195</v>
      </c>
      <c r="D323" s="14" t="n">
        <f aca="false">(ABS(D154-F154)/D154)*100</f>
        <v>10.5947441217151</v>
      </c>
      <c r="E323" s="23"/>
      <c r="F323" s="33" t="n">
        <f aca="false">(ABS(C154-G154)/C154)*100</f>
        <v>0</v>
      </c>
      <c r="G323" s="14" t="n">
        <f aca="false">(ABS(D154-H154)/D154)*100</f>
        <v>0</v>
      </c>
      <c r="H323" s="23"/>
      <c r="I323" s="12" t="n">
        <f aca="false">(ABS(C154-I154)/C154)*100</f>
        <v>99.5584415584416</v>
      </c>
      <c r="J323" s="14" t="n">
        <f aca="false">(ABS(D154-J154)/D154)*100</f>
        <v>10.6030428769018</v>
      </c>
      <c r="K323" s="23"/>
      <c r="L323" s="14" t="n">
        <f aca="false">(ABS(C154-K154)/C154)*100</f>
        <v>0.0584415584415584</v>
      </c>
      <c r="M323" s="14" t="n">
        <f aca="false">(ABS(D154-L154)/D154)*100</f>
        <v>0.00622406639004149</v>
      </c>
      <c r="N323" s="23"/>
    </row>
    <row r="324" customFormat="false" ht="15" hidden="false" customHeight="false" outlineLevel="0" collapsed="false">
      <c r="A324" s="8"/>
      <c r="B324" s="14" t="n">
        <v>151</v>
      </c>
      <c r="C324" s="36" t="n">
        <f aca="false">(ABS(C155-E155)/C155)*100</f>
        <v>98.7054794520548</v>
      </c>
      <c r="D324" s="14" t="n">
        <f aca="false">(ABS(D155-F155)/D155)*100</f>
        <v>9.91127922971114</v>
      </c>
      <c r="E324" s="23"/>
      <c r="F324" s="33" t="n">
        <f aca="false">(ABS(C155-G155)/C155)*100</f>
        <v>0.0684931506849315</v>
      </c>
      <c r="G324" s="14" t="n">
        <f aca="false">(ABS(D155-H155)/D155)*100</f>
        <v>0.00687757909215956</v>
      </c>
      <c r="H324" s="23"/>
      <c r="I324" s="12" t="n">
        <f aca="false">(ABS(C155-I155)/C155)*100</f>
        <v>99.8013698630137</v>
      </c>
      <c r="J324" s="14" t="n">
        <f aca="false">(ABS(D155-J155)/D155)*100</f>
        <v>10.0213204951857</v>
      </c>
      <c r="K324" s="23"/>
      <c r="L324" s="14" t="n">
        <f aca="false">(ABS(C155-K155)/C155)*100</f>
        <v>0.0479452054794521</v>
      </c>
      <c r="M324" s="14" t="n">
        <f aca="false">(ABS(D155-L155)/D155)*100</f>
        <v>0.00481430536451169</v>
      </c>
      <c r="N324" s="23"/>
    </row>
    <row r="325" customFormat="false" ht="15" hidden="false" customHeight="false" outlineLevel="0" collapsed="false">
      <c r="A325" s="8"/>
      <c r="B325" s="14" t="n">
        <v>152</v>
      </c>
      <c r="C325" s="36" t="n">
        <f aca="false">(ABS(C156-E156)/C156)*100</f>
        <v>99.9347826086957</v>
      </c>
      <c r="D325" s="14" t="n">
        <f aca="false">(ABS(D156-F156)/D156)*100</f>
        <v>9.43296853625171</v>
      </c>
      <c r="E325" s="23"/>
      <c r="F325" s="33" t="n">
        <f aca="false">(ABS(C156-G156)/C156)*100</f>
        <v>0.13768115942029</v>
      </c>
      <c r="G325" s="14" t="n">
        <f aca="false">(ABS(D156-H156)/D156)*100</f>
        <v>0.0129958960328317</v>
      </c>
      <c r="H325" s="23"/>
      <c r="I325" s="12" t="n">
        <f aca="false">(ABS(C156-I156)/C156)*100</f>
        <v>99.8985507246377</v>
      </c>
      <c r="J325" s="14" t="n">
        <f aca="false">(ABS(D156-J156)/D156)*100</f>
        <v>9.42954856361149</v>
      </c>
      <c r="K325" s="23"/>
      <c r="L325" s="14" t="n">
        <f aca="false">(ABS(C156-K156)/C156)*100</f>
        <v>0.0507246376811594</v>
      </c>
      <c r="M325" s="14" t="n">
        <f aca="false">(ABS(D156-L156)/D156)*100</f>
        <v>0.00478796169630643</v>
      </c>
      <c r="N325" s="23"/>
    </row>
    <row r="326" customFormat="false" ht="15" hidden="false" customHeight="false" outlineLevel="0" collapsed="false">
      <c r="A326" s="8"/>
      <c r="B326" s="14" t="n">
        <v>153</v>
      </c>
      <c r="C326" s="36" t="n">
        <f aca="false">(ABS(C157-E157)/C157)*100</f>
        <v>100</v>
      </c>
      <c r="D326" s="14" t="n">
        <f aca="false">(ABS(D157-F157)/D157)*100</f>
        <v>8.84353741496599</v>
      </c>
      <c r="E326" s="23"/>
      <c r="F326" s="33" t="n">
        <f aca="false">(ABS(C157-G157)/C157)*100</f>
        <v>0</v>
      </c>
      <c r="G326" s="14" t="n">
        <f aca="false">(ABS(D157-H157)/D157)*100</f>
        <v>0</v>
      </c>
      <c r="H326" s="23"/>
      <c r="I326" s="12" t="n">
        <f aca="false">(ABS(C157-I157)/C157)*100</f>
        <v>99.8769230769231</v>
      </c>
      <c r="J326" s="14" t="n">
        <f aca="false">(ABS(D157-J157)/D157)*100</f>
        <v>8.83265306122449</v>
      </c>
      <c r="K326" s="23"/>
      <c r="L326" s="14" t="n">
        <f aca="false">(ABS(C157-K157)/C157)*100</f>
        <v>0.00769230769230769</v>
      </c>
      <c r="M326" s="14" t="n">
        <f aca="false">(ABS(D157-L157)/D157)*100</f>
        <v>0.000680272108843538</v>
      </c>
      <c r="N326" s="23"/>
    </row>
    <row r="327" customFormat="false" ht="15" hidden="false" customHeight="false" outlineLevel="0" collapsed="false">
      <c r="A327" s="8"/>
      <c r="B327" s="14" t="n">
        <v>154</v>
      </c>
      <c r="C327" s="36" t="n">
        <f aca="false">(ABS(C158-E158)/C158)*100</f>
        <v>99.6229508196721</v>
      </c>
      <c r="D327" s="14" t="n">
        <f aca="false">(ABS(D158-F158)/D158)*100</f>
        <v>8.22327469553451</v>
      </c>
      <c r="E327" s="23"/>
      <c r="F327" s="33" t="n">
        <f aca="false">(ABS(C158-G158)/C158)*100</f>
        <v>0</v>
      </c>
      <c r="G327" s="14" t="n">
        <f aca="false">(ABS(D158-H158)/D158)*100</f>
        <v>0</v>
      </c>
      <c r="H327" s="23"/>
      <c r="I327" s="12" t="n">
        <f aca="false">(ABS(C158-I158)/C158)*100</f>
        <v>100</v>
      </c>
      <c r="J327" s="14" t="n">
        <f aca="false">(ABS(D158-J158)/D158)*100</f>
        <v>8.25439783491204</v>
      </c>
      <c r="K327" s="23"/>
      <c r="L327" s="14" t="n">
        <f aca="false">(ABS(C158-K158)/C158)*100</f>
        <v>0.0819672131147541</v>
      </c>
      <c r="M327" s="14" t="n">
        <f aca="false">(ABS(D158-L158)/D158)*100</f>
        <v>0.006765899864682</v>
      </c>
      <c r="N327" s="23"/>
    </row>
    <row r="328" customFormat="false" ht="15" hidden="false" customHeight="false" outlineLevel="0" collapsed="false">
      <c r="A328" s="8"/>
      <c r="B328" s="14" t="n">
        <v>155</v>
      </c>
      <c r="C328" s="36" t="n">
        <f aca="false">(ABS(C159-E159)/C159)*100</f>
        <v>99.7636363636364</v>
      </c>
      <c r="D328" s="14" t="n">
        <f aca="false">(ABS(D159-F159)/D159)*100</f>
        <v>7.36510067114094</v>
      </c>
      <c r="E328" s="23"/>
      <c r="F328" s="33" t="n">
        <f aca="false">(ABS(C159-G159)/C159)*100</f>
        <v>0.0636363636363636</v>
      </c>
      <c r="G328" s="14" t="n">
        <f aca="false">(ABS(D159-H159)/D159)*100</f>
        <v>0.00469798657718121</v>
      </c>
      <c r="H328" s="23"/>
      <c r="I328" s="12" t="n">
        <f aca="false">(ABS(C159-I159)/C159)*100</f>
        <v>99.5727272727273</v>
      </c>
      <c r="J328" s="14" t="n">
        <f aca="false">(ABS(D159-J159)/D159)*100</f>
        <v>7.3510067114094</v>
      </c>
      <c r="K328" s="23"/>
      <c r="L328" s="14" t="n">
        <f aca="false">(ABS(C159-K159)/C159)*100</f>
        <v>0.0363636363636364</v>
      </c>
      <c r="M328" s="14" t="n">
        <f aca="false">(ABS(D159-L159)/D159)*100</f>
        <v>0.00268456375838926</v>
      </c>
      <c r="N328" s="23"/>
    </row>
    <row r="329" customFormat="false" ht="15" hidden="false" customHeight="false" outlineLevel="0" collapsed="false">
      <c r="A329" s="8"/>
      <c r="B329" s="14" t="n">
        <v>156</v>
      </c>
      <c r="C329" s="36" t="n">
        <f aca="false">(ABS(C160-E160)/C160)*100</f>
        <v>97.9693877551021</v>
      </c>
      <c r="D329" s="14" t="n">
        <f aca="false">(ABS(D160-F160)/D160)*100</f>
        <v>6.39214380825566</v>
      </c>
      <c r="E329" s="23"/>
      <c r="F329" s="33" t="n">
        <f aca="false">(ABS(C160-G160)/C160)*100</f>
        <v>0</v>
      </c>
      <c r="G329" s="14" t="n">
        <f aca="false">(ABS(D160-H160)/D160)*100</f>
        <v>0</v>
      </c>
      <c r="H329" s="23"/>
      <c r="I329" s="12" t="n">
        <f aca="false">(ABS(C160-I160)/C160)*100</f>
        <v>100</v>
      </c>
      <c r="J329" s="14" t="n">
        <f aca="false">(ABS(D160-J160)/D160)*100</f>
        <v>6.52463382157124</v>
      </c>
      <c r="K329" s="23"/>
      <c r="L329" s="14" t="n">
        <f aca="false">(ABS(C160-K160)/C160)*100</f>
        <v>0.13265306122449</v>
      </c>
      <c r="M329" s="14" t="n">
        <f aca="false">(ABS(D160-L160)/D160)*100</f>
        <v>0.00865512649800266</v>
      </c>
      <c r="N329" s="23"/>
    </row>
    <row r="330" customFormat="false" ht="15" hidden="false" customHeight="false" outlineLevel="0" collapsed="false">
      <c r="A330" s="8"/>
      <c r="B330" s="14" t="n">
        <v>157</v>
      </c>
      <c r="C330" s="36" t="n">
        <f aca="false">(ABS(C161-E161)/C161)*100</f>
        <v>90.0697674418605</v>
      </c>
      <c r="D330" s="14" t="n">
        <f aca="false">(ABS(D161-F161)/D161)*100</f>
        <v>5.11624834874505</v>
      </c>
      <c r="E330" s="23"/>
      <c r="F330" s="33" t="n">
        <f aca="false">(ABS(C161-G161)/C161)*100</f>
        <v>0</v>
      </c>
      <c r="G330" s="14" t="n">
        <f aca="false">(ABS(D161-H161)/D161)*100</f>
        <v>0</v>
      </c>
      <c r="H330" s="23"/>
      <c r="I330" s="12" t="n">
        <f aca="false">(ABS(C161-I161)/C161)*100</f>
        <v>100</v>
      </c>
      <c r="J330" s="14" t="n">
        <f aca="false">(ABS(D161-J161)/D161)*100</f>
        <v>5.68031704095112</v>
      </c>
      <c r="K330" s="23"/>
      <c r="L330" s="14" t="n">
        <f aca="false">(ABS(C161-K161)/C161)*100</f>
        <v>0</v>
      </c>
      <c r="M330" s="14" t="n">
        <f aca="false">(ABS(D161-L161)/D161)*100</f>
        <v>0</v>
      </c>
      <c r="N330" s="23"/>
    </row>
    <row r="331" customFormat="false" ht="15" hidden="false" customHeight="false" outlineLevel="0" collapsed="false">
      <c r="A331" s="8"/>
      <c r="B331" s="14" t="n">
        <v>158</v>
      </c>
      <c r="C331" s="36" t="n">
        <f aca="false">(ABS(C162-E162)/C162)*100</f>
        <v>100</v>
      </c>
      <c r="D331" s="14" t="n">
        <f aca="false">(ABS(D162-F162)/D162)*100</f>
        <v>4.57516339869281</v>
      </c>
      <c r="E331" s="23"/>
      <c r="F331" s="33" t="n">
        <f aca="false">(ABS(C162-G162)/C162)*100</f>
        <v>0</v>
      </c>
      <c r="G331" s="14" t="n">
        <f aca="false">(ABS(D162-H162)/D162)*100</f>
        <v>0</v>
      </c>
      <c r="H331" s="23"/>
      <c r="I331" s="12" t="n">
        <f aca="false">(ABS(C162-I162)/C162)*100</f>
        <v>99.7714285714286</v>
      </c>
      <c r="J331" s="14" t="n">
        <f aca="false">(ABS(D162-J162)/D162)*100</f>
        <v>4.56470588235294</v>
      </c>
      <c r="K331" s="23"/>
      <c r="L331" s="14" t="n">
        <f aca="false">(ABS(C162-K162)/C162)*100</f>
        <v>0.0142857142857143</v>
      </c>
      <c r="M331" s="14" t="n">
        <f aca="false">(ABS(D162-L162)/D162)*100</f>
        <v>0.00065359477124183</v>
      </c>
      <c r="N331" s="23"/>
    </row>
    <row r="332" customFormat="false" ht="15" hidden="false" customHeight="false" outlineLevel="0" collapsed="false">
      <c r="A332" s="8"/>
      <c r="B332" s="14" t="n">
        <v>159</v>
      </c>
      <c r="C332" s="36" t="n">
        <f aca="false">(ABS(C163-E163)/C163)*100</f>
        <v>95.86</v>
      </c>
      <c r="D332" s="14" t="n">
        <f aca="false">(ABS(D163-F163)/D163)*100</f>
        <v>3.09225806451613</v>
      </c>
      <c r="E332" s="23"/>
      <c r="F332" s="33" t="n">
        <f aca="false">(ABS(C163-G163)/C163)*100</f>
        <v>0</v>
      </c>
      <c r="G332" s="14" t="n">
        <f aca="false">(ABS(D163-H163)/D163)*100</f>
        <v>0</v>
      </c>
      <c r="H332" s="23"/>
      <c r="I332" s="12" t="n">
        <f aca="false">(ABS(C163-I163)/C163)*100</f>
        <v>93.28</v>
      </c>
      <c r="J332" s="14" t="n">
        <f aca="false">(ABS(D163-J163)/D163)*100</f>
        <v>3.00903225806452</v>
      </c>
      <c r="K332" s="23"/>
      <c r="L332" s="14" t="n">
        <f aca="false">(ABS(C163-K163)/C163)*100</f>
        <v>0.04</v>
      </c>
      <c r="M332" s="14" t="n">
        <f aca="false">(ABS(D163-L163)/D163)*100</f>
        <v>0.00129032258064516</v>
      </c>
      <c r="N332" s="23"/>
    </row>
    <row r="333" customFormat="false" ht="15" hidden="false" customHeight="false" outlineLevel="0" collapsed="false">
      <c r="A333" s="8"/>
      <c r="B333" s="14" t="n">
        <v>160</v>
      </c>
      <c r="C333" s="36" t="n">
        <f aca="false">(ABS(C164-E164)/C164)*100</f>
        <v>98</v>
      </c>
      <c r="D333" s="14" t="n">
        <f aca="false">(ABS(D164-F164)/D164)*100</f>
        <v>0.122653316645807</v>
      </c>
      <c r="E333" s="24" t="s">
        <v>11</v>
      </c>
      <c r="F333" s="33" t="n">
        <f aca="false">(ABS(C164-G164)/C164)*100</f>
        <v>0.5</v>
      </c>
      <c r="G333" s="14" t="n">
        <f aca="false">(ABS(D164-H164)/D164)*100</f>
        <v>0.000625782227784731</v>
      </c>
      <c r="H333" s="24" t="s">
        <v>11</v>
      </c>
      <c r="I333" s="12" t="n">
        <f aca="false">(ABS(C164-I164)/C164)*100</f>
        <v>100</v>
      </c>
      <c r="J333" s="14" t="n">
        <f aca="false">(ABS(D164-J164)/D164)*100</f>
        <v>0.125156445556946</v>
      </c>
      <c r="K333" s="24" t="s">
        <v>11</v>
      </c>
      <c r="L333" s="14" t="n">
        <f aca="false">(ABS(C164-K164)/C164)*100</f>
        <v>100</v>
      </c>
      <c r="M333" s="14" t="n">
        <f aca="false">(ABS(D164-L164)/D164)*100</f>
        <v>0.125156445556946</v>
      </c>
      <c r="N333" s="24" t="s">
        <v>11</v>
      </c>
    </row>
    <row r="334" customFormat="false" ht="15" hidden="false" customHeight="false" outlineLevel="0" collapsed="false">
      <c r="A334" s="8"/>
      <c r="B334" s="16" t="s">
        <v>8</v>
      </c>
      <c r="C334" s="37" t="n">
        <f aca="false">(ABS(SUM(C4:C164)-SUM(E4:E164))/SUM(C4:C164))*100</f>
        <v>99.2829291369952</v>
      </c>
      <c r="D334" s="19" t="n">
        <f aca="false">(ABS(SUM(D4:D164)-SUM(F4:F164))/SUM(D4:D164))*100</f>
        <v>18.3381055749225</v>
      </c>
      <c r="E334" s="38" t="n">
        <f aca="false">SUM(C173:D333)/(161*2)</f>
        <v>58.6464138026983</v>
      </c>
      <c r="F334" s="34" t="n">
        <f aca="false">(ABS(SUM(C4:C164)-SUM(G4:G164))/SUM(C4:C164))*100</f>
        <v>0.0405358298889498</v>
      </c>
      <c r="G334" s="19" t="n">
        <f aca="false">(ABS(SUM(D4:D164)-SUM(H4:H164))/SUM(D4:D164))*100</f>
        <v>0.00748719175121184</v>
      </c>
      <c r="H334" s="39" t="n">
        <f aca="false">SUM(F173:G333)/(161*2)</f>
        <v>0.0254198742252338</v>
      </c>
      <c r="I334" s="17" t="n">
        <f aca="false">(ABS(SUM(C4:C164)-SUM(I4:I164))/SUM(C4:C164))*100</f>
        <v>96.4398187341268</v>
      </c>
      <c r="J334" s="19" t="n">
        <f aca="false">(ABS(SUM(D4:D164)-SUM(J4:J164))/SUM(D4:D164))*100</f>
        <v>17.8129673746079</v>
      </c>
      <c r="K334" s="25" t="n">
        <f aca="false">SUM(I173:J333)/(161*2)</f>
        <v>57.225711429661</v>
      </c>
      <c r="L334" s="19" t="n">
        <f aca="false">(ABS(SUM(C4:C164)-SUM(K4:K164))/SUM(C4:C164))*100</f>
        <v>0.000124495792042229</v>
      </c>
      <c r="M334" s="19" t="n">
        <f aca="false">(ABS(SUM(D4:D164)-SUM(L4:L164))/SUM(D4:D164))*100</f>
        <v>2.299506066097E-005</v>
      </c>
      <c r="N334" s="25" t="n">
        <f aca="false">SUM(L173:M333)/(161*2)</f>
        <v>0.316505008982934</v>
      </c>
    </row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165"/>
    <mergeCell ref="B170:B172"/>
    <mergeCell ref="C170:H170"/>
    <mergeCell ref="I170:N170"/>
    <mergeCell ref="C171:E171"/>
    <mergeCell ref="F171:H171"/>
    <mergeCell ref="I171:K171"/>
    <mergeCell ref="L171:N171"/>
    <mergeCell ref="A172:A3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2026-03-13T19:58:43Z</dcterms:created>
  <dc:creator>openpyxl</dc:creator>
  <dc:description/>
  <dc:language>fr-FR</dc:language>
  <cp:lastModifiedBy/>
  <dcterms:modified xsi:type="dcterms:W3CDTF">2026-08-29T12:16:53Z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