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lor clustering" sheetId="1" state="visible" r:id="rId3"/>
    <sheet name="Color classification" sheetId="2" state="visible" r:id="rId4"/>
    <sheet name="Comparison with origin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<sst xmlns="http://schemas.openxmlformats.org/spreadsheetml/2006/main" count="75" uniqueCount="21">
  <si>
    <t xml:space="preserve">image</t>
  </si>
  <si>
    <t xml:space="preserve">Pre-alignement</t>
  </si>
  <si>
    <t xml:space="preserve">Post-alignement</t>
  </si>
  <si>
    <t xml:space="preserve">Random correction</t>
  </si>
  <si>
    <t xml:space="preserve">Color classification</t>
  </si>
  <si>
    <t xml:space="preserve">5_torus/torus_rand_axis/Col_clust</t>
  </si>
  <si>
    <t xml:space="preserve">#e65c4d</t>
  </si>
  <si>
    <t xml:space="preserve">#ffffff</t>
  </si>
  <si>
    <t xml:space="preserve">Total</t>
  </si>
  <si>
    <t xml:space="preserve">Error</t>
  </si>
  <si>
    <t xml:space="preserve">1_cuboid/cube_rand_axis/Col_clust</t>
  </si>
  <si>
    <t xml:space="preserve">MAPE</t>
  </si>
  <si>
    <t xml:space="preserve">5_torus/torus_rand_axis/Col_class</t>
  </si>
  <si>
    <t xml:space="preserve">#e65a49</t>
  </si>
  <si>
    <t xml:space="preserve">Original</t>
  </si>
  <si>
    <t xml:space="preserve">Clustering</t>
  </si>
  <si>
    <t xml:space="preserve">Classification</t>
  </si>
  <si>
    <t xml:space="preserve">5_torus/torus_rand_axis</t>
  </si>
  <si>
    <t xml:space="preserve">Error clustering</t>
  </si>
  <si>
    <t xml:space="preserve">Error classification</t>
  </si>
  <si>
    <t xml:space="preserve">1_cuboid/cube_rand_axis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</si>
</sst>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theme="0" tint="-0.05"/>
        <bgColor rgb="FFFEFEFE"/>
      </patternFill>
    </fill>
    <fill>
      <patternFill patternType="solid">
        <fgColor rgb="FFE65C4D"/>
        <bgColor rgb="FFE65A4A"/>
      </patternFill>
    </fill>
    <fill>
      <patternFill patternType="solid">
        <fgColor rgb="FFFFFFFF"/>
        <bgColor rgb="FFFEFEFE"/>
      </patternFill>
    </fill>
    <fill>
      <patternFill patternType="solid">
        <fgColor rgb="FFE65A4A"/>
        <bgColor rgb="FFE65A49"/>
      </patternFill>
    </fill>
    <fill>
      <patternFill patternType="solid">
        <fgColor rgb="FFFEFEFE"/>
        <bgColor rgb="FFFFFFFF"/>
      </patternFill>
    </fill>
    <fill>
      <patternFill patternType="solid">
        <fgColor rgb="FFE65A49"/>
        <bgColor rgb="FFE65A4A"/>
      </patternFill>
    </fill>
    <fill>
      <patternFill patternType="solid">
        <fgColor rgb="FFFFD7D7"/>
        <bgColor rgb="FFF2F2F2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medium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thin"/>
      <bottom style="double"/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5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8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8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0" fillId="5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8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8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E65A4A"/>
      <rgbColor rgb="FFFEFEFE"/>
      <rgbColor rgb="FFF2F2F2"/>
      <rgbColor rgb="FF660066"/>
      <rgbColor rgb="FFE65C4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E65A49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06" colorId="64" zoomScale="100" zoomScaleNormal="100" zoomScalePageLayoutView="100" workbookViewId="0">
      <selection pane="topLeft" activeCell="C3" activeCellId="0" sqref="C3"/>
    </sheetView>
  </sheetViews>
  <sheetFormatPr defaultColWidth="8.6875" defaultRowHeight="15" zeroHeight="false" outlineLevelRow="0" outlineLevelCol="0"/>
  <cols>
    <col collapsed="false" customWidth="true" hidden="false" outlineLevel="0" max="6" min="6" style="1" width="20.03"/>
    <col collapsed="false" customWidth="true" hidden="false" outlineLevel="0" max="7" min="7" style="1" width="25.58"/>
  </cols>
  <sheetData>
    <row r="1" customFormat="false" ht="15" hidden="false" customHeight="false" outlineLevel="0" collapsed="false">
      <c r="A1" s="2"/>
      <c r="B1" s="3" t="s">
        <v>0</v>
      </c>
      <c r="C1" s="4" t="s">
        <v>1</v>
      </c>
      <c r="D1" s="4"/>
      <c r="E1" s="4" t="s">
        <v>2</v>
      </c>
      <c r="F1" s="4"/>
      <c r="G1" s="4"/>
      <c r="H1" s="4"/>
    </row>
    <row r="2" customFormat="false" ht="15" hidden="false" customHeight="false" outlineLevel="0" collapsed="false">
      <c r="A2" s="2"/>
      <c r="B2" s="3"/>
      <c r="C2" s="4"/>
      <c r="D2" s="4"/>
      <c r="E2" s="5" t="s">
        <v>3</v>
      </c>
      <c r="F2" s="5"/>
      <c r="G2" s="6" t="s">
        <v>4</v>
      </c>
      <c r="H2" s="6"/>
    </row>
    <row r="3" customFormat="false" ht="15" hidden="false" customHeight="false" outlineLevel="0" collapsed="false">
      <c r="A3" s="7" t="s">
        <v>5</v>
      </c>
      <c r="B3" s="3"/>
      <c r="C3" s="8" t="s">
        <v>6</v>
      </c>
      <c r="D3" s="9" t="s">
        <v>7</v>
      </c>
      <c r="E3" s="8" t="s">
        <v>6</v>
      </c>
      <c r="F3" s="10" t="s">
        <v>7</v>
      </c>
      <c r="G3" s="8" t="s">
        <v>6</v>
      </c>
      <c r="H3" s="9" t="s">
        <v>7</v>
      </c>
    </row>
    <row r="4" customFormat="false" ht="15" hidden="false" customHeight="false" outlineLevel="0" collapsed="false">
      <c r="A4" s="7"/>
      <c r="B4" s="2" t="n">
        <v>0</v>
      </c>
      <c r="C4" s="11" t="n">
        <v>163</v>
      </c>
      <c r="D4" s="12" t="n">
        <v>159837</v>
      </c>
      <c r="E4" s="2" t="n">
        <v>163</v>
      </c>
      <c r="F4" s="13" t="n">
        <v>159837</v>
      </c>
      <c r="G4" s="2" t="n">
        <v>163</v>
      </c>
      <c r="H4" s="12" t="n">
        <v>159837</v>
      </c>
    </row>
    <row r="5" customFormat="false" ht="15" hidden="false" customHeight="false" outlineLevel="0" collapsed="false">
      <c r="A5" s="7"/>
      <c r="B5" s="2" t="n">
        <v>1</v>
      </c>
      <c r="C5" s="11" t="n">
        <v>345</v>
      </c>
      <c r="D5" s="12" t="n">
        <v>159655</v>
      </c>
      <c r="E5" s="2" t="n">
        <v>324</v>
      </c>
      <c r="F5" s="13" t="n">
        <v>159676</v>
      </c>
      <c r="G5" s="2" t="n">
        <v>346</v>
      </c>
      <c r="H5" s="12" t="n">
        <v>159654</v>
      </c>
    </row>
    <row r="6" customFormat="false" ht="15" hidden="false" customHeight="false" outlineLevel="0" collapsed="false">
      <c r="A6" s="7"/>
      <c r="B6" s="2" t="n">
        <v>2</v>
      </c>
      <c r="C6" s="11" t="n">
        <v>536</v>
      </c>
      <c r="D6" s="12" t="n">
        <v>159464</v>
      </c>
      <c r="E6" s="2" t="n">
        <v>525</v>
      </c>
      <c r="F6" s="13" t="n">
        <v>159475</v>
      </c>
      <c r="G6" s="2" t="n">
        <v>536</v>
      </c>
      <c r="H6" s="12" t="n">
        <v>159464</v>
      </c>
    </row>
    <row r="7" customFormat="false" ht="15" hidden="false" customHeight="false" outlineLevel="0" collapsed="false">
      <c r="A7" s="7"/>
      <c r="B7" s="2" t="n">
        <v>3</v>
      </c>
      <c r="C7" s="11" t="n">
        <v>695</v>
      </c>
      <c r="D7" s="12" t="n">
        <v>159305</v>
      </c>
      <c r="E7" s="2" t="n">
        <v>677</v>
      </c>
      <c r="F7" s="13" t="n">
        <v>159323</v>
      </c>
      <c r="G7" s="2" t="n">
        <v>695</v>
      </c>
      <c r="H7" s="12" t="n">
        <v>159305</v>
      </c>
    </row>
    <row r="8" customFormat="false" ht="15" hidden="false" customHeight="false" outlineLevel="0" collapsed="false">
      <c r="A8" s="7"/>
      <c r="B8" s="2" t="n">
        <v>4</v>
      </c>
      <c r="C8" s="11" t="n">
        <v>868</v>
      </c>
      <c r="D8" s="12" t="n">
        <v>159132</v>
      </c>
      <c r="E8" s="2" t="n">
        <v>832</v>
      </c>
      <c r="F8" s="13" t="n">
        <v>159168</v>
      </c>
      <c r="G8" s="2" t="n">
        <v>867</v>
      </c>
      <c r="H8" s="12" t="n">
        <v>159133</v>
      </c>
    </row>
    <row r="9" customFormat="false" ht="15" hidden="false" customHeight="false" outlineLevel="0" collapsed="false">
      <c r="A9" s="7"/>
      <c r="B9" s="2" t="n">
        <v>5</v>
      </c>
      <c r="C9" s="11" t="n">
        <v>1025</v>
      </c>
      <c r="D9" s="12" t="n">
        <v>158975</v>
      </c>
      <c r="E9" s="2" t="n">
        <v>989</v>
      </c>
      <c r="F9" s="13" t="n">
        <v>159011</v>
      </c>
      <c r="G9" s="2" t="n">
        <v>1028</v>
      </c>
      <c r="H9" s="12" t="n">
        <v>158972</v>
      </c>
    </row>
    <row r="10" customFormat="false" ht="15" hidden="false" customHeight="false" outlineLevel="0" collapsed="false">
      <c r="A10" s="7"/>
      <c r="B10" s="2" t="n">
        <v>6</v>
      </c>
      <c r="C10" s="11" t="n">
        <v>1174</v>
      </c>
      <c r="D10" s="12" t="n">
        <v>158826</v>
      </c>
      <c r="E10" s="2" t="n">
        <v>1154</v>
      </c>
      <c r="F10" s="13" t="n">
        <v>158846</v>
      </c>
      <c r="G10" s="2" t="n">
        <v>1180</v>
      </c>
      <c r="H10" s="12" t="n">
        <v>158820</v>
      </c>
    </row>
    <row r="11" customFormat="false" ht="15" hidden="false" customHeight="false" outlineLevel="0" collapsed="false">
      <c r="A11" s="7"/>
      <c r="B11" s="2" t="n">
        <v>7</v>
      </c>
      <c r="C11" s="11" t="n">
        <v>1320</v>
      </c>
      <c r="D11" s="12" t="n">
        <v>158680</v>
      </c>
      <c r="E11" s="2" t="n">
        <v>1307</v>
      </c>
      <c r="F11" s="13" t="n">
        <v>158693</v>
      </c>
      <c r="G11" s="2" t="n">
        <v>1318</v>
      </c>
      <c r="H11" s="12" t="n">
        <v>158682</v>
      </c>
    </row>
    <row r="12" customFormat="false" ht="15" hidden="false" customHeight="false" outlineLevel="0" collapsed="false">
      <c r="A12" s="7"/>
      <c r="B12" s="2" t="n">
        <v>8</v>
      </c>
      <c r="C12" s="11" t="n">
        <v>1459</v>
      </c>
      <c r="D12" s="12" t="n">
        <v>158541</v>
      </c>
      <c r="E12" s="2" t="n">
        <v>1433</v>
      </c>
      <c r="F12" s="13" t="n">
        <v>158567</v>
      </c>
      <c r="G12" s="2" t="n">
        <v>1460</v>
      </c>
      <c r="H12" s="12" t="n">
        <v>158540</v>
      </c>
    </row>
    <row r="13" customFormat="false" ht="15" hidden="false" customHeight="false" outlineLevel="0" collapsed="false">
      <c r="A13" s="7"/>
      <c r="B13" s="2" t="n">
        <v>9</v>
      </c>
      <c r="C13" s="11" t="n">
        <v>1585</v>
      </c>
      <c r="D13" s="12" t="n">
        <v>158415</v>
      </c>
      <c r="E13" s="2" t="n">
        <v>1558</v>
      </c>
      <c r="F13" s="13" t="n">
        <v>158442</v>
      </c>
      <c r="G13" s="2" t="n">
        <v>1583</v>
      </c>
      <c r="H13" s="12" t="n">
        <v>158417</v>
      </c>
    </row>
    <row r="14" customFormat="false" ht="15" hidden="false" customHeight="false" outlineLevel="0" collapsed="false">
      <c r="A14" s="7"/>
      <c r="B14" s="2" t="n">
        <v>10</v>
      </c>
      <c r="C14" s="11" t="n">
        <v>1709</v>
      </c>
      <c r="D14" s="12" t="n">
        <v>158291</v>
      </c>
      <c r="E14" s="2" t="n">
        <v>1650</v>
      </c>
      <c r="F14" s="13" t="n">
        <v>158350</v>
      </c>
      <c r="G14" s="2" t="n">
        <v>1709</v>
      </c>
      <c r="H14" s="12" t="n">
        <v>158291</v>
      </c>
    </row>
    <row r="15" customFormat="false" ht="15" hidden="false" customHeight="false" outlineLevel="0" collapsed="false">
      <c r="A15" s="7"/>
      <c r="B15" s="2" t="n">
        <v>11</v>
      </c>
      <c r="C15" s="11" t="n">
        <v>1833</v>
      </c>
      <c r="D15" s="12" t="n">
        <v>158167</v>
      </c>
      <c r="E15" s="2" t="n">
        <v>1804</v>
      </c>
      <c r="F15" s="13" t="n">
        <v>158196</v>
      </c>
      <c r="G15" s="2" t="n">
        <v>1831</v>
      </c>
      <c r="H15" s="12" t="n">
        <v>158169</v>
      </c>
    </row>
    <row r="16" customFormat="false" ht="15" hidden="false" customHeight="false" outlineLevel="0" collapsed="false">
      <c r="A16" s="7"/>
      <c r="B16" s="2" t="n">
        <v>12</v>
      </c>
      <c r="C16" s="11" t="n">
        <v>1943</v>
      </c>
      <c r="D16" s="12" t="n">
        <v>158057</v>
      </c>
      <c r="E16" s="2" t="n">
        <v>1910</v>
      </c>
      <c r="F16" s="13" t="n">
        <v>158090</v>
      </c>
      <c r="G16" s="2" t="n">
        <v>1944</v>
      </c>
      <c r="H16" s="12" t="n">
        <v>158056</v>
      </c>
    </row>
    <row r="17" customFormat="false" ht="15" hidden="false" customHeight="false" outlineLevel="0" collapsed="false">
      <c r="A17" s="7"/>
      <c r="B17" s="2" t="n">
        <v>13</v>
      </c>
      <c r="C17" s="11" t="n">
        <v>2046</v>
      </c>
      <c r="D17" s="12" t="n">
        <v>157954</v>
      </c>
      <c r="E17" s="2" t="n">
        <v>2006</v>
      </c>
      <c r="F17" s="13" t="n">
        <v>157994</v>
      </c>
      <c r="G17" s="2" t="n">
        <v>2046</v>
      </c>
      <c r="H17" s="12" t="n">
        <v>157954</v>
      </c>
    </row>
    <row r="18" customFormat="false" ht="15" hidden="false" customHeight="false" outlineLevel="0" collapsed="false">
      <c r="A18" s="7"/>
      <c r="B18" s="2" t="n">
        <v>14</v>
      </c>
      <c r="C18" s="11" t="n">
        <v>2140</v>
      </c>
      <c r="D18" s="12" t="n">
        <v>157860</v>
      </c>
      <c r="E18" s="2" t="n">
        <v>2112</v>
      </c>
      <c r="F18" s="13" t="n">
        <v>157888</v>
      </c>
      <c r="G18" s="2" t="n">
        <v>2139</v>
      </c>
      <c r="H18" s="12" t="n">
        <v>157861</v>
      </c>
    </row>
    <row r="19" customFormat="false" ht="15" hidden="false" customHeight="false" outlineLevel="0" collapsed="false">
      <c r="A19" s="7"/>
      <c r="B19" s="2" t="n">
        <v>15</v>
      </c>
      <c r="C19" s="11" t="n">
        <v>2221</v>
      </c>
      <c r="D19" s="12" t="n">
        <v>157779</v>
      </c>
      <c r="E19" s="2" t="n">
        <v>2193</v>
      </c>
      <c r="F19" s="13" t="n">
        <v>157807</v>
      </c>
      <c r="G19" s="2" t="n">
        <v>2229</v>
      </c>
      <c r="H19" s="12" t="n">
        <v>157771</v>
      </c>
    </row>
    <row r="20" customFormat="false" ht="15" hidden="false" customHeight="false" outlineLevel="0" collapsed="false">
      <c r="A20" s="7"/>
      <c r="B20" s="2" t="n">
        <v>16</v>
      </c>
      <c r="C20" s="11" t="n">
        <v>2298</v>
      </c>
      <c r="D20" s="12" t="n">
        <v>157702</v>
      </c>
      <c r="E20" s="2" t="n">
        <v>2253</v>
      </c>
      <c r="F20" s="13" t="n">
        <v>157747</v>
      </c>
      <c r="G20" s="2" t="n">
        <v>2294</v>
      </c>
      <c r="H20" s="12" t="n">
        <v>157706</v>
      </c>
    </row>
    <row r="21" customFormat="false" ht="15" hidden="false" customHeight="false" outlineLevel="0" collapsed="false">
      <c r="A21" s="7"/>
      <c r="B21" s="2" t="n">
        <v>17</v>
      </c>
      <c r="C21" s="11" t="n">
        <v>2372</v>
      </c>
      <c r="D21" s="12" t="n">
        <v>157628</v>
      </c>
      <c r="E21" s="2" t="n">
        <v>2366</v>
      </c>
      <c r="F21" s="13" t="n">
        <v>157634</v>
      </c>
      <c r="G21" s="2" t="n">
        <v>2366</v>
      </c>
      <c r="H21" s="12" t="n">
        <v>157634</v>
      </c>
    </row>
    <row r="22" customFormat="false" ht="15" hidden="false" customHeight="false" outlineLevel="0" collapsed="false">
      <c r="A22" s="7"/>
      <c r="B22" s="2" t="n">
        <v>18</v>
      </c>
      <c r="C22" s="11" t="n">
        <v>2436</v>
      </c>
      <c r="D22" s="12" t="n">
        <v>157564</v>
      </c>
      <c r="E22" s="2" t="n">
        <v>2409</v>
      </c>
      <c r="F22" s="13" t="n">
        <v>157591</v>
      </c>
      <c r="G22" s="2" t="n">
        <v>2437</v>
      </c>
      <c r="H22" s="12" t="n">
        <v>157563</v>
      </c>
    </row>
    <row r="23" customFormat="false" ht="15" hidden="false" customHeight="false" outlineLevel="0" collapsed="false">
      <c r="A23" s="7"/>
      <c r="B23" s="2" t="n">
        <v>19</v>
      </c>
      <c r="C23" s="11" t="n">
        <v>2493</v>
      </c>
      <c r="D23" s="12" t="n">
        <v>157507</v>
      </c>
      <c r="E23" s="2" t="n">
        <v>2439</v>
      </c>
      <c r="F23" s="13" t="n">
        <v>157561</v>
      </c>
      <c r="G23" s="2" t="n">
        <v>2497</v>
      </c>
      <c r="H23" s="12" t="n">
        <v>157503</v>
      </c>
    </row>
    <row r="24" customFormat="false" ht="15" hidden="false" customHeight="false" outlineLevel="0" collapsed="false">
      <c r="A24" s="7"/>
      <c r="B24" s="2" t="n">
        <v>20</v>
      </c>
      <c r="C24" s="11" t="n">
        <v>2532</v>
      </c>
      <c r="D24" s="12" t="n">
        <v>157468</v>
      </c>
      <c r="E24" s="2" t="n">
        <v>2508</v>
      </c>
      <c r="F24" s="13" t="n">
        <v>157492</v>
      </c>
      <c r="G24" s="2" t="n">
        <v>2539</v>
      </c>
      <c r="H24" s="12" t="n">
        <v>157461</v>
      </c>
    </row>
    <row r="25" customFormat="false" ht="15" hidden="false" customHeight="false" outlineLevel="0" collapsed="false">
      <c r="A25" s="7"/>
      <c r="B25" s="2" t="n">
        <v>21</v>
      </c>
      <c r="C25" s="11" t="n">
        <v>2569</v>
      </c>
      <c r="D25" s="12" t="n">
        <v>157431</v>
      </c>
      <c r="E25" s="2" t="n">
        <v>2540</v>
      </c>
      <c r="F25" s="13" t="n">
        <v>157460</v>
      </c>
      <c r="G25" s="2" t="n">
        <v>2570</v>
      </c>
      <c r="H25" s="12" t="n">
        <v>157430</v>
      </c>
    </row>
    <row r="26" customFormat="false" ht="15" hidden="false" customHeight="false" outlineLevel="0" collapsed="false">
      <c r="A26" s="7"/>
      <c r="B26" s="2" t="n">
        <v>22</v>
      </c>
      <c r="C26" s="11" t="n">
        <v>2602</v>
      </c>
      <c r="D26" s="12" t="n">
        <v>157398</v>
      </c>
      <c r="E26" s="2" t="n">
        <v>2549</v>
      </c>
      <c r="F26" s="13" t="n">
        <v>157451</v>
      </c>
      <c r="G26" s="2" t="n">
        <v>2604</v>
      </c>
      <c r="H26" s="12" t="n">
        <v>157396</v>
      </c>
    </row>
    <row r="27" customFormat="false" ht="15" hidden="false" customHeight="false" outlineLevel="0" collapsed="false">
      <c r="A27" s="7"/>
      <c r="B27" s="2" t="n">
        <v>23</v>
      </c>
      <c r="C27" s="11" t="n">
        <v>2609</v>
      </c>
      <c r="D27" s="12" t="n">
        <v>157391</v>
      </c>
      <c r="E27" s="2" t="n">
        <v>2578</v>
      </c>
      <c r="F27" s="13" t="n">
        <v>157422</v>
      </c>
      <c r="G27" s="2" t="n">
        <v>2608</v>
      </c>
      <c r="H27" s="12" t="n">
        <v>157392</v>
      </c>
    </row>
    <row r="28" customFormat="false" ht="15" hidden="false" customHeight="false" outlineLevel="0" collapsed="false">
      <c r="A28" s="7"/>
      <c r="B28" s="2" t="n">
        <v>24</v>
      </c>
      <c r="C28" s="11" t="n">
        <v>2621</v>
      </c>
      <c r="D28" s="12" t="n">
        <v>157379</v>
      </c>
      <c r="E28" s="2" t="n">
        <v>2576</v>
      </c>
      <c r="F28" s="13" t="n">
        <v>157424</v>
      </c>
      <c r="G28" s="2" t="n">
        <v>2618</v>
      </c>
      <c r="H28" s="12" t="n">
        <v>157382</v>
      </c>
    </row>
    <row r="29" customFormat="false" ht="15" hidden="false" customHeight="false" outlineLevel="0" collapsed="false">
      <c r="A29" s="7"/>
      <c r="B29" s="2" t="n">
        <v>25</v>
      </c>
      <c r="C29" s="11" t="n">
        <v>2617</v>
      </c>
      <c r="D29" s="12" t="n">
        <v>157383</v>
      </c>
      <c r="E29" s="2" t="n">
        <v>2591</v>
      </c>
      <c r="F29" s="13" t="n">
        <v>157409</v>
      </c>
      <c r="G29" s="2" t="n">
        <v>2619</v>
      </c>
      <c r="H29" s="12" t="n">
        <v>157381</v>
      </c>
    </row>
    <row r="30" customFormat="false" ht="15" hidden="false" customHeight="false" outlineLevel="0" collapsed="false">
      <c r="A30" s="7"/>
      <c r="B30" s="2" t="n">
        <v>26</v>
      </c>
      <c r="C30" s="11" t="n">
        <v>2590</v>
      </c>
      <c r="D30" s="12" t="n">
        <v>157410</v>
      </c>
      <c r="E30" s="2" t="n">
        <v>2562</v>
      </c>
      <c r="F30" s="13" t="n">
        <v>157438</v>
      </c>
      <c r="G30" s="2" t="n">
        <v>2590</v>
      </c>
      <c r="H30" s="12" t="n">
        <v>157410</v>
      </c>
    </row>
    <row r="31" customFormat="false" ht="15" hidden="false" customHeight="false" outlineLevel="0" collapsed="false">
      <c r="A31" s="7"/>
      <c r="B31" s="2" t="n">
        <v>27</v>
      </c>
      <c r="C31" s="11" t="n">
        <v>2539</v>
      </c>
      <c r="D31" s="12" t="n">
        <v>157461</v>
      </c>
      <c r="E31" s="2" t="n">
        <v>2480</v>
      </c>
      <c r="F31" s="13" t="n">
        <v>157520</v>
      </c>
      <c r="G31" s="2" t="n">
        <v>2533</v>
      </c>
      <c r="H31" s="12" t="n">
        <v>157467</v>
      </c>
    </row>
    <row r="32" customFormat="false" ht="15" hidden="false" customHeight="false" outlineLevel="0" collapsed="false">
      <c r="A32" s="7"/>
      <c r="B32" s="2" t="n">
        <v>28</v>
      </c>
      <c r="C32" s="11" t="n">
        <v>2476</v>
      </c>
      <c r="D32" s="12" t="n">
        <v>157524</v>
      </c>
      <c r="E32" s="2" t="n">
        <v>2417</v>
      </c>
      <c r="F32" s="13" t="n">
        <v>157583</v>
      </c>
      <c r="G32" s="2" t="n">
        <v>2478</v>
      </c>
      <c r="H32" s="12" t="n">
        <v>157522</v>
      </c>
    </row>
    <row r="33" customFormat="false" ht="15" hidden="false" customHeight="false" outlineLevel="0" collapsed="false">
      <c r="A33" s="7"/>
      <c r="B33" s="2" t="n">
        <v>29</v>
      </c>
      <c r="C33" s="11" t="n">
        <v>2355</v>
      </c>
      <c r="D33" s="12" t="n">
        <v>157645</v>
      </c>
      <c r="E33" s="2" t="n">
        <v>2304</v>
      </c>
      <c r="F33" s="13" t="n">
        <v>157696</v>
      </c>
      <c r="G33" s="2" t="n">
        <v>2357</v>
      </c>
      <c r="H33" s="12" t="n">
        <v>157643</v>
      </c>
    </row>
    <row r="34" customFormat="false" ht="15" hidden="false" customHeight="false" outlineLevel="0" collapsed="false">
      <c r="A34" s="7"/>
      <c r="B34" s="2" t="n">
        <v>30</v>
      </c>
      <c r="C34" s="11" t="n">
        <v>2197</v>
      </c>
      <c r="D34" s="12" t="n">
        <v>157803</v>
      </c>
      <c r="E34" s="2" t="n">
        <v>2167</v>
      </c>
      <c r="F34" s="13" t="n">
        <v>157833</v>
      </c>
      <c r="G34" s="2" t="n">
        <v>2196</v>
      </c>
      <c r="H34" s="12" t="n">
        <v>157804</v>
      </c>
    </row>
    <row r="35" customFormat="false" ht="15" hidden="false" customHeight="false" outlineLevel="0" collapsed="false">
      <c r="A35" s="7"/>
      <c r="B35" s="2" t="n">
        <v>31</v>
      </c>
      <c r="C35" s="11" t="n">
        <v>2107</v>
      </c>
      <c r="D35" s="12" t="n">
        <v>157893</v>
      </c>
      <c r="E35" s="2" t="n">
        <v>2068</v>
      </c>
      <c r="F35" s="13" t="n">
        <v>157932</v>
      </c>
      <c r="G35" s="2" t="n">
        <v>2107</v>
      </c>
      <c r="H35" s="12" t="n">
        <v>157893</v>
      </c>
    </row>
    <row r="36" customFormat="false" ht="15" hidden="false" customHeight="false" outlineLevel="0" collapsed="false">
      <c r="A36" s="7"/>
      <c r="B36" s="2" t="n">
        <v>32</v>
      </c>
      <c r="C36" s="11" t="n">
        <v>2049</v>
      </c>
      <c r="D36" s="12" t="n">
        <v>157951</v>
      </c>
      <c r="E36" s="2" t="n">
        <v>2027</v>
      </c>
      <c r="F36" s="13" t="n">
        <v>157973</v>
      </c>
      <c r="G36" s="2" t="n">
        <v>2050</v>
      </c>
      <c r="H36" s="12" t="n">
        <v>157950</v>
      </c>
    </row>
    <row r="37" customFormat="false" ht="15" hidden="false" customHeight="false" outlineLevel="0" collapsed="false">
      <c r="A37" s="7"/>
      <c r="B37" s="2" t="n">
        <v>33</v>
      </c>
      <c r="C37" s="11" t="n">
        <v>1988</v>
      </c>
      <c r="D37" s="12" t="n">
        <v>158012</v>
      </c>
      <c r="E37" s="2" t="n">
        <v>1946</v>
      </c>
      <c r="F37" s="13" t="n">
        <v>158054</v>
      </c>
      <c r="G37" s="2" t="n">
        <v>1989</v>
      </c>
      <c r="H37" s="12" t="n">
        <v>158011</v>
      </c>
    </row>
    <row r="38" customFormat="false" ht="15" hidden="false" customHeight="false" outlineLevel="0" collapsed="false">
      <c r="A38" s="7"/>
      <c r="B38" s="2" t="n">
        <v>34</v>
      </c>
      <c r="C38" s="11" t="n">
        <v>1952</v>
      </c>
      <c r="D38" s="12" t="n">
        <v>158048</v>
      </c>
      <c r="E38" s="2" t="n">
        <v>1918</v>
      </c>
      <c r="F38" s="13" t="n">
        <v>158082</v>
      </c>
      <c r="G38" s="2" t="n">
        <v>1951</v>
      </c>
      <c r="H38" s="12" t="n">
        <v>158049</v>
      </c>
    </row>
    <row r="39" customFormat="false" ht="15" hidden="false" customHeight="false" outlineLevel="0" collapsed="false">
      <c r="A39" s="7"/>
      <c r="B39" s="2" t="n">
        <v>35</v>
      </c>
      <c r="C39" s="11" t="n">
        <v>1905</v>
      </c>
      <c r="D39" s="12" t="n">
        <v>158095</v>
      </c>
      <c r="E39" s="2" t="n">
        <v>1886</v>
      </c>
      <c r="F39" s="13" t="n">
        <v>158114</v>
      </c>
      <c r="G39" s="2" t="n">
        <v>1905</v>
      </c>
      <c r="H39" s="12" t="n">
        <v>158095</v>
      </c>
    </row>
    <row r="40" customFormat="false" ht="15" hidden="false" customHeight="false" outlineLevel="0" collapsed="false">
      <c r="A40" s="7"/>
      <c r="B40" s="2" t="n">
        <v>36</v>
      </c>
      <c r="C40" s="11" t="n">
        <v>1884</v>
      </c>
      <c r="D40" s="12" t="n">
        <v>158116</v>
      </c>
      <c r="E40" s="2" t="n">
        <v>1869</v>
      </c>
      <c r="F40" s="13" t="n">
        <v>158131</v>
      </c>
      <c r="G40" s="2" t="n">
        <v>1880</v>
      </c>
      <c r="H40" s="12" t="n">
        <v>158120</v>
      </c>
    </row>
    <row r="41" customFormat="false" ht="15" hidden="false" customHeight="false" outlineLevel="0" collapsed="false">
      <c r="A41" s="7"/>
      <c r="B41" s="2" t="n">
        <v>37</v>
      </c>
      <c r="C41" s="11" t="n">
        <v>1851</v>
      </c>
      <c r="D41" s="12" t="n">
        <v>158149</v>
      </c>
      <c r="E41" s="2" t="n">
        <v>1817</v>
      </c>
      <c r="F41" s="13" t="n">
        <v>158183</v>
      </c>
      <c r="G41" s="2" t="n">
        <v>1853</v>
      </c>
      <c r="H41" s="12" t="n">
        <v>158147</v>
      </c>
    </row>
    <row r="42" customFormat="false" ht="15" hidden="false" customHeight="false" outlineLevel="0" collapsed="false">
      <c r="A42" s="7"/>
      <c r="B42" s="2" t="n">
        <v>38</v>
      </c>
      <c r="C42" s="11" t="n">
        <v>1828</v>
      </c>
      <c r="D42" s="12" t="n">
        <v>158172</v>
      </c>
      <c r="E42" s="2" t="n">
        <v>1792</v>
      </c>
      <c r="F42" s="13" t="n">
        <v>158208</v>
      </c>
      <c r="G42" s="2" t="n">
        <v>1825</v>
      </c>
      <c r="H42" s="12" t="n">
        <v>158175</v>
      </c>
    </row>
    <row r="43" customFormat="false" ht="15" hidden="false" customHeight="false" outlineLevel="0" collapsed="false">
      <c r="A43" s="7"/>
      <c r="B43" s="2" t="n">
        <v>39</v>
      </c>
      <c r="C43" s="11" t="n">
        <v>1811</v>
      </c>
      <c r="D43" s="12" t="n">
        <v>158189</v>
      </c>
      <c r="E43" s="2" t="n">
        <v>1786</v>
      </c>
      <c r="F43" s="13" t="n">
        <v>158214</v>
      </c>
      <c r="G43" s="2" t="n">
        <v>1816</v>
      </c>
      <c r="H43" s="12" t="n">
        <v>158184</v>
      </c>
    </row>
    <row r="44" customFormat="false" ht="15" hidden="false" customHeight="false" outlineLevel="0" collapsed="false">
      <c r="A44" s="7"/>
      <c r="B44" s="2" t="n">
        <v>40</v>
      </c>
      <c r="C44" s="11" t="n">
        <v>1792</v>
      </c>
      <c r="D44" s="12" t="n">
        <v>158208</v>
      </c>
      <c r="E44" s="2" t="n">
        <v>1779</v>
      </c>
      <c r="F44" s="13" t="n">
        <v>158221</v>
      </c>
      <c r="G44" s="2" t="n">
        <v>1791</v>
      </c>
      <c r="H44" s="12" t="n">
        <v>158209</v>
      </c>
    </row>
    <row r="45" customFormat="false" ht="15" hidden="false" customHeight="false" outlineLevel="0" collapsed="false">
      <c r="A45" s="7"/>
      <c r="B45" s="2" t="n">
        <v>41</v>
      </c>
      <c r="C45" s="11" t="n">
        <v>1771</v>
      </c>
      <c r="D45" s="12" t="n">
        <v>158229</v>
      </c>
      <c r="E45" s="2" t="n">
        <v>1753</v>
      </c>
      <c r="F45" s="13" t="n">
        <v>158247</v>
      </c>
      <c r="G45" s="2" t="n">
        <v>1769</v>
      </c>
      <c r="H45" s="12" t="n">
        <v>158231</v>
      </c>
    </row>
    <row r="46" customFormat="false" ht="15" hidden="false" customHeight="false" outlineLevel="0" collapsed="false">
      <c r="A46" s="7"/>
      <c r="B46" s="2" t="n">
        <v>42</v>
      </c>
      <c r="C46" s="11" t="n">
        <v>1769</v>
      </c>
      <c r="D46" s="12" t="n">
        <v>158231</v>
      </c>
      <c r="E46" s="2" t="n">
        <v>1722</v>
      </c>
      <c r="F46" s="13" t="n">
        <v>158278</v>
      </c>
      <c r="G46" s="2" t="n">
        <v>1768</v>
      </c>
      <c r="H46" s="12" t="n">
        <v>158232</v>
      </c>
    </row>
    <row r="47" customFormat="false" ht="15" hidden="false" customHeight="false" outlineLevel="0" collapsed="false">
      <c r="A47" s="7"/>
      <c r="B47" s="2" t="n">
        <v>43</v>
      </c>
      <c r="C47" s="11" t="n">
        <v>1755</v>
      </c>
      <c r="D47" s="12" t="n">
        <v>158245</v>
      </c>
      <c r="E47" s="2" t="n">
        <v>1725</v>
      </c>
      <c r="F47" s="13" t="n">
        <v>158275</v>
      </c>
      <c r="G47" s="2" t="n">
        <v>1754</v>
      </c>
      <c r="H47" s="12" t="n">
        <v>158246</v>
      </c>
    </row>
    <row r="48" customFormat="false" ht="15" hidden="false" customHeight="false" outlineLevel="0" collapsed="false">
      <c r="A48" s="7"/>
      <c r="B48" s="2" t="n">
        <v>44</v>
      </c>
      <c r="C48" s="11" t="n">
        <v>1751</v>
      </c>
      <c r="D48" s="12" t="n">
        <v>158249</v>
      </c>
      <c r="E48" s="2" t="n">
        <v>1733</v>
      </c>
      <c r="F48" s="13" t="n">
        <v>158267</v>
      </c>
      <c r="G48" s="2" t="n">
        <v>1755</v>
      </c>
      <c r="H48" s="12" t="n">
        <v>158245</v>
      </c>
    </row>
    <row r="49" customFormat="false" ht="15" hidden="false" customHeight="false" outlineLevel="0" collapsed="false">
      <c r="A49" s="7"/>
      <c r="B49" s="2" t="n">
        <v>45</v>
      </c>
      <c r="C49" s="11" t="n">
        <v>1751</v>
      </c>
      <c r="D49" s="12" t="n">
        <v>158249</v>
      </c>
      <c r="E49" s="2" t="n">
        <v>1725</v>
      </c>
      <c r="F49" s="13" t="n">
        <v>158275</v>
      </c>
      <c r="G49" s="2" t="n">
        <v>1753</v>
      </c>
      <c r="H49" s="12" t="n">
        <v>158247</v>
      </c>
    </row>
    <row r="50" customFormat="false" ht="15" hidden="false" customHeight="false" outlineLevel="0" collapsed="false">
      <c r="A50" s="7"/>
      <c r="B50" s="2" t="n">
        <v>46</v>
      </c>
      <c r="C50" s="11" t="n">
        <v>1744</v>
      </c>
      <c r="D50" s="12" t="n">
        <v>158256</v>
      </c>
      <c r="E50" s="2" t="n">
        <v>1735</v>
      </c>
      <c r="F50" s="13" t="n">
        <v>158265</v>
      </c>
      <c r="G50" s="2" t="n">
        <v>1742</v>
      </c>
      <c r="H50" s="12" t="n">
        <v>158258</v>
      </c>
    </row>
    <row r="51" customFormat="false" ht="15" hidden="false" customHeight="false" outlineLevel="0" collapsed="false">
      <c r="A51" s="7"/>
      <c r="B51" s="2" t="n">
        <v>47</v>
      </c>
      <c r="C51" s="11" t="n">
        <v>1738</v>
      </c>
      <c r="D51" s="12" t="n">
        <v>158262</v>
      </c>
      <c r="E51" s="2" t="n">
        <v>1719</v>
      </c>
      <c r="F51" s="13" t="n">
        <v>158281</v>
      </c>
      <c r="G51" s="2" t="n">
        <v>1739</v>
      </c>
      <c r="H51" s="12" t="n">
        <v>158261</v>
      </c>
    </row>
    <row r="52" customFormat="false" ht="15" hidden="false" customHeight="false" outlineLevel="0" collapsed="false">
      <c r="A52" s="7"/>
      <c r="B52" s="2" t="n">
        <v>48</v>
      </c>
      <c r="C52" s="11" t="n">
        <v>1741</v>
      </c>
      <c r="D52" s="12" t="n">
        <v>158259</v>
      </c>
      <c r="E52" s="2" t="n">
        <v>1737</v>
      </c>
      <c r="F52" s="13" t="n">
        <v>158263</v>
      </c>
      <c r="G52" s="2" t="n">
        <v>1742</v>
      </c>
      <c r="H52" s="12" t="n">
        <v>158258</v>
      </c>
    </row>
    <row r="53" customFormat="false" ht="15" hidden="false" customHeight="false" outlineLevel="0" collapsed="false">
      <c r="A53" s="7"/>
      <c r="B53" s="2" t="n">
        <v>49</v>
      </c>
      <c r="C53" s="11" t="n">
        <v>1752</v>
      </c>
      <c r="D53" s="12" t="n">
        <v>158248</v>
      </c>
      <c r="E53" s="2" t="n">
        <v>1708</v>
      </c>
      <c r="F53" s="13" t="n">
        <v>158292</v>
      </c>
      <c r="G53" s="2" t="n">
        <v>1753</v>
      </c>
      <c r="H53" s="12" t="n">
        <v>158247</v>
      </c>
    </row>
    <row r="54" customFormat="false" ht="15" hidden="false" customHeight="false" outlineLevel="0" collapsed="false">
      <c r="A54" s="7"/>
      <c r="B54" s="2" t="n">
        <v>50</v>
      </c>
      <c r="C54" s="11" t="n">
        <v>1748</v>
      </c>
      <c r="D54" s="12" t="n">
        <v>158252</v>
      </c>
      <c r="E54" s="2" t="n">
        <v>1709</v>
      </c>
      <c r="F54" s="13" t="n">
        <v>158291</v>
      </c>
      <c r="G54" s="2" t="n">
        <v>1749</v>
      </c>
      <c r="H54" s="12" t="n">
        <v>158251</v>
      </c>
    </row>
    <row r="55" customFormat="false" ht="15" hidden="false" customHeight="false" outlineLevel="0" collapsed="false">
      <c r="A55" s="7"/>
      <c r="B55" s="2" t="n">
        <v>51</v>
      </c>
      <c r="C55" s="11" t="n">
        <v>1755</v>
      </c>
      <c r="D55" s="12" t="n">
        <v>158245</v>
      </c>
      <c r="E55" s="2" t="n">
        <v>1749</v>
      </c>
      <c r="F55" s="13" t="n">
        <v>158251</v>
      </c>
      <c r="G55" s="2" t="n">
        <v>1755</v>
      </c>
      <c r="H55" s="12" t="n">
        <v>158245</v>
      </c>
    </row>
    <row r="56" customFormat="false" ht="15" hidden="false" customHeight="false" outlineLevel="0" collapsed="false">
      <c r="A56" s="7"/>
      <c r="B56" s="2" t="n">
        <v>52</v>
      </c>
      <c r="C56" s="11" t="n">
        <v>1762</v>
      </c>
      <c r="D56" s="12" t="n">
        <v>158238</v>
      </c>
      <c r="E56" s="2" t="n">
        <v>1719</v>
      </c>
      <c r="F56" s="13" t="n">
        <v>158281</v>
      </c>
      <c r="G56" s="2" t="n">
        <v>1766</v>
      </c>
      <c r="H56" s="12" t="n">
        <v>158234</v>
      </c>
    </row>
    <row r="57" customFormat="false" ht="15" hidden="false" customHeight="false" outlineLevel="0" collapsed="false">
      <c r="A57" s="7"/>
      <c r="B57" s="2" t="n">
        <v>53</v>
      </c>
      <c r="C57" s="11" t="n">
        <v>1778</v>
      </c>
      <c r="D57" s="12" t="n">
        <v>158222</v>
      </c>
      <c r="E57" s="2" t="n">
        <v>1738</v>
      </c>
      <c r="F57" s="13" t="n">
        <v>158262</v>
      </c>
      <c r="G57" s="2" t="n">
        <v>1780</v>
      </c>
      <c r="H57" s="12" t="n">
        <v>158220</v>
      </c>
    </row>
    <row r="58" customFormat="false" ht="15" hidden="false" customHeight="false" outlineLevel="0" collapsed="false">
      <c r="A58" s="7"/>
      <c r="B58" s="2" t="n">
        <v>54</v>
      </c>
      <c r="C58" s="11" t="n">
        <v>1796</v>
      </c>
      <c r="D58" s="12" t="n">
        <v>158204</v>
      </c>
      <c r="E58" s="2" t="n">
        <v>1782</v>
      </c>
      <c r="F58" s="13" t="n">
        <v>158218</v>
      </c>
      <c r="G58" s="2" t="n">
        <v>1789</v>
      </c>
      <c r="H58" s="12" t="n">
        <v>158211</v>
      </c>
    </row>
    <row r="59" customFormat="false" ht="15" hidden="false" customHeight="false" outlineLevel="0" collapsed="false">
      <c r="A59" s="7"/>
      <c r="B59" s="2" t="n">
        <v>55</v>
      </c>
      <c r="C59" s="11" t="n">
        <v>1808</v>
      </c>
      <c r="D59" s="12" t="n">
        <v>158192</v>
      </c>
      <c r="E59" s="2" t="n">
        <v>1792</v>
      </c>
      <c r="F59" s="13" t="n">
        <v>158208</v>
      </c>
      <c r="G59" s="2" t="n">
        <v>1811</v>
      </c>
      <c r="H59" s="12" t="n">
        <v>158189</v>
      </c>
    </row>
    <row r="60" customFormat="false" ht="15" hidden="false" customHeight="false" outlineLevel="0" collapsed="false">
      <c r="A60" s="7"/>
      <c r="B60" s="2" t="n">
        <v>56</v>
      </c>
      <c r="C60" s="11" t="n">
        <v>1831</v>
      </c>
      <c r="D60" s="12" t="n">
        <v>158169</v>
      </c>
      <c r="E60" s="2" t="n">
        <v>1762</v>
      </c>
      <c r="F60" s="13" t="n">
        <v>158238</v>
      </c>
      <c r="G60" s="2" t="n">
        <v>1834</v>
      </c>
      <c r="H60" s="12" t="n">
        <v>158166</v>
      </c>
    </row>
    <row r="61" customFormat="false" ht="15" hidden="false" customHeight="false" outlineLevel="0" collapsed="false">
      <c r="A61" s="7"/>
      <c r="B61" s="2" t="n">
        <v>57</v>
      </c>
      <c r="C61" s="11" t="n">
        <v>1846</v>
      </c>
      <c r="D61" s="12" t="n">
        <v>158154</v>
      </c>
      <c r="E61" s="2" t="n">
        <v>1824</v>
      </c>
      <c r="F61" s="13" t="n">
        <v>158176</v>
      </c>
      <c r="G61" s="2" t="n">
        <v>1848</v>
      </c>
      <c r="H61" s="12" t="n">
        <v>158152</v>
      </c>
    </row>
    <row r="62" customFormat="false" ht="15" hidden="false" customHeight="false" outlineLevel="0" collapsed="false">
      <c r="A62" s="7"/>
      <c r="B62" s="2" t="n">
        <v>58</v>
      </c>
      <c r="C62" s="11" t="n">
        <v>1879</v>
      </c>
      <c r="D62" s="12" t="n">
        <v>158121</v>
      </c>
      <c r="E62" s="2" t="n">
        <v>1855</v>
      </c>
      <c r="F62" s="13" t="n">
        <v>158145</v>
      </c>
      <c r="G62" s="2" t="n">
        <v>1881</v>
      </c>
      <c r="H62" s="12" t="n">
        <v>158119</v>
      </c>
    </row>
    <row r="63" customFormat="false" ht="15" hidden="false" customHeight="false" outlineLevel="0" collapsed="false">
      <c r="A63" s="7"/>
      <c r="B63" s="2" t="n">
        <v>59</v>
      </c>
      <c r="C63" s="11" t="n">
        <v>1908</v>
      </c>
      <c r="D63" s="12" t="n">
        <v>158092</v>
      </c>
      <c r="E63" s="2" t="n">
        <v>1836</v>
      </c>
      <c r="F63" s="13" t="n">
        <v>158164</v>
      </c>
      <c r="G63" s="2" t="n">
        <v>1913</v>
      </c>
      <c r="H63" s="12" t="n">
        <v>158087</v>
      </c>
    </row>
    <row r="64" customFormat="false" ht="15" hidden="false" customHeight="false" outlineLevel="0" collapsed="false">
      <c r="A64" s="7"/>
      <c r="B64" s="2" t="n">
        <v>60</v>
      </c>
      <c r="C64" s="11" t="n">
        <v>1953</v>
      </c>
      <c r="D64" s="12" t="n">
        <v>158047</v>
      </c>
      <c r="E64" s="2" t="n">
        <v>1914</v>
      </c>
      <c r="F64" s="13" t="n">
        <v>158086</v>
      </c>
      <c r="G64" s="2" t="n">
        <v>1957</v>
      </c>
      <c r="H64" s="12" t="n">
        <v>158043</v>
      </c>
    </row>
    <row r="65" customFormat="false" ht="15" hidden="false" customHeight="false" outlineLevel="0" collapsed="false">
      <c r="A65" s="7"/>
      <c r="B65" s="2" t="n">
        <v>61</v>
      </c>
      <c r="C65" s="11" t="n">
        <v>1985</v>
      </c>
      <c r="D65" s="12" t="n">
        <v>158015</v>
      </c>
      <c r="E65" s="2" t="n">
        <v>1930</v>
      </c>
      <c r="F65" s="13" t="n">
        <v>158070</v>
      </c>
      <c r="G65" s="2" t="n">
        <v>1987</v>
      </c>
      <c r="H65" s="12" t="n">
        <v>158013</v>
      </c>
    </row>
    <row r="66" customFormat="false" ht="15" hidden="false" customHeight="false" outlineLevel="0" collapsed="false">
      <c r="A66" s="7"/>
      <c r="B66" s="2" t="n">
        <v>62</v>
      </c>
      <c r="C66" s="11" t="n">
        <v>2039</v>
      </c>
      <c r="D66" s="12" t="n">
        <v>157961</v>
      </c>
      <c r="E66" s="2" t="n">
        <v>2008</v>
      </c>
      <c r="F66" s="13" t="n">
        <v>157992</v>
      </c>
      <c r="G66" s="2" t="n">
        <v>2040</v>
      </c>
      <c r="H66" s="12" t="n">
        <v>157960</v>
      </c>
    </row>
    <row r="67" customFormat="false" ht="15" hidden="false" customHeight="false" outlineLevel="0" collapsed="false">
      <c r="A67" s="7"/>
      <c r="B67" s="2" t="n">
        <v>63</v>
      </c>
      <c r="C67" s="11" t="n">
        <v>2108</v>
      </c>
      <c r="D67" s="12" t="n">
        <v>157892</v>
      </c>
      <c r="E67" s="2" t="n">
        <v>2064</v>
      </c>
      <c r="F67" s="13" t="n">
        <v>157936</v>
      </c>
      <c r="G67" s="2" t="n">
        <v>2114</v>
      </c>
      <c r="H67" s="12" t="n">
        <v>157886</v>
      </c>
    </row>
    <row r="68" customFormat="false" ht="15" hidden="false" customHeight="false" outlineLevel="0" collapsed="false">
      <c r="A68" s="7"/>
      <c r="B68" s="2" t="n">
        <v>64</v>
      </c>
      <c r="C68" s="11" t="n">
        <v>2212</v>
      </c>
      <c r="D68" s="12" t="n">
        <v>157788</v>
      </c>
      <c r="E68" s="2" t="n">
        <v>2184</v>
      </c>
      <c r="F68" s="13" t="n">
        <v>157816</v>
      </c>
      <c r="G68" s="2" t="n">
        <v>2202</v>
      </c>
      <c r="H68" s="12" t="n">
        <v>157798</v>
      </c>
    </row>
    <row r="69" customFormat="false" ht="15" hidden="false" customHeight="false" outlineLevel="0" collapsed="false">
      <c r="A69" s="7"/>
      <c r="B69" s="2" t="n">
        <v>65</v>
      </c>
      <c r="C69" s="11" t="n">
        <v>2367</v>
      </c>
      <c r="D69" s="12" t="n">
        <v>157633</v>
      </c>
      <c r="E69" s="2" t="n">
        <v>2335</v>
      </c>
      <c r="F69" s="13" t="n">
        <v>157665</v>
      </c>
      <c r="G69" s="2" t="n">
        <v>2367</v>
      </c>
      <c r="H69" s="12" t="n">
        <v>157633</v>
      </c>
    </row>
    <row r="70" customFormat="false" ht="15" hidden="false" customHeight="false" outlineLevel="0" collapsed="false">
      <c r="A70" s="7"/>
      <c r="B70" s="2" t="n">
        <v>66</v>
      </c>
      <c r="C70" s="11" t="n">
        <v>2490</v>
      </c>
      <c r="D70" s="12" t="n">
        <v>157510</v>
      </c>
      <c r="E70" s="2" t="n">
        <v>2454</v>
      </c>
      <c r="F70" s="13" t="n">
        <v>157546</v>
      </c>
      <c r="G70" s="2" t="n">
        <v>2485</v>
      </c>
      <c r="H70" s="12" t="n">
        <v>157515</v>
      </c>
    </row>
    <row r="71" customFormat="false" ht="15" hidden="false" customHeight="false" outlineLevel="0" collapsed="false">
      <c r="A71" s="7"/>
      <c r="B71" s="2" t="n">
        <v>67</v>
      </c>
      <c r="C71" s="11" t="n">
        <v>2546</v>
      </c>
      <c r="D71" s="12" t="n">
        <v>157454</v>
      </c>
      <c r="E71" s="2" t="n">
        <v>2496</v>
      </c>
      <c r="F71" s="13" t="n">
        <v>157504</v>
      </c>
      <c r="G71" s="2" t="n">
        <v>2546</v>
      </c>
      <c r="H71" s="12" t="n">
        <v>157454</v>
      </c>
    </row>
    <row r="72" customFormat="false" ht="15" hidden="false" customHeight="false" outlineLevel="0" collapsed="false">
      <c r="A72" s="7"/>
      <c r="B72" s="2" t="n">
        <v>68</v>
      </c>
      <c r="C72" s="11" t="n">
        <v>2590</v>
      </c>
      <c r="D72" s="12" t="n">
        <v>157410</v>
      </c>
      <c r="E72" s="2" t="n">
        <v>2530</v>
      </c>
      <c r="F72" s="13" t="n">
        <v>157470</v>
      </c>
      <c r="G72" s="2" t="n">
        <v>2587</v>
      </c>
      <c r="H72" s="12" t="n">
        <v>157413</v>
      </c>
    </row>
    <row r="73" customFormat="false" ht="15" hidden="false" customHeight="false" outlineLevel="0" collapsed="false">
      <c r="A73" s="7"/>
      <c r="B73" s="2" t="n">
        <v>69</v>
      </c>
      <c r="C73" s="11" t="n">
        <v>2619</v>
      </c>
      <c r="D73" s="12" t="n">
        <v>157381</v>
      </c>
      <c r="E73" s="2" t="n">
        <v>2596</v>
      </c>
      <c r="F73" s="13" t="n">
        <v>157404</v>
      </c>
      <c r="G73" s="2" t="n">
        <v>2621</v>
      </c>
      <c r="H73" s="12" t="n">
        <v>157379</v>
      </c>
    </row>
    <row r="74" customFormat="false" ht="15" hidden="false" customHeight="false" outlineLevel="0" collapsed="false">
      <c r="A74" s="7"/>
      <c r="B74" s="2" t="n">
        <v>70</v>
      </c>
      <c r="C74" s="11" t="n">
        <v>2623</v>
      </c>
      <c r="D74" s="12" t="n">
        <v>157377</v>
      </c>
      <c r="E74" s="2" t="n">
        <v>2581</v>
      </c>
      <c r="F74" s="13" t="n">
        <v>157419</v>
      </c>
      <c r="G74" s="2" t="n">
        <v>2624</v>
      </c>
      <c r="H74" s="12" t="n">
        <v>157376</v>
      </c>
    </row>
    <row r="75" customFormat="false" ht="15" hidden="false" customHeight="false" outlineLevel="0" collapsed="false">
      <c r="A75" s="7"/>
      <c r="B75" s="2" t="n">
        <v>71</v>
      </c>
      <c r="C75" s="11" t="n">
        <v>2608</v>
      </c>
      <c r="D75" s="12" t="n">
        <v>157392</v>
      </c>
      <c r="E75" s="2" t="n">
        <v>2516</v>
      </c>
      <c r="F75" s="13" t="n">
        <v>157484</v>
      </c>
      <c r="G75" s="2" t="n">
        <v>2608</v>
      </c>
      <c r="H75" s="12" t="n">
        <v>157392</v>
      </c>
    </row>
    <row r="76" customFormat="false" ht="15" hidden="false" customHeight="false" outlineLevel="0" collapsed="false">
      <c r="A76" s="7"/>
      <c r="B76" s="2" t="n">
        <v>72</v>
      </c>
      <c r="C76" s="11" t="n">
        <v>2608</v>
      </c>
      <c r="D76" s="12" t="n">
        <v>157392</v>
      </c>
      <c r="E76" s="2" t="n">
        <v>2562</v>
      </c>
      <c r="F76" s="13" t="n">
        <v>157438</v>
      </c>
      <c r="G76" s="2" t="n">
        <v>2606</v>
      </c>
      <c r="H76" s="12" t="n">
        <v>157394</v>
      </c>
    </row>
    <row r="77" customFormat="false" ht="15" hidden="false" customHeight="false" outlineLevel="0" collapsed="false">
      <c r="A77" s="7"/>
      <c r="B77" s="2" t="n">
        <v>73</v>
      </c>
      <c r="C77" s="11" t="n">
        <v>2567</v>
      </c>
      <c r="D77" s="12" t="n">
        <v>157433</v>
      </c>
      <c r="E77" s="2" t="n">
        <v>2563</v>
      </c>
      <c r="F77" s="13" t="n">
        <v>157437</v>
      </c>
      <c r="G77" s="2" t="n">
        <v>2569</v>
      </c>
      <c r="H77" s="12" t="n">
        <v>157431</v>
      </c>
    </row>
    <row r="78" customFormat="false" ht="15" hidden="false" customHeight="false" outlineLevel="0" collapsed="false">
      <c r="A78" s="7"/>
      <c r="B78" s="2" t="n">
        <v>74</v>
      </c>
      <c r="C78" s="11" t="n">
        <v>2533</v>
      </c>
      <c r="D78" s="12" t="n">
        <v>157467</v>
      </c>
      <c r="E78" s="2" t="n">
        <v>2513</v>
      </c>
      <c r="F78" s="13" t="n">
        <v>157487</v>
      </c>
      <c r="G78" s="2" t="n">
        <v>2529</v>
      </c>
      <c r="H78" s="12" t="n">
        <v>157471</v>
      </c>
    </row>
    <row r="79" customFormat="false" ht="15" hidden="false" customHeight="false" outlineLevel="0" collapsed="false">
      <c r="A79" s="7"/>
      <c r="B79" s="2" t="n">
        <v>75</v>
      </c>
      <c r="C79" s="11" t="n">
        <v>2488</v>
      </c>
      <c r="D79" s="12" t="n">
        <v>157512</v>
      </c>
      <c r="E79" s="2" t="n">
        <v>2441</v>
      </c>
      <c r="F79" s="13" t="n">
        <v>157559</v>
      </c>
      <c r="G79" s="2" t="n">
        <v>2482</v>
      </c>
      <c r="H79" s="12" t="n">
        <v>157518</v>
      </c>
    </row>
    <row r="80" customFormat="false" ht="15" hidden="false" customHeight="false" outlineLevel="0" collapsed="false">
      <c r="A80" s="7"/>
      <c r="B80" s="2" t="n">
        <v>76</v>
      </c>
      <c r="C80" s="11" t="n">
        <v>2434</v>
      </c>
      <c r="D80" s="12" t="n">
        <v>157566</v>
      </c>
      <c r="E80" s="2" t="n">
        <v>2402</v>
      </c>
      <c r="F80" s="13" t="n">
        <v>157598</v>
      </c>
      <c r="G80" s="2" t="n">
        <v>2435</v>
      </c>
      <c r="H80" s="12" t="n">
        <v>157565</v>
      </c>
    </row>
    <row r="81" customFormat="false" ht="15" hidden="false" customHeight="false" outlineLevel="0" collapsed="false">
      <c r="A81" s="7"/>
      <c r="B81" s="2" t="n">
        <v>77</v>
      </c>
      <c r="C81" s="11" t="n">
        <v>2375</v>
      </c>
      <c r="D81" s="12" t="n">
        <v>157625</v>
      </c>
      <c r="E81" s="2" t="n">
        <v>2370</v>
      </c>
      <c r="F81" s="13" t="n">
        <v>157630</v>
      </c>
      <c r="G81" s="2" t="n">
        <v>2377</v>
      </c>
      <c r="H81" s="12" t="n">
        <v>157623</v>
      </c>
    </row>
    <row r="82" customFormat="false" ht="15" hidden="false" customHeight="false" outlineLevel="0" collapsed="false">
      <c r="A82" s="7"/>
      <c r="B82" s="2" t="n">
        <v>78</v>
      </c>
      <c r="C82" s="11" t="n">
        <v>2300</v>
      </c>
      <c r="D82" s="12" t="n">
        <v>157700</v>
      </c>
      <c r="E82" s="2" t="n">
        <v>2293</v>
      </c>
      <c r="F82" s="13" t="n">
        <v>157707</v>
      </c>
      <c r="G82" s="2" t="n">
        <v>2301</v>
      </c>
      <c r="H82" s="12" t="n">
        <v>157699</v>
      </c>
    </row>
    <row r="83" customFormat="false" ht="15" hidden="false" customHeight="false" outlineLevel="0" collapsed="false">
      <c r="A83" s="7"/>
      <c r="B83" s="2" t="n">
        <v>79</v>
      </c>
      <c r="C83" s="11" t="n">
        <v>2223</v>
      </c>
      <c r="D83" s="12" t="n">
        <v>157777</v>
      </c>
      <c r="E83" s="2" t="n">
        <v>2196</v>
      </c>
      <c r="F83" s="13" t="n">
        <v>157804</v>
      </c>
      <c r="G83" s="2" t="n">
        <v>2226</v>
      </c>
      <c r="H83" s="12" t="n">
        <v>157774</v>
      </c>
    </row>
    <row r="84" customFormat="false" ht="15" hidden="false" customHeight="false" outlineLevel="0" collapsed="false">
      <c r="A84" s="7"/>
      <c r="B84" s="2" t="n">
        <v>80</v>
      </c>
      <c r="C84" s="11" t="n">
        <v>2143</v>
      </c>
      <c r="D84" s="12" t="n">
        <v>157857</v>
      </c>
      <c r="E84" s="2" t="n">
        <v>2094</v>
      </c>
      <c r="F84" s="13" t="n">
        <v>157906</v>
      </c>
      <c r="G84" s="2" t="n">
        <v>2144</v>
      </c>
      <c r="H84" s="12" t="n">
        <v>157856</v>
      </c>
    </row>
    <row r="85" customFormat="false" ht="15" hidden="false" customHeight="false" outlineLevel="0" collapsed="false">
      <c r="A85" s="7"/>
      <c r="B85" s="2" t="n">
        <v>81</v>
      </c>
      <c r="C85" s="11" t="n">
        <v>2043</v>
      </c>
      <c r="D85" s="12" t="n">
        <v>157957</v>
      </c>
      <c r="E85" s="2" t="n">
        <v>2017</v>
      </c>
      <c r="F85" s="13" t="n">
        <v>157983</v>
      </c>
      <c r="G85" s="2" t="n">
        <v>2045</v>
      </c>
      <c r="H85" s="12" t="n">
        <v>157955</v>
      </c>
    </row>
    <row r="86" customFormat="false" ht="15" hidden="false" customHeight="false" outlineLevel="0" collapsed="false">
      <c r="A86" s="7"/>
      <c r="B86" s="2" t="n">
        <v>82</v>
      </c>
      <c r="C86" s="11" t="n">
        <v>1938</v>
      </c>
      <c r="D86" s="12" t="n">
        <v>158062</v>
      </c>
      <c r="E86" s="2" t="n">
        <v>1925</v>
      </c>
      <c r="F86" s="13" t="n">
        <v>158075</v>
      </c>
      <c r="G86" s="2" t="n">
        <v>1943</v>
      </c>
      <c r="H86" s="12" t="n">
        <v>158057</v>
      </c>
    </row>
    <row r="87" customFormat="false" ht="15" hidden="false" customHeight="false" outlineLevel="0" collapsed="false">
      <c r="A87" s="7"/>
      <c r="B87" s="2" t="n">
        <v>83</v>
      </c>
      <c r="C87" s="11" t="n">
        <v>1836</v>
      </c>
      <c r="D87" s="12" t="n">
        <v>158164</v>
      </c>
      <c r="E87" s="2" t="n">
        <v>1828</v>
      </c>
      <c r="F87" s="13" t="n">
        <v>158172</v>
      </c>
      <c r="G87" s="2" t="n">
        <v>1836</v>
      </c>
      <c r="H87" s="12" t="n">
        <v>158164</v>
      </c>
    </row>
    <row r="88" customFormat="false" ht="15" hidden="false" customHeight="false" outlineLevel="0" collapsed="false">
      <c r="A88" s="7"/>
      <c r="B88" s="2" t="n">
        <v>84</v>
      </c>
      <c r="C88" s="11" t="n">
        <v>1713</v>
      </c>
      <c r="D88" s="12" t="n">
        <v>158287</v>
      </c>
      <c r="E88" s="2" t="n">
        <v>1663</v>
      </c>
      <c r="F88" s="13" t="n">
        <v>158337</v>
      </c>
      <c r="G88" s="2" t="n">
        <v>1713</v>
      </c>
      <c r="H88" s="12" t="n">
        <v>158287</v>
      </c>
    </row>
    <row r="89" customFormat="false" ht="15" hidden="false" customHeight="false" outlineLevel="0" collapsed="false">
      <c r="A89" s="7"/>
      <c r="B89" s="2" t="n">
        <v>85</v>
      </c>
      <c r="C89" s="11" t="n">
        <v>1584</v>
      </c>
      <c r="D89" s="12" t="n">
        <v>158416</v>
      </c>
      <c r="E89" s="2" t="n">
        <v>1560</v>
      </c>
      <c r="F89" s="13" t="n">
        <v>158440</v>
      </c>
      <c r="G89" s="2" t="n">
        <v>1584</v>
      </c>
      <c r="H89" s="12" t="n">
        <v>158416</v>
      </c>
    </row>
    <row r="90" customFormat="false" ht="15" hidden="false" customHeight="false" outlineLevel="0" collapsed="false">
      <c r="A90" s="7"/>
      <c r="B90" s="2" t="n">
        <v>86</v>
      </c>
      <c r="C90" s="11" t="n">
        <v>1455</v>
      </c>
      <c r="D90" s="12" t="n">
        <v>158545</v>
      </c>
      <c r="E90" s="2" t="n">
        <v>1434</v>
      </c>
      <c r="F90" s="13" t="n">
        <v>158566</v>
      </c>
      <c r="G90" s="2" t="n">
        <v>1453</v>
      </c>
      <c r="H90" s="12" t="n">
        <v>158547</v>
      </c>
    </row>
    <row r="91" customFormat="false" ht="15" hidden="false" customHeight="false" outlineLevel="0" collapsed="false">
      <c r="A91" s="7"/>
      <c r="B91" s="2" t="n">
        <v>87</v>
      </c>
      <c r="C91" s="11" t="n">
        <v>1318</v>
      </c>
      <c r="D91" s="12" t="n">
        <v>158682</v>
      </c>
      <c r="E91" s="2" t="n">
        <v>1304</v>
      </c>
      <c r="F91" s="13" t="n">
        <v>158696</v>
      </c>
      <c r="G91" s="2" t="n">
        <v>1318</v>
      </c>
      <c r="H91" s="12" t="n">
        <v>158682</v>
      </c>
    </row>
    <row r="92" customFormat="false" ht="15" hidden="false" customHeight="false" outlineLevel="0" collapsed="false">
      <c r="A92" s="7"/>
      <c r="B92" s="2" t="n">
        <v>88</v>
      </c>
      <c r="C92" s="11" t="n">
        <v>1174</v>
      </c>
      <c r="D92" s="12" t="n">
        <v>158826</v>
      </c>
      <c r="E92" s="2" t="n">
        <v>1161</v>
      </c>
      <c r="F92" s="13" t="n">
        <v>158839</v>
      </c>
      <c r="G92" s="2" t="n">
        <v>1175</v>
      </c>
      <c r="H92" s="12" t="n">
        <v>158825</v>
      </c>
    </row>
    <row r="93" customFormat="false" ht="15" hidden="false" customHeight="false" outlineLevel="0" collapsed="false">
      <c r="A93" s="7"/>
      <c r="B93" s="2" t="n">
        <v>89</v>
      </c>
      <c r="C93" s="11" t="n">
        <v>1024</v>
      </c>
      <c r="D93" s="12" t="n">
        <v>158976</v>
      </c>
      <c r="E93" s="2" t="n">
        <v>1025</v>
      </c>
      <c r="F93" s="13" t="n">
        <v>158975</v>
      </c>
      <c r="G93" s="2" t="n">
        <v>1017</v>
      </c>
      <c r="H93" s="12" t="n">
        <v>158983</v>
      </c>
    </row>
    <row r="94" customFormat="false" ht="15" hidden="false" customHeight="false" outlineLevel="0" collapsed="false">
      <c r="A94" s="7"/>
      <c r="B94" s="2" t="n">
        <v>90</v>
      </c>
      <c r="C94" s="11" t="n">
        <v>869</v>
      </c>
      <c r="D94" s="12" t="n">
        <v>159131</v>
      </c>
      <c r="E94" s="2" t="n">
        <v>865</v>
      </c>
      <c r="F94" s="13" t="n">
        <v>159135</v>
      </c>
      <c r="G94" s="2" t="n">
        <v>871</v>
      </c>
      <c r="H94" s="12" t="n">
        <v>159129</v>
      </c>
    </row>
    <row r="95" customFormat="false" ht="15" hidden="false" customHeight="false" outlineLevel="0" collapsed="false">
      <c r="A95" s="7"/>
      <c r="B95" s="2" t="n">
        <v>91</v>
      </c>
      <c r="C95" s="11" t="n">
        <v>700</v>
      </c>
      <c r="D95" s="12" t="n">
        <v>159300</v>
      </c>
      <c r="E95" s="2" t="n">
        <v>691</v>
      </c>
      <c r="F95" s="13" t="n">
        <v>159309</v>
      </c>
      <c r="G95" s="2" t="n">
        <v>695</v>
      </c>
      <c r="H95" s="12" t="n">
        <v>159305</v>
      </c>
    </row>
    <row r="96" customFormat="false" ht="15" hidden="false" customHeight="false" outlineLevel="0" collapsed="false">
      <c r="A96" s="7"/>
      <c r="B96" s="2" t="n">
        <v>92</v>
      </c>
      <c r="C96" s="11" t="n">
        <v>530</v>
      </c>
      <c r="D96" s="12" t="n">
        <v>159470</v>
      </c>
      <c r="E96" s="2" t="n">
        <v>525</v>
      </c>
      <c r="F96" s="13" t="n">
        <v>159475</v>
      </c>
      <c r="G96" s="2" t="n">
        <v>528</v>
      </c>
      <c r="H96" s="12" t="n">
        <v>159472</v>
      </c>
    </row>
    <row r="97" customFormat="false" ht="15" hidden="false" customHeight="false" outlineLevel="0" collapsed="false">
      <c r="A97" s="7"/>
      <c r="B97" s="2" t="n">
        <v>93</v>
      </c>
      <c r="C97" s="11" t="n">
        <v>351</v>
      </c>
      <c r="D97" s="12" t="n">
        <v>159649</v>
      </c>
      <c r="E97" s="2" t="n">
        <v>338</v>
      </c>
      <c r="F97" s="13" t="n">
        <v>159662</v>
      </c>
      <c r="G97" s="2" t="n">
        <v>350</v>
      </c>
      <c r="H97" s="12" t="n">
        <v>159650</v>
      </c>
    </row>
    <row r="98" customFormat="false" ht="15" hidden="false" customHeight="false" outlineLevel="0" collapsed="false">
      <c r="A98" s="7"/>
      <c r="B98" s="2" t="n">
        <v>94</v>
      </c>
      <c r="C98" s="11" t="n">
        <v>163</v>
      </c>
      <c r="D98" s="12" t="n">
        <v>159837</v>
      </c>
      <c r="E98" s="2" t="n">
        <v>159</v>
      </c>
      <c r="F98" s="13" t="n">
        <v>159841</v>
      </c>
      <c r="G98" s="2" t="n">
        <v>164</v>
      </c>
      <c r="H98" s="12" t="n">
        <v>159836</v>
      </c>
    </row>
    <row r="99" customFormat="false" ht="15" hidden="false" customHeight="false" outlineLevel="0" collapsed="false">
      <c r="A99" s="7"/>
      <c r="B99" s="14" t="s">
        <v>8</v>
      </c>
      <c r="C99" s="15" t="n">
        <f aca="false">SUM(C4:C98)</f>
        <v>177927</v>
      </c>
      <c r="D99" s="16" t="n">
        <f aca="false">SUM(D4:D98)</f>
        <v>15022073</v>
      </c>
      <c r="E99" s="17" t="n">
        <f aca="false">SUM(E4:E98)</f>
        <v>175124</v>
      </c>
      <c r="F99" s="18" t="n">
        <f aca="false">SUM(F4:F98)</f>
        <v>15024876</v>
      </c>
      <c r="G99" s="17" t="n">
        <f aca="false">SUM(G4:G98)</f>
        <v>177947</v>
      </c>
      <c r="H99" s="16" t="n">
        <f aca="false">SUM(H4:H98)</f>
        <v>15022053</v>
      </c>
    </row>
    <row r="100" customFormat="false" ht="15" hidden="false" customHeight="false" outlineLevel="0" collapsed="false">
      <c r="D100" s="1"/>
      <c r="H100" s="1"/>
    </row>
    <row r="101" customFormat="false" ht="15" hidden="false" customHeight="false" outlineLevel="0" collapsed="false">
      <c r="D101" s="1"/>
      <c r="H101" s="1"/>
    </row>
    <row r="102" customFormat="false" ht="15" hidden="false" customHeight="false" outlineLevel="0" collapsed="false">
      <c r="D102" s="1"/>
      <c r="H102" s="1"/>
    </row>
    <row r="103" customFormat="false" ht="15" hidden="false" customHeight="false" outlineLevel="0" collapsed="false">
      <c r="D103" s="1"/>
      <c r="H103" s="1"/>
    </row>
    <row r="104" customFormat="false" ht="15" hidden="false" customHeight="false" outlineLevel="0" collapsed="false">
      <c r="B104" s="3" t="s">
        <v>0</v>
      </c>
      <c r="C104" s="19" t="s">
        <v>9</v>
      </c>
      <c r="D104" s="19"/>
      <c r="E104" s="19"/>
      <c r="F104" s="19"/>
      <c r="G104" s="19"/>
      <c r="H104" s="19"/>
    </row>
    <row r="105" customFormat="false" ht="15" hidden="false" customHeight="false" outlineLevel="0" collapsed="false">
      <c r="B105" s="3"/>
      <c r="C105" s="20" t="s">
        <v>3</v>
      </c>
      <c r="D105" s="20"/>
      <c r="E105" s="20"/>
      <c r="F105" s="21" t="s">
        <v>4</v>
      </c>
      <c r="G105" s="21"/>
      <c r="H105" s="21"/>
    </row>
    <row r="106" customFormat="false" ht="15" hidden="false" customHeight="false" outlineLevel="0" collapsed="false">
      <c r="A106" s="7" t="s">
        <v>10</v>
      </c>
      <c r="B106" s="3"/>
      <c r="C106" s="22" t="str">
        <f aca="false">C3</f>
        <v>#e65c4d</v>
      </c>
      <c r="D106" s="23" t="str">
        <f aca="false">D3</f>
        <v>#ffffff</v>
      </c>
      <c r="E106" s="24"/>
      <c r="F106" s="25" t="str">
        <f aca="false">C3</f>
        <v>#e65c4d</v>
      </c>
      <c r="G106" s="23" t="str">
        <f aca="false">D3</f>
        <v>#ffffff</v>
      </c>
      <c r="H106" s="26"/>
    </row>
    <row r="107" customFormat="false" ht="15" hidden="false" customHeight="false" outlineLevel="0" collapsed="false">
      <c r="A107" s="7"/>
      <c r="B107" s="27" t="n">
        <v>0</v>
      </c>
      <c r="C107" s="28" t="n">
        <f aca="false">(ABS(C4-E4)/C4)*100</f>
        <v>0</v>
      </c>
      <c r="D107" s="29" t="n">
        <f aca="false">(ABS(D4-F4)/D4)*100</f>
        <v>0</v>
      </c>
      <c r="E107" s="24"/>
      <c r="F107" s="28" t="n">
        <f aca="false">(ABS(C4-G4)/C4)*100</f>
        <v>0</v>
      </c>
      <c r="G107" s="29" t="n">
        <f aca="false">(ABS(D4-H4)/D4)*100</f>
        <v>0</v>
      </c>
      <c r="H107" s="26"/>
    </row>
    <row r="108" customFormat="false" ht="15" hidden="false" customHeight="false" outlineLevel="0" collapsed="false">
      <c r="A108" s="7"/>
      <c r="B108" s="27" t="n">
        <v>1</v>
      </c>
      <c r="C108" s="28" t="n">
        <f aca="false">(ABS(C5-E5)/C5)*100</f>
        <v>6.08695652173913</v>
      </c>
      <c r="D108" s="29" t="n">
        <f aca="false">(ABS(D5-F5)/D5)*100</f>
        <v>0.013153361936676</v>
      </c>
      <c r="E108" s="24"/>
      <c r="F108" s="28" t="n">
        <f aca="false">(ABS(C5-G5)/C5)*100</f>
        <v>0.289855072463768</v>
      </c>
      <c r="G108" s="29" t="n">
        <f aca="false">(ABS(D5-H5)/D5)*100</f>
        <v>0.000626350568413141</v>
      </c>
      <c r="H108" s="26"/>
    </row>
    <row r="109" customFormat="false" ht="15" hidden="false" customHeight="false" outlineLevel="0" collapsed="false">
      <c r="A109" s="7"/>
      <c r="B109" s="27" t="n">
        <v>2</v>
      </c>
      <c r="C109" s="28" t="n">
        <f aca="false">(ABS(C6-E6)/C6)*100</f>
        <v>2.05223880597015</v>
      </c>
      <c r="D109" s="29" t="n">
        <f aca="false">(ABS(D6-F6)/D6)*100</f>
        <v>0.00689810866402448</v>
      </c>
      <c r="E109" s="24"/>
      <c r="F109" s="28" t="n">
        <f aca="false">(ABS(C6-G6)/C6)*100</f>
        <v>0</v>
      </c>
      <c r="G109" s="29" t="n">
        <f aca="false">(ABS(D6-H6)/D6)*100</f>
        <v>0</v>
      </c>
      <c r="H109" s="26"/>
    </row>
    <row r="110" customFormat="false" ht="15" hidden="false" customHeight="false" outlineLevel="0" collapsed="false">
      <c r="A110" s="7"/>
      <c r="B110" s="27" t="n">
        <v>3</v>
      </c>
      <c r="C110" s="28" t="n">
        <f aca="false">(ABS(C7-E7)/C7)*100</f>
        <v>2.58992805755396</v>
      </c>
      <c r="D110" s="29" t="n">
        <f aca="false">(ABS(D7-F7)/D7)*100</f>
        <v>0.0112990803804024</v>
      </c>
      <c r="E110" s="24"/>
      <c r="F110" s="28" t="n">
        <f aca="false">(ABS(C7-G7)/C7)*100</f>
        <v>0</v>
      </c>
      <c r="G110" s="29" t="n">
        <f aca="false">(ABS(D7-H7)/D7)*100</f>
        <v>0</v>
      </c>
      <c r="H110" s="26"/>
    </row>
    <row r="111" customFormat="false" ht="15" hidden="false" customHeight="false" outlineLevel="0" collapsed="false">
      <c r="A111" s="7"/>
      <c r="B111" s="27" t="n">
        <v>4</v>
      </c>
      <c r="C111" s="28" t="n">
        <f aca="false">(ABS(C8-E8)/C8)*100</f>
        <v>4.14746543778802</v>
      </c>
      <c r="D111" s="29" t="n">
        <f aca="false">(ABS(D8-F8)/D8)*100</f>
        <v>0.0226227283010331</v>
      </c>
      <c r="E111" s="24"/>
      <c r="F111" s="28" t="n">
        <f aca="false">(ABS(C8-G8)/C8)*100</f>
        <v>0.115207373271889</v>
      </c>
      <c r="G111" s="29" t="n">
        <f aca="false">(ABS(D8-H8)/D8)*100</f>
        <v>0.000628409119473142</v>
      </c>
      <c r="H111" s="26"/>
    </row>
    <row r="112" customFormat="false" ht="15" hidden="false" customHeight="false" outlineLevel="0" collapsed="false">
      <c r="A112" s="7"/>
      <c r="B112" s="27" t="n">
        <v>5</v>
      </c>
      <c r="C112" s="28" t="n">
        <f aca="false">(ABS(C9-E9)/C9)*100</f>
        <v>3.51219512195122</v>
      </c>
      <c r="D112" s="29" t="n">
        <f aca="false">(ABS(D9-F9)/D9)*100</f>
        <v>0.0226450699795565</v>
      </c>
      <c r="E112" s="24"/>
      <c r="F112" s="28" t="n">
        <f aca="false">(ABS(C9-G9)/C9)*100</f>
        <v>0.292682926829268</v>
      </c>
      <c r="G112" s="29" t="n">
        <f aca="false">(ABS(D9-H9)/D9)*100</f>
        <v>0.00188708916496304</v>
      </c>
      <c r="H112" s="26"/>
    </row>
    <row r="113" customFormat="false" ht="15" hidden="false" customHeight="false" outlineLevel="0" collapsed="false">
      <c r="A113" s="7"/>
      <c r="B113" s="27" t="n">
        <v>6</v>
      </c>
      <c r="C113" s="28" t="n">
        <f aca="false">(ABS(C10-E10)/C10)*100</f>
        <v>1.70357751277683</v>
      </c>
      <c r="D113" s="29" t="n">
        <f aca="false">(ABS(D10-F10)/D10)*100</f>
        <v>0.012592396710866</v>
      </c>
      <c r="E113" s="24"/>
      <c r="F113" s="28" t="n">
        <f aca="false">(ABS(C10-G10)/C10)*100</f>
        <v>0.511073253833049</v>
      </c>
      <c r="G113" s="29" t="n">
        <f aca="false">(ABS(D10-H10)/D10)*100</f>
        <v>0.00377771901325979</v>
      </c>
      <c r="H113" s="26"/>
    </row>
    <row r="114" customFormat="false" ht="15" hidden="false" customHeight="false" outlineLevel="0" collapsed="false">
      <c r="A114" s="7"/>
      <c r="B114" s="27" t="n">
        <v>7</v>
      </c>
      <c r="C114" s="28" t="n">
        <f aca="false">(ABS(C11-E11)/C11)*100</f>
        <v>0.984848484848485</v>
      </c>
      <c r="D114" s="29" t="n">
        <f aca="false">(ABS(D11-F11)/D11)*100</f>
        <v>0.00819258885807915</v>
      </c>
      <c r="E114" s="24"/>
      <c r="F114" s="28" t="n">
        <f aca="false">(ABS(C11-G11)/C11)*100</f>
        <v>0.151515151515152</v>
      </c>
      <c r="G114" s="29" t="n">
        <f aca="false">(ABS(D11-H11)/D11)*100</f>
        <v>0.00126039828585833</v>
      </c>
      <c r="H114" s="26"/>
    </row>
    <row r="115" customFormat="false" ht="15" hidden="false" customHeight="false" outlineLevel="0" collapsed="false">
      <c r="A115" s="7"/>
      <c r="B115" s="27" t="n">
        <v>8</v>
      </c>
      <c r="C115" s="28" t="n">
        <f aca="false">(ABS(C12-E12)/C12)*100</f>
        <v>1.78204249485949</v>
      </c>
      <c r="D115" s="29" t="n">
        <f aca="false">(ABS(D12-F12)/D12)*100</f>
        <v>0.0163995433357933</v>
      </c>
      <c r="E115" s="24"/>
      <c r="F115" s="28" t="n">
        <f aca="false">(ABS(C12-G12)/C12)*100</f>
        <v>0.0685400959561344</v>
      </c>
      <c r="G115" s="29" t="n">
        <f aca="false">(ABS(D12-H12)/D12)*100</f>
        <v>0.00063075166676128</v>
      </c>
      <c r="H115" s="26"/>
    </row>
    <row r="116" customFormat="false" ht="15" hidden="false" customHeight="false" outlineLevel="0" collapsed="false">
      <c r="A116" s="7"/>
      <c r="B116" s="27" t="n">
        <v>9</v>
      </c>
      <c r="C116" s="28" t="n">
        <f aca="false">(ABS(C13-E13)/C13)*100</f>
        <v>1.70347003154574</v>
      </c>
      <c r="D116" s="29" t="n">
        <f aca="false">(ABS(D13-F13)/D13)*100</f>
        <v>0.0170438405454029</v>
      </c>
      <c r="E116" s="24"/>
      <c r="F116" s="28" t="n">
        <f aca="false">(ABS(C13-G13)/C13)*100</f>
        <v>0.126182965299685</v>
      </c>
      <c r="G116" s="29" t="n">
        <f aca="false">(ABS(D13-H13)/D13)*100</f>
        <v>0.00126250670706688</v>
      </c>
      <c r="H116" s="26"/>
    </row>
    <row r="117" customFormat="false" ht="15" hidden="false" customHeight="false" outlineLevel="0" collapsed="false">
      <c r="A117" s="7"/>
      <c r="B117" s="27" t="n">
        <v>10</v>
      </c>
      <c r="C117" s="28" t="n">
        <f aca="false">(ABS(C14-E14)/C14)*100</f>
        <v>3.45231129315389</v>
      </c>
      <c r="D117" s="29" t="n">
        <f aca="false">(ABS(D14-F14)/D14)*100</f>
        <v>0.0372731235509284</v>
      </c>
      <c r="E117" s="24"/>
      <c r="F117" s="28" t="n">
        <f aca="false">(ABS(C14-G14)/C14)*100</f>
        <v>0</v>
      </c>
      <c r="G117" s="29" t="n">
        <f aca="false">(ABS(D14-H14)/D14)*100</f>
        <v>0</v>
      </c>
      <c r="H117" s="26"/>
    </row>
    <row r="118" customFormat="false" ht="15" hidden="false" customHeight="false" outlineLevel="0" collapsed="false">
      <c r="A118" s="7"/>
      <c r="B118" s="27" t="n">
        <v>11</v>
      </c>
      <c r="C118" s="28" t="n">
        <f aca="false">(ABS(C15-E15)/C15)*100</f>
        <v>1.58210583742499</v>
      </c>
      <c r="D118" s="29" t="n">
        <f aca="false">(ABS(D15-F15)/D15)*100</f>
        <v>0.0183350509271846</v>
      </c>
      <c r="E118" s="24"/>
      <c r="F118" s="28" t="n">
        <f aca="false">(ABS(C15-G15)/C15)*100</f>
        <v>0.10911074740862</v>
      </c>
      <c r="G118" s="29" t="n">
        <f aca="false">(ABS(D15-H15)/D15)*100</f>
        <v>0.00126448627084031</v>
      </c>
      <c r="H118" s="26"/>
    </row>
    <row r="119" customFormat="false" ht="15" hidden="false" customHeight="false" outlineLevel="0" collapsed="false">
      <c r="A119" s="7"/>
      <c r="B119" s="27" t="n">
        <v>12</v>
      </c>
      <c r="C119" s="28" t="n">
        <f aca="false">(ABS(C16-E16)/C16)*100</f>
        <v>1.69840452907874</v>
      </c>
      <c r="D119" s="29" t="n">
        <f aca="false">(ABS(D16-F16)/D16)*100</f>
        <v>0.0208785438164713</v>
      </c>
      <c r="E119" s="24"/>
      <c r="F119" s="28" t="n">
        <f aca="false">(ABS(C16-G16)/C16)*100</f>
        <v>0.0514668039114771</v>
      </c>
      <c r="G119" s="29" t="n">
        <f aca="false">(ABS(D16-H16)/D16)*100</f>
        <v>0.000632683145953675</v>
      </c>
      <c r="H119" s="26"/>
    </row>
    <row r="120" customFormat="false" ht="15" hidden="false" customHeight="false" outlineLevel="0" collapsed="false">
      <c r="A120" s="7"/>
      <c r="B120" s="27" t="n">
        <v>13</v>
      </c>
      <c r="C120" s="28" t="n">
        <f aca="false">(ABS(C17-E17)/C17)*100</f>
        <v>1.95503421309873</v>
      </c>
      <c r="D120" s="29" t="n">
        <f aca="false">(ABS(D17-F17)/D17)*100</f>
        <v>0.025323828456386</v>
      </c>
      <c r="E120" s="24"/>
      <c r="F120" s="28" t="n">
        <f aca="false">(ABS(C17-G17)/C17)*100</f>
        <v>0</v>
      </c>
      <c r="G120" s="29" t="n">
        <f aca="false">(ABS(D17-H17)/D17)*100</f>
        <v>0</v>
      </c>
      <c r="H120" s="26"/>
    </row>
    <row r="121" customFormat="false" ht="15" hidden="false" customHeight="false" outlineLevel="0" collapsed="false">
      <c r="A121" s="7"/>
      <c r="B121" s="27" t="n">
        <v>14</v>
      </c>
      <c r="C121" s="28" t="n">
        <f aca="false">(ABS(C18-E18)/C18)*100</f>
        <v>1.30841121495327</v>
      </c>
      <c r="D121" s="29" t="n">
        <f aca="false">(ABS(D18-F18)/D18)*100</f>
        <v>0.0177372355251489</v>
      </c>
      <c r="E121" s="24"/>
      <c r="F121" s="28" t="n">
        <f aca="false">(ABS(C18-G18)/C18)*100</f>
        <v>0.0467289719626168</v>
      </c>
      <c r="G121" s="29" t="n">
        <f aca="false">(ABS(D18-H18)/D18)*100</f>
        <v>0.000633472697326745</v>
      </c>
      <c r="H121" s="26"/>
    </row>
    <row r="122" customFormat="false" ht="15" hidden="false" customHeight="false" outlineLevel="0" collapsed="false">
      <c r="A122" s="7"/>
      <c r="B122" s="27" t="n">
        <v>15</v>
      </c>
      <c r="C122" s="28" t="n">
        <f aca="false">(ABS(C19-E19)/C19)*100</f>
        <v>1.26069338135975</v>
      </c>
      <c r="D122" s="29" t="n">
        <f aca="false">(ABS(D19-F19)/D19)*100</f>
        <v>0.0177463414015807</v>
      </c>
      <c r="E122" s="24"/>
      <c r="F122" s="28" t="n">
        <f aca="false">(ABS(C19-G19)/C19)*100</f>
        <v>0.360198108959928</v>
      </c>
      <c r="G122" s="29" t="n">
        <f aca="false">(ABS(D19-H19)/D19)*100</f>
        <v>0.00507038325759448</v>
      </c>
      <c r="H122" s="26"/>
    </row>
    <row r="123" customFormat="false" ht="15" hidden="false" customHeight="false" outlineLevel="0" collapsed="false">
      <c r="A123" s="7"/>
      <c r="B123" s="27" t="n">
        <v>16</v>
      </c>
      <c r="C123" s="28" t="n">
        <f aca="false">(ABS(C20-E20)/C20)*100</f>
        <v>1.95822454308094</v>
      </c>
      <c r="D123" s="29" t="n">
        <f aca="false">(ABS(D20-F20)/D20)*100</f>
        <v>0.0285348315176726</v>
      </c>
      <c r="E123" s="24"/>
      <c r="F123" s="28" t="n">
        <f aca="false">(ABS(C20-G20)/C20)*100</f>
        <v>0.174064403829417</v>
      </c>
      <c r="G123" s="29" t="n">
        <f aca="false">(ABS(D20-H20)/D20)*100</f>
        <v>0.00253642946823756</v>
      </c>
      <c r="H123" s="26"/>
    </row>
    <row r="124" customFormat="false" ht="15" hidden="false" customHeight="false" outlineLevel="0" collapsed="false">
      <c r="A124" s="7"/>
      <c r="B124" s="27" t="n">
        <v>17</v>
      </c>
      <c r="C124" s="28" t="n">
        <f aca="false">(ABS(C21-E21)/C21)*100</f>
        <v>0.252951096121417</v>
      </c>
      <c r="D124" s="29" t="n">
        <f aca="false">(ABS(D21-F21)/D21)*100</f>
        <v>0.00380643032963687</v>
      </c>
      <c r="E124" s="24"/>
      <c r="F124" s="28" t="n">
        <f aca="false">(ABS(C21-G21)/C21)*100</f>
        <v>0.252951096121417</v>
      </c>
      <c r="G124" s="29" t="n">
        <f aca="false">(ABS(D21-H21)/D21)*100</f>
        <v>0.00380643032963687</v>
      </c>
      <c r="H124" s="26"/>
    </row>
    <row r="125" customFormat="false" ht="15" hidden="false" customHeight="false" outlineLevel="0" collapsed="false">
      <c r="A125" s="7"/>
      <c r="B125" s="27" t="n">
        <v>18</v>
      </c>
      <c r="C125" s="28" t="n">
        <f aca="false">(ABS(C22-E22)/C22)*100</f>
        <v>1.10837438423645</v>
      </c>
      <c r="D125" s="29" t="n">
        <f aca="false">(ABS(D22-F22)/D22)*100</f>
        <v>0.0171358939859359</v>
      </c>
      <c r="E125" s="24"/>
      <c r="F125" s="28" t="n">
        <f aca="false">(ABS(C22-G22)/C22)*100</f>
        <v>0.0410509031198686</v>
      </c>
      <c r="G125" s="29" t="n">
        <f aca="false">(ABS(D22-H22)/D22)*100</f>
        <v>0.000634662740219847</v>
      </c>
      <c r="H125" s="26"/>
    </row>
    <row r="126" customFormat="false" ht="15" hidden="false" customHeight="false" outlineLevel="0" collapsed="false">
      <c r="A126" s="7"/>
      <c r="B126" s="27" t="n">
        <v>19</v>
      </c>
      <c r="C126" s="28" t="n">
        <f aca="false">(ABS(C23-E23)/C23)*100</f>
        <v>2.16606498194946</v>
      </c>
      <c r="D126" s="29" t="n">
        <f aca="false">(ABS(D23-F23)/D23)*100</f>
        <v>0.0342841905439123</v>
      </c>
      <c r="E126" s="24"/>
      <c r="F126" s="28" t="n">
        <f aca="false">(ABS(C23-G23)/C23)*100</f>
        <v>0.160449257922182</v>
      </c>
      <c r="G126" s="29" t="n">
        <f aca="false">(ABS(D23-H23)/D23)*100</f>
        <v>0.00253956966991943</v>
      </c>
      <c r="H126" s="26"/>
    </row>
    <row r="127" customFormat="false" ht="15" hidden="false" customHeight="false" outlineLevel="0" collapsed="false">
      <c r="A127" s="7"/>
      <c r="B127" s="27" t="n">
        <v>20</v>
      </c>
      <c r="C127" s="28" t="n">
        <f aca="false">(ABS(C24-E24)/C24)*100</f>
        <v>0.947867298578199</v>
      </c>
      <c r="D127" s="29" t="n">
        <f aca="false">(ABS(D24-F24)/D24)*100</f>
        <v>0.0152411918612035</v>
      </c>
      <c r="E127" s="24"/>
      <c r="F127" s="28" t="n">
        <f aca="false">(ABS(C24-G24)/C24)*100</f>
        <v>0.276461295418641</v>
      </c>
      <c r="G127" s="29" t="n">
        <f aca="false">(ABS(D24-H24)/D24)*100</f>
        <v>0.00444534762618437</v>
      </c>
      <c r="H127" s="26"/>
    </row>
    <row r="128" customFormat="false" ht="15" hidden="false" customHeight="false" outlineLevel="0" collapsed="false">
      <c r="A128" s="7"/>
      <c r="B128" s="27" t="n">
        <v>21</v>
      </c>
      <c r="C128" s="28" t="n">
        <f aca="false">(ABS(C25-E25)/C25)*100</f>
        <v>1.12884390813546</v>
      </c>
      <c r="D128" s="29" t="n">
        <f aca="false">(ABS(D25-F25)/D25)*100</f>
        <v>0.0184207684636444</v>
      </c>
      <c r="E128" s="24"/>
      <c r="F128" s="28" t="n">
        <f aca="false">(ABS(C25-G25)/C25)*100</f>
        <v>0.0389256520046711</v>
      </c>
      <c r="G128" s="29" t="n">
        <f aca="false">(ABS(D25-H25)/D25)*100</f>
        <v>0.000635198912539462</v>
      </c>
      <c r="H128" s="26"/>
    </row>
    <row r="129" customFormat="false" ht="15" hidden="false" customHeight="false" outlineLevel="0" collapsed="false">
      <c r="A129" s="7"/>
      <c r="B129" s="27" t="n">
        <v>22</v>
      </c>
      <c r="C129" s="28" t="n">
        <f aca="false">(ABS(C26-E26)/C26)*100</f>
        <v>2.03689469638739</v>
      </c>
      <c r="D129" s="29" t="n">
        <f aca="false">(ABS(D26-F26)/D26)*100</f>
        <v>0.0336726006683694</v>
      </c>
      <c r="E129" s="24"/>
      <c r="F129" s="28" t="n">
        <f aca="false">(ABS(C26-G26)/C26)*100</f>
        <v>0.0768639508070715</v>
      </c>
      <c r="G129" s="29" t="n">
        <f aca="false">(ABS(D26-H26)/D26)*100</f>
        <v>0.00127066417616488</v>
      </c>
      <c r="H129" s="26"/>
    </row>
    <row r="130" customFormat="false" ht="15" hidden="false" customHeight="false" outlineLevel="0" collapsed="false">
      <c r="A130" s="7"/>
      <c r="B130" s="27" t="n">
        <v>23</v>
      </c>
      <c r="C130" s="28" t="n">
        <f aca="false">(ABS(C27-E27)/C27)*100</f>
        <v>1.18819471061709</v>
      </c>
      <c r="D130" s="29" t="n">
        <f aca="false">(ABS(D27-F27)/D27)*100</f>
        <v>0.019696170683203</v>
      </c>
      <c r="E130" s="24"/>
      <c r="F130" s="28" t="n">
        <f aca="false">(ABS(C27-G27)/C27)*100</f>
        <v>0.0383288616328095</v>
      </c>
      <c r="G130" s="29" t="n">
        <f aca="false">(ABS(D27-H27)/D27)*100</f>
        <v>0.000635360344619451</v>
      </c>
      <c r="H130" s="26"/>
    </row>
    <row r="131" customFormat="false" ht="15" hidden="false" customHeight="false" outlineLevel="0" collapsed="false">
      <c r="A131" s="7"/>
      <c r="B131" s="27" t="n">
        <v>24</v>
      </c>
      <c r="C131" s="28" t="n">
        <f aca="false">(ABS(C28-E28)/C28)*100</f>
        <v>1.71690194582221</v>
      </c>
      <c r="D131" s="29" t="n">
        <f aca="false">(ABS(D28-F28)/D28)*100</f>
        <v>0.0285933955610342</v>
      </c>
      <c r="E131" s="24"/>
      <c r="F131" s="28" t="n">
        <f aca="false">(ABS(C28-G28)/C28)*100</f>
        <v>0.11446012972148</v>
      </c>
      <c r="G131" s="29" t="n">
        <f aca="false">(ABS(D28-H28)/D28)*100</f>
        <v>0.00190622637073561</v>
      </c>
      <c r="H131" s="26"/>
    </row>
    <row r="132" customFormat="false" ht="15" hidden="false" customHeight="false" outlineLevel="0" collapsed="false">
      <c r="A132" s="7"/>
      <c r="B132" s="27" t="n">
        <v>25</v>
      </c>
      <c r="C132" s="28" t="n">
        <f aca="false">(ABS(C29-E29)/C29)*100</f>
        <v>0.993504012227742</v>
      </c>
      <c r="D132" s="29" t="n">
        <f aca="false">(ABS(D29-F29)/D29)*100</f>
        <v>0.0165202086629433</v>
      </c>
      <c r="E132" s="24"/>
      <c r="F132" s="28" t="n">
        <f aca="false">(ABS(C29-G29)/C29)*100</f>
        <v>0.0764233855559801</v>
      </c>
      <c r="G132" s="29" t="n">
        <f aca="false">(ABS(D29-H29)/D29)*100</f>
        <v>0.00127078528176487</v>
      </c>
      <c r="H132" s="26"/>
    </row>
    <row r="133" customFormat="false" ht="15" hidden="false" customHeight="false" outlineLevel="0" collapsed="false">
      <c r="A133" s="7"/>
      <c r="B133" s="27" t="n">
        <v>26</v>
      </c>
      <c r="C133" s="28" t="n">
        <f aca="false">(ABS(C30-E30)/C30)*100</f>
        <v>1.08108108108108</v>
      </c>
      <c r="D133" s="29" t="n">
        <f aca="false">(ABS(D30-F30)/D30)*100</f>
        <v>0.0177879423162442</v>
      </c>
      <c r="E133" s="24"/>
      <c r="F133" s="28" t="n">
        <f aca="false">(ABS(C30-G30)/C30)*100</f>
        <v>0</v>
      </c>
      <c r="G133" s="29" t="n">
        <f aca="false">(ABS(D30-H30)/D30)*100</f>
        <v>0</v>
      </c>
      <c r="H133" s="26"/>
    </row>
    <row r="134" customFormat="false" ht="15" hidden="false" customHeight="false" outlineLevel="0" collapsed="false">
      <c r="A134" s="7"/>
      <c r="B134" s="27" t="n">
        <v>27</v>
      </c>
      <c r="C134" s="28" t="n">
        <f aca="false">(ABS(C31-E31)/C31)*100</f>
        <v>2.32374950768019</v>
      </c>
      <c r="D134" s="29" t="n">
        <f aca="false">(ABS(D31-F31)/D31)*100</f>
        <v>0.037469595645906</v>
      </c>
      <c r="E134" s="24"/>
      <c r="F134" s="28" t="n">
        <f aca="false">(ABS(C31-G31)/C31)*100</f>
        <v>0.236313509255612</v>
      </c>
      <c r="G134" s="29" t="n">
        <f aca="false">(ABS(D31-H31)/D31)*100</f>
        <v>0.00381046735382095</v>
      </c>
      <c r="H134" s="26"/>
    </row>
    <row r="135" customFormat="false" ht="15" hidden="false" customHeight="false" outlineLevel="0" collapsed="false">
      <c r="A135" s="7"/>
      <c r="B135" s="27" t="n">
        <v>28</v>
      </c>
      <c r="C135" s="28" t="n">
        <f aca="false">(ABS(C32-E32)/C32)*100</f>
        <v>2.38287560581583</v>
      </c>
      <c r="D135" s="29" t="n">
        <f aca="false">(ABS(D32-F32)/D32)*100</f>
        <v>0.0374546100911607</v>
      </c>
      <c r="E135" s="24"/>
      <c r="F135" s="28" t="n">
        <f aca="false">(ABS(C32-G32)/C32)*100</f>
        <v>0.0807754442649435</v>
      </c>
      <c r="G135" s="29" t="n">
        <f aca="false">(ABS(D32-H32)/D32)*100</f>
        <v>0.00126964779970036</v>
      </c>
      <c r="H135" s="26"/>
    </row>
    <row r="136" customFormat="false" ht="15" hidden="false" customHeight="false" outlineLevel="0" collapsed="false">
      <c r="A136" s="7"/>
      <c r="B136" s="27" t="n">
        <v>29</v>
      </c>
      <c r="C136" s="28" t="n">
        <f aca="false">(ABS(C33-E33)/C33)*100</f>
        <v>2.1656050955414</v>
      </c>
      <c r="D136" s="29" t="n">
        <f aca="false">(ABS(D33-F33)/D33)*100</f>
        <v>0.0323511687652637</v>
      </c>
      <c r="E136" s="24"/>
      <c r="F136" s="28" t="n">
        <f aca="false">(ABS(C33-G33)/C33)*100</f>
        <v>0.0849256900212314</v>
      </c>
      <c r="G136" s="29" t="n">
        <f aca="false">(ABS(D33-H33)/D33)*100</f>
        <v>0.0012686732849123</v>
      </c>
      <c r="H136" s="26"/>
    </row>
    <row r="137" customFormat="false" ht="15" hidden="false" customHeight="false" outlineLevel="0" collapsed="false">
      <c r="A137" s="7"/>
      <c r="B137" s="27" t="n">
        <v>30</v>
      </c>
      <c r="C137" s="28" t="n">
        <f aca="false">(ABS(C34-E34)/C34)*100</f>
        <v>1.36549840691853</v>
      </c>
      <c r="D137" s="29" t="n">
        <f aca="false">(ABS(D34-F34)/D34)*100</f>
        <v>0.0190110454173875</v>
      </c>
      <c r="E137" s="24"/>
      <c r="F137" s="28" t="n">
        <f aca="false">(ABS(C34-G34)/C34)*100</f>
        <v>0.0455166135639508</v>
      </c>
      <c r="G137" s="29" t="n">
        <f aca="false">(ABS(D34-H34)/D34)*100</f>
        <v>0.000633701513912917</v>
      </c>
      <c r="H137" s="26"/>
    </row>
    <row r="138" customFormat="false" ht="15" hidden="false" customHeight="false" outlineLevel="0" collapsed="false">
      <c r="A138" s="7"/>
      <c r="B138" s="27" t="n">
        <v>31</v>
      </c>
      <c r="C138" s="28" t="n">
        <f aca="false">(ABS(C35-E35)/C35)*100</f>
        <v>1.85097294731846</v>
      </c>
      <c r="D138" s="29" t="n">
        <f aca="false">(ABS(D35-F35)/D35)*100</f>
        <v>0.0247002717029887</v>
      </c>
      <c r="E138" s="24"/>
      <c r="F138" s="28" t="n">
        <f aca="false">(ABS(C35-G35)/C35)*100</f>
        <v>0</v>
      </c>
      <c r="G138" s="29" t="n">
        <f aca="false">(ABS(D35-H35)/D35)*100</f>
        <v>0</v>
      </c>
      <c r="H138" s="26"/>
    </row>
    <row r="139" customFormat="false" ht="15" hidden="false" customHeight="false" outlineLevel="0" collapsed="false">
      <c r="A139" s="7"/>
      <c r="B139" s="27" t="n">
        <v>32</v>
      </c>
      <c r="C139" s="28" t="n">
        <f aca="false">(ABS(C36-E36)/C36)*100</f>
        <v>1.07369448511469</v>
      </c>
      <c r="D139" s="29" t="n">
        <f aca="false">(ABS(D36-F36)/D36)*100</f>
        <v>0.0139283701907554</v>
      </c>
      <c r="E139" s="24"/>
      <c r="F139" s="28" t="n">
        <f aca="false">(ABS(C36-G36)/C36)*100</f>
        <v>0.0488042947779405</v>
      </c>
      <c r="G139" s="29" t="n">
        <f aca="false">(ABS(D36-H36)/D36)*100</f>
        <v>0.000633107735943426</v>
      </c>
      <c r="H139" s="26"/>
    </row>
    <row r="140" customFormat="false" ht="15" hidden="false" customHeight="false" outlineLevel="0" collapsed="false">
      <c r="A140" s="7"/>
      <c r="B140" s="27" t="n">
        <v>33</v>
      </c>
      <c r="C140" s="28" t="n">
        <f aca="false">(ABS(C37-E37)/C37)*100</f>
        <v>2.11267605633803</v>
      </c>
      <c r="D140" s="29" t="n">
        <f aca="false">(ABS(D37-F37)/D37)*100</f>
        <v>0.0265802597271093</v>
      </c>
      <c r="E140" s="24"/>
      <c r="F140" s="28" t="n">
        <f aca="false">(ABS(C37-G37)/C37)*100</f>
        <v>0.0503018108651912</v>
      </c>
      <c r="G140" s="29" t="n">
        <f aca="false">(ABS(D37-H37)/D37)*100</f>
        <v>0.000632863326835937</v>
      </c>
      <c r="H140" s="26"/>
    </row>
    <row r="141" customFormat="false" ht="15" hidden="false" customHeight="false" outlineLevel="0" collapsed="false">
      <c r="A141" s="7"/>
      <c r="B141" s="27" t="n">
        <v>34</v>
      </c>
      <c r="C141" s="28" t="n">
        <f aca="false">(ABS(C38-E38)/C38)*100</f>
        <v>1.74180327868852</v>
      </c>
      <c r="D141" s="29" t="n">
        <f aca="false">(ABS(D38-F38)/D38)*100</f>
        <v>0.0215124519133428</v>
      </c>
      <c r="E141" s="24"/>
      <c r="F141" s="28" t="n">
        <f aca="false">(ABS(C38-G38)/C38)*100</f>
        <v>0.0512295081967213</v>
      </c>
      <c r="G141" s="29" t="n">
        <f aca="false">(ABS(D38-H38)/D38)*100</f>
        <v>0.000632719173921846</v>
      </c>
      <c r="H141" s="26"/>
    </row>
    <row r="142" customFormat="false" ht="15" hidden="false" customHeight="false" outlineLevel="0" collapsed="false">
      <c r="A142" s="7"/>
      <c r="B142" s="27" t="n">
        <v>35</v>
      </c>
      <c r="C142" s="28" t="n">
        <f aca="false">(ABS(C39-E39)/C39)*100</f>
        <v>0.997375328083989</v>
      </c>
      <c r="D142" s="29" t="n">
        <f aca="false">(ABS(D39-F39)/D39)*100</f>
        <v>0.0120180903886903</v>
      </c>
      <c r="E142" s="24"/>
      <c r="F142" s="28" t="n">
        <f aca="false">(ABS(C39-G39)/C39)*100</f>
        <v>0</v>
      </c>
      <c r="G142" s="29" t="n">
        <f aca="false">(ABS(D39-H39)/D39)*100</f>
        <v>0</v>
      </c>
      <c r="H142" s="26"/>
    </row>
    <row r="143" customFormat="false" ht="15" hidden="false" customHeight="false" outlineLevel="0" collapsed="false">
      <c r="A143" s="7"/>
      <c r="B143" s="27" t="n">
        <v>36</v>
      </c>
      <c r="C143" s="28" t="n">
        <f aca="false">(ABS(C40-E40)/C40)*100</f>
        <v>0.796178343949045</v>
      </c>
      <c r="D143" s="29" t="n">
        <f aca="false">(ABS(D40-F40)/D40)*100</f>
        <v>0.00948670596271092</v>
      </c>
      <c r="E143" s="24"/>
      <c r="F143" s="28" t="n">
        <f aca="false">(ABS(C40-G40)/C40)*100</f>
        <v>0.212314225053079</v>
      </c>
      <c r="G143" s="29" t="n">
        <f aca="false">(ABS(D40-H40)/D40)*100</f>
        <v>0.00252978825672291</v>
      </c>
      <c r="H143" s="26"/>
    </row>
    <row r="144" customFormat="false" ht="15" hidden="false" customHeight="false" outlineLevel="0" collapsed="false">
      <c r="A144" s="7"/>
      <c r="B144" s="27" t="n">
        <v>37</v>
      </c>
      <c r="C144" s="28" t="n">
        <f aca="false">(ABS(C41-E41)/C41)*100</f>
        <v>1.83684494867639</v>
      </c>
      <c r="D144" s="29" t="n">
        <f aca="false">(ABS(D41-F41)/D41)*100</f>
        <v>0.0214987132387812</v>
      </c>
      <c r="E144" s="24"/>
      <c r="F144" s="28" t="n">
        <f aca="false">(ABS(C41-G41)/C41)*100</f>
        <v>0.108049702863317</v>
      </c>
      <c r="G144" s="29" t="n">
        <f aca="false">(ABS(D41-H41)/D41)*100</f>
        <v>0.00126463019051654</v>
      </c>
      <c r="H144" s="26"/>
    </row>
    <row r="145" customFormat="false" ht="15" hidden="false" customHeight="false" outlineLevel="0" collapsed="false">
      <c r="A145" s="7"/>
      <c r="B145" s="27" t="n">
        <v>38</v>
      </c>
      <c r="C145" s="28" t="n">
        <f aca="false">(ABS(C42-E42)/C42)*100</f>
        <v>1.96936542669584</v>
      </c>
      <c r="D145" s="29" t="n">
        <f aca="false">(ABS(D42-F42)/D42)*100</f>
        <v>0.0227600333813823</v>
      </c>
      <c r="E145" s="24"/>
      <c r="F145" s="28" t="n">
        <f aca="false">(ABS(C42-G42)/C42)*100</f>
        <v>0.164113785557987</v>
      </c>
      <c r="G145" s="29" t="n">
        <f aca="false">(ABS(D42-H42)/D42)*100</f>
        <v>0.00189666944844852</v>
      </c>
      <c r="H145" s="26"/>
    </row>
    <row r="146" customFormat="false" ht="15" hidden="false" customHeight="false" outlineLevel="0" collapsed="false">
      <c r="A146" s="7"/>
      <c r="B146" s="27" t="n">
        <v>39</v>
      </c>
      <c r="C146" s="28" t="n">
        <f aca="false">(ABS(C43-E43)/C43)*100</f>
        <v>1.38045278851463</v>
      </c>
      <c r="D146" s="29" t="n">
        <f aca="false">(ABS(D43-F43)/D43)*100</f>
        <v>0.015803880168659</v>
      </c>
      <c r="E146" s="24"/>
      <c r="F146" s="28" t="n">
        <f aca="false">(ABS(C43-G43)/C43)*100</f>
        <v>0.276090557702927</v>
      </c>
      <c r="G146" s="29" t="n">
        <f aca="false">(ABS(D43-H43)/D43)*100</f>
        <v>0.0031607760337318</v>
      </c>
      <c r="H146" s="26"/>
    </row>
    <row r="147" customFormat="false" ht="15" hidden="false" customHeight="false" outlineLevel="0" collapsed="false">
      <c r="A147" s="7"/>
      <c r="B147" s="27" t="n">
        <v>40</v>
      </c>
      <c r="C147" s="28" t="n">
        <f aca="false">(ABS(C44-E44)/C44)*100</f>
        <v>0.725446428571429</v>
      </c>
      <c r="D147" s="29" t="n">
        <f aca="false">(ABS(D44-F44)/D44)*100</f>
        <v>0.00821703074433657</v>
      </c>
      <c r="E147" s="24"/>
      <c r="F147" s="28" t="n">
        <f aca="false">(ABS(C44-G44)/C44)*100</f>
        <v>0.0558035714285714</v>
      </c>
      <c r="G147" s="29" t="n">
        <f aca="false">(ABS(D44-H44)/D44)*100</f>
        <v>0.00063207928802589</v>
      </c>
      <c r="H147" s="26"/>
    </row>
    <row r="148" customFormat="false" ht="15" hidden="false" customHeight="false" outlineLevel="0" collapsed="false">
      <c r="A148" s="7"/>
      <c r="B148" s="27" t="n">
        <v>41</v>
      </c>
      <c r="C148" s="28" t="n">
        <f aca="false">(ABS(C45-E45)/C45)*100</f>
        <v>1.01637492941841</v>
      </c>
      <c r="D148" s="29" t="n">
        <f aca="false">(ABS(D45-F45)/D45)*100</f>
        <v>0.0113759171833229</v>
      </c>
      <c r="E148" s="24"/>
      <c r="F148" s="28" t="n">
        <f aca="false">(ABS(C45-G45)/C45)*100</f>
        <v>0.112930547713156</v>
      </c>
      <c r="G148" s="29" t="n">
        <f aca="false">(ABS(D45-H45)/D45)*100</f>
        <v>0.00126399079814699</v>
      </c>
      <c r="H148" s="26"/>
    </row>
    <row r="149" customFormat="false" ht="15" hidden="false" customHeight="false" outlineLevel="0" collapsed="false">
      <c r="A149" s="7"/>
      <c r="B149" s="27" t="n">
        <v>42</v>
      </c>
      <c r="C149" s="28" t="n">
        <f aca="false">(ABS(C46-E46)/C46)*100</f>
        <v>2.65686828716789</v>
      </c>
      <c r="D149" s="29" t="n">
        <f aca="false">(ABS(D46-F46)/D46)*100</f>
        <v>0.0297034083081065</v>
      </c>
      <c r="E149" s="24"/>
      <c r="F149" s="28" t="n">
        <f aca="false">(ABS(C46-G46)/C46)*100</f>
        <v>0.0565291124929339</v>
      </c>
      <c r="G149" s="29" t="n">
        <f aca="false">(ABS(D46-H46)/D46)*100</f>
        <v>0.000631987410810777</v>
      </c>
      <c r="H149" s="26"/>
    </row>
    <row r="150" customFormat="false" ht="15" hidden="false" customHeight="false" outlineLevel="0" collapsed="false">
      <c r="A150" s="7"/>
      <c r="B150" s="27" t="n">
        <v>43</v>
      </c>
      <c r="C150" s="28" t="n">
        <f aca="false">(ABS(C47-E47)/C47)*100</f>
        <v>1.70940170940171</v>
      </c>
      <c r="D150" s="29" t="n">
        <f aca="false">(ABS(D47-F47)/D47)*100</f>
        <v>0.0189579449587665</v>
      </c>
      <c r="E150" s="24"/>
      <c r="F150" s="28" t="n">
        <f aca="false">(ABS(C47-G47)/C47)*100</f>
        <v>0.056980056980057</v>
      </c>
      <c r="G150" s="29" t="n">
        <f aca="false">(ABS(D47-H47)/D47)*100</f>
        <v>0.000631931498625549</v>
      </c>
      <c r="H150" s="26"/>
    </row>
    <row r="151" customFormat="false" ht="15" hidden="false" customHeight="false" outlineLevel="0" collapsed="false">
      <c r="A151" s="7"/>
      <c r="B151" s="27" t="n">
        <v>44</v>
      </c>
      <c r="C151" s="28" t="n">
        <f aca="false">(ABS(C48-E48)/C48)*100</f>
        <v>1.02798400913764</v>
      </c>
      <c r="D151" s="29" t="n">
        <f aca="false">(ABS(D48-F48)/D48)*100</f>
        <v>0.0113744794595858</v>
      </c>
      <c r="E151" s="24"/>
      <c r="F151" s="28" t="n">
        <f aca="false">(ABS(C48-G48)/C48)*100</f>
        <v>0.228440890919475</v>
      </c>
      <c r="G151" s="29" t="n">
        <f aca="false">(ABS(D48-H48)/D48)*100</f>
        <v>0.00252766210213019</v>
      </c>
      <c r="H151" s="26"/>
    </row>
    <row r="152" customFormat="false" ht="15" hidden="false" customHeight="false" outlineLevel="0" collapsed="false">
      <c r="A152" s="7"/>
      <c r="B152" s="27" t="n">
        <v>45</v>
      </c>
      <c r="C152" s="28" t="n">
        <f aca="false">(ABS(C49-E49)/C49)*100</f>
        <v>1.48486579097659</v>
      </c>
      <c r="D152" s="29" t="n">
        <f aca="false">(ABS(D49-F49)/D49)*100</f>
        <v>0.0164298036638462</v>
      </c>
      <c r="E152" s="24"/>
      <c r="F152" s="28" t="n">
        <f aca="false">(ABS(C49-G49)/C49)*100</f>
        <v>0.114220445459737</v>
      </c>
      <c r="G152" s="29" t="n">
        <f aca="false">(ABS(D49-H49)/D49)*100</f>
        <v>0.00126383105106509</v>
      </c>
      <c r="H152" s="26"/>
    </row>
    <row r="153" customFormat="false" ht="15" hidden="false" customHeight="false" outlineLevel="0" collapsed="false">
      <c r="A153" s="7"/>
      <c r="B153" s="27" t="n">
        <v>46</v>
      </c>
      <c r="C153" s="28" t="n">
        <f aca="false">(ABS(C50-E50)/C50)*100</f>
        <v>0.51605504587156</v>
      </c>
      <c r="D153" s="29" t="n">
        <f aca="false">(ABS(D50-F50)/D50)*100</f>
        <v>0.00568698817106461</v>
      </c>
      <c r="E153" s="24"/>
      <c r="F153" s="28" t="n">
        <f aca="false">(ABS(C50-G50)/C50)*100</f>
        <v>0.114678899082569</v>
      </c>
      <c r="G153" s="29" t="n">
        <f aca="false">(ABS(D50-H50)/D50)*100</f>
        <v>0.00126377514912547</v>
      </c>
      <c r="H153" s="26"/>
    </row>
    <row r="154" customFormat="false" ht="15" hidden="false" customHeight="false" outlineLevel="0" collapsed="false">
      <c r="A154" s="7"/>
      <c r="B154" s="27" t="n">
        <v>47</v>
      </c>
      <c r="C154" s="28" t="n">
        <f aca="false">(ABS(C51-E51)/C51)*100</f>
        <v>1.09321058688147</v>
      </c>
      <c r="D154" s="29" t="n">
        <f aca="false">(ABS(D51-F51)/D51)*100</f>
        <v>0.0120054087525748</v>
      </c>
      <c r="E154" s="24"/>
      <c r="F154" s="28" t="n">
        <f aca="false">(ABS(C51-G51)/C51)*100</f>
        <v>0.0575373993095512</v>
      </c>
      <c r="G154" s="29" t="n">
        <f aca="false">(ABS(D51-H51)/D51)*100</f>
        <v>0.000631863618556571</v>
      </c>
      <c r="H154" s="26"/>
    </row>
    <row r="155" customFormat="false" ht="15" hidden="false" customHeight="false" outlineLevel="0" collapsed="false">
      <c r="A155" s="7"/>
      <c r="B155" s="27" t="n">
        <v>48</v>
      </c>
      <c r="C155" s="28" t="n">
        <f aca="false">(ABS(C52-E52)/C52)*100</f>
        <v>0.229753015508329</v>
      </c>
      <c r="D155" s="29" t="n">
        <f aca="false">(ABS(D52-F52)/D52)*100</f>
        <v>0.00252750238533038</v>
      </c>
      <c r="E155" s="24"/>
      <c r="F155" s="28" t="n">
        <f aca="false">(ABS(C52-G52)/C52)*100</f>
        <v>0.0574382538770821</v>
      </c>
      <c r="G155" s="29" t="n">
        <f aca="false">(ABS(D52-H52)/D52)*100</f>
        <v>0.000631875596332594</v>
      </c>
      <c r="H155" s="26"/>
    </row>
    <row r="156" customFormat="false" ht="15" hidden="false" customHeight="false" outlineLevel="0" collapsed="false">
      <c r="A156" s="7"/>
      <c r="B156" s="27" t="n">
        <v>49</v>
      </c>
      <c r="C156" s="28" t="n">
        <f aca="false">(ABS(C53-E53)/C53)*100</f>
        <v>2.51141552511416</v>
      </c>
      <c r="D156" s="29" t="n">
        <f aca="false">(ABS(D53-F53)/D53)*100</f>
        <v>0.0278044588241242</v>
      </c>
      <c r="E156" s="24"/>
      <c r="F156" s="28" t="n">
        <f aca="false">(ABS(C53-G53)/C53)*100</f>
        <v>0.0570776255707763</v>
      </c>
      <c r="G156" s="29" t="n">
        <f aca="false">(ABS(D53-H53)/D53)*100</f>
        <v>0.000631919518730095</v>
      </c>
      <c r="H156" s="26"/>
    </row>
    <row r="157" customFormat="false" ht="15" hidden="false" customHeight="false" outlineLevel="0" collapsed="false">
      <c r="A157" s="7"/>
      <c r="B157" s="27" t="n">
        <v>50</v>
      </c>
      <c r="C157" s="28" t="n">
        <f aca="false">(ABS(C54-E54)/C54)*100</f>
        <v>2.23112128146453</v>
      </c>
      <c r="D157" s="29" t="n">
        <f aca="false">(ABS(D54-F54)/D54)*100</f>
        <v>0.0246442383034654</v>
      </c>
      <c r="E157" s="24"/>
      <c r="F157" s="28" t="n">
        <f aca="false">(ABS(C54-G54)/C54)*100</f>
        <v>0.05720823798627</v>
      </c>
      <c r="G157" s="29" t="n">
        <f aca="false">(ABS(D54-H54)/D54)*100</f>
        <v>0.000631903546242702</v>
      </c>
      <c r="H157" s="26"/>
    </row>
    <row r="158" customFormat="false" ht="15" hidden="false" customHeight="false" outlineLevel="0" collapsed="false">
      <c r="A158" s="7"/>
      <c r="B158" s="27" t="n">
        <v>51</v>
      </c>
      <c r="C158" s="28" t="n">
        <f aca="false">(ABS(C55-E55)/C55)*100</f>
        <v>0.341880341880342</v>
      </c>
      <c r="D158" s="29" t="n">
        <f aca="false">(ABS(D55-F55)/D55)*100</f>
        <v>0.00379158899175329</v>
      </c>
      <c r="E158" s="24"/>
      <c r="F158" s="28" t="n">
        <f aca="false">(ABS(C55-G55)/C55)*100</f>
        <v>0</v>
      </c>
      <c r="G158" s="29" t="n">
        <f aca="false">(ABS(D55-H55)/D55)*100</f>
        <v>0</v>
      </c>
      <c r="H158" s="26"/>
    </row>
    <row r="159" customFormat="false" ht="15" hidden="false" customHeight="false" outlineLevel="0" collapsed="false">
      <c r="A159" s="7"/>
      <c r="B159" s="27" t="n">
        <v>52</v>
      </c>
      <c r="C159" s="28" t="n">
        <f aca="false">(ABS(C56-E56)/C56)*100</f>
        <v>2.44040862656073</v>
      </c>
      <c r="D159" s="29" t="n">
        <f aca="false">(ABS(D56-F56)/D56)*100</f>
        <v>0.027174256499703</v>
      </c>
      <c r="E159" s="24"/>
      <c r="F159" s="28" t="n">
        <f aca="false">(ABS(C56-G56)/C56)*100</f>
        <v>0.227014755959137</v>
      </c>
      <c r="G159" s="29" t="n">
        <f aca="false">(ABS(D56-H56)/D56)*100</f>
        <v>0.00252783781392586</v>
      </c>
      <c r="H159" s="26"/>
    </row>
    <row r="160" customFormat="false" ht="15" hidden="false" customHeight="false" outlineLevel="0" collapsed="false">
      <c r="A160" s="7"/>
      <c r="B160" s="27" t="n">
        <v>53</v>
      </c>
      <c r="C160" s="28" t="n">
        <f aca="false">(ABS(C57-E57)/C57)*100</f>
        <v>2.24971878515186</v>
      </c>
      <c r="D160" s="29" t="n">
        <f aca="false">(ABS(D57-F57)/D57)*100</f>
        <v>0.0252809343833348</v>
      </c>
      <c r="E160" s="24"/>
      <c r="F160" s="28" t="n">
        <f aca="false">(ABS(C57-G57)/C57)*100</f>
        <v>0.112485939257593</v>
      </c>
      <c r="G160" s="29" t="n">
        <f aca="false">(ABS(D57-H57)/D57)*100</f>
        <v>0.00126404671916674</v>
      </c>
      <c r="H160" s="26"/>
    </row>
    <row r="161" customFormat="false" ht="15" hidden="false" customHeight="false" outlineLevel="0" collapsed="false">
      <c r="A161" s="7"/>
      <c r="B161" s="27" t="n">
        <v>54</v>
      </c>
      <c r="C161" s="28" t="n">
        <f aca="false">(ABS(C58-E58)/C58)*100</f>
        <v>0.779510022271715</v>
      </c>
      <c r="D161" s="29" t="n">
        <f aca="false">(ABS(D58-F58)/D58)*100</f>
        <v>0.00884933377158605</v>
      </c>
      <c r="E161" s="24"/>
      <c r="F161" s="28" t="n">
        <f aca="false">(ABS(C58-G58)/C58)*100</f>
        <v>0.389755011135858</v>
      </c>
      <c r="G161" s="29" t="n">
        <f aca="false">(ABS(D58-H58)/D58)*100</f>
        <v>0.00442466688579303</v>
      </c>
      <c r="H161" s="26"/>
    </row>
    <row r="162" customFormat="false" ht="15" hidden="false" customHeight="false" outlineLevel="0" collapsed="false">
      <c r="A162" s="7"/>
      <c r="B162" s="27" t="n">
        <v>55</v>
      </c>
      <c r="C162" s="28" t="n">
        <f aca="false">(ABS(C59-E59)/C59)*100</f>
        <v>0.884955752212389</v>
      </c>
      <c r="D162" s="29" t="n">
        <f aca="false">(ABS(D59-F59)/D59)*100</f>
        <v>0.0101142914938809</v>
      </c>
      <c r="E162" s="24"/>
      <c r="F162" s="28" t="n">
        <f aca="false">(ABS(C59-G59)/C59)*100</f>
        <v>0.165929203539823</v>
      </c>
      <c r="G162" s="29" t="n">
        <f aca="false">(ABS(D59-H59)/D59)*100</f>
        <v>0.00189642965510266</v>
      </c>
      <c r="H162" s="26"/>
    </row>
    <row r="163" customFormat="false" ht="15" hidden="false" customHeight="false" outlineLevel="0" collapsed="false">
      <c r="A163" s="7"/>
      <c r="B163" s="27" t="n">
        <v>56</v>
      </c>
      <c r="C163" s="28" t="n">
        <f aca="false">(ABS(C60-E60)/C60)*100</f>
        <v>3.76843255051884</v>
      </c>
      <c r="D163" s="29" t="n">
        <f aca="false">(ABS(D60-F60)/D60)*100</f>
        <v>0.0436242247216585</v>
      </c>
      <c r="E163" s="24"/>
      <c r="F163" s="28" t="n">
        <f aca="false">(ABS(C60-G60)/C60)*100</f>
        <v>0.163844893500819</v>
      </c>
      <c r="G163" s="29" t="n">
        <f aca="false">(ABS(D60-H60)/D60)*100</f>
        <v>0.0018967054226808</v>
      </c>
      <c r="H163" s="26"/>
    </row>
    <row r="164" customFormat="false" ht="15" hidden="false" customHeight="false" outlineLevel="0" collapsed="false">
      <c r="A164" s="7"/>
      <c r="B164" s="27" t="n">
        <v>57</v>
      </c>
      <c r="C164" s="28" t="n">
        <f aca="false">(ABS(C61-E61)/C61)*100</f>
        <v>1.19176598049838</v>
      </c>
      <c r="D164" s="29" t="n">
        <f aca="false">(ABS(D61-F61)/D61)*100</f>
        <v>0.0139104923049686</v>
      </c>
      <c r="E164" s="24"/>
      <c r="F164" s="28" t="n">
        <f aca="false">(ABS(C61-G61)/C61)*100</f>
        <v>0.108342361863489</v>
      </c>
      <c r="G164" s="29" t="n">
        <f aca="false">(ABS(D61-H61)/D61)*100</f>
        <v>0.0012645902095426</v>
      </c>
      <c r="H164" s="26"/>
    </row>
    <row r="165" customFormat="false" ht="15" hidden="false" customHeight="false" outlineLevel="0" collapsed="false">
      <c r="A165" s="7"/>
      <c r="B165" s="27" t="n">
        <v>58</v>
      </c>
      <c r="C165" s="28" t="n">
        <f aca="false">(ABS(C62-E62)/C62)*100</f>
        <v>1.27727514635444</v>
      </c>
      <c r="D165" s="29" t="n">
        <f aca="false">(ABS(D62-F62)/D62)*100</f>
        <v>0.0151782495683685</v>
      </c>
      <c r="E165" s="24"/>
      <c r="F165" s="28" t="n">
        <f aca="false">(ABS(C62-G62)/C62)*100</f>
        <v>0.106439595529537</v>
      </c>
      <c r="G165" s="29" t="n">
        <f aca="false">(ABS(D62-H62)/D62)*100</f>
        <v>0.00126485413069738</v>
      </c>
      <c r="H165" s="26"/>
    </row>
    <row r="166" customFormat="false" ht="15" hidden="false" customHeight="false" outlineLevel="0" collapsed="false">
      <c r="A166" s="7"/>
      <c r="B166" s="27" t="n">
        <v>59</v>
      </c>
      <c r="C166" s="28" t="n">
        <f aca="false">(ABS(C63-E63)/C63)*100</f>
        <v>3.77358490566038</v>
      </c>
      <c r="D166" s="29" t="n">
        <f aca="false">(ABS(D63-F63)/D63)*100</f>
        <v>0.0455431014852111</v>
      </c>
      <c r="E166" s="24"/>
      <c r="F166" s="28" t="n">
        <f aca="false">(ABS(C63-G63)/C63)*100</f>
        <v>0.262054507337526</v>
      </c>
      <c r="G166" s="29" t="n">
        <f aca="false">(ABS(D63-H63)/D63)*100</f>
        <v>0.00316271538091744</v>
      </c>
      <c r="H166" s="26"/>
    </row>
    <row r="167" customFormat="false" ht="15" hidden="false" customHeight="false" outlineLevel="0" collapsed="false">
      <c r="A167" s="7"/>
      <c r="B167" s="27" t="n">
        <v>60</v>
      </c>
      <c r="C167" s="28" t="n">
        <f aca="false">(ABS(C64-E64)/C64)*100</f>
        <v>1.99692780337942</v>
      </c>
      <c r="D167" s="29" t="n">
        <f aca="false">(ABS(D64-F64)/D64)*100</f>
        <v>0.0246762039140256</v>
      </c>
      <c r="E167" s="24"/>
      <c r="F167" s="28" t="n">
        <f aca="false">(ABS(C64-G64)/C64)*100</f>
        <v>0.204813108038915</v>
      </c>
      <c r="G167" s="29" t="n">
        <f aca="false">(ABS(D64-H64)/D64)*100</f>
        <v>0.00253089270913083</v>
      </c>
      <c r="H167" s="26"/>
    </row>
    <row r="168" customFormat="false" ht="15" hidden="false" customHeight="false" outlineLevel="0" collapsed="false">
      <c r="A168" s="7"/>
      <c r="B168" s="27" t="n">
        <v>61</v>
      </c>
      <c r="C168" s="28" t="n">
        <f aca="false">(ABS(C65-E65)/C65)*100</f>
        <v>2.77078085642317</v>
      </c>
      <c r="D168" s="29" t="n">
        <f aca="false">(ABS(D65-F65)/D65)*100</f>
        <v>0.0348068221371389</v>
      </c>
      <c r="E168" s="24"/>
      <c r="F168" s="28" t="n">
        <f aca="false">(ABS(C65-G65)/C65)*100</f>
        <v>0.100755667506297</v>
      </c>
      <c r="G168" s="29" t="n">
        <f aca="false">(ABS(D65-H65)/D65)*100</f>
        <v>0.00126570262316869</v>
      </c>
      <c r="H168" s="26"/>
    </row>
    <row r="169" customFormat="false" ht="15" hidden="false" customHeight="false" outlineLevel="0" collapsed="false">
      <c r="A169" s="7"/>
      <c r="B169" s="27" t="n">
        <v>62</v>
      </c>
      <c r="C169" s="28" t="n">
        <f aca="false">(ABS(C66-E66)/C66)*100</f>
        <v>1.5203531142717</v>
      </c>
      <c r="D169" s="29" t="n">
        <f aca="false">(ABS(D66-F66)/D66)*100</f>
        <v>0.0196250973341521</v>
      </c>
      <c r="E169" s="24"/>
      <c r="F169" s="28" t="n">
        <f aca="false">(ABS(C66-G66)/C66)*100</f>
        <v>0.0490436488474743</v>
      </c>
      <c r="G169" s="29" t="n">
        <f aca="false">(ABS(D66-H66)/D66)*100</f>
        <v>0.00063306765594039</v>
      </c>
      <c r="H169" s="26"/>
    </row>
    <row r="170" customFormat="false" ht="15" hidden="false" customHeight="false" outlineLevel="0" collapsed="false">
      <c r="A170" s="7"/>
      <c r="B170" s="27" t="n">
        <v>63</v>
      </c>
      <c r="C170" s="28" t="n">
        <f aca="false">(ABS(C67-E67)/C67)*100</f>
        <v>2.08728652751423</v>
      </c>
      <c r="D170" s="29" t="n">
        <f aca="false">(ABS(D67-F67)/D67)*100</f>
        <v>0.0278671496972614</v>
      </c>
      <c r="E170" s="24"/>
      <c r="F170" s="28" t="n">
        <f aca="false">(ABS(C67-G67)/C67)*100</f>
        <v>0.284629981024668</v>
      </c>
      <c r="G170" s="29" t="n">
        <f aca="false">(ABS(D67-H67)/D67)*100</f>
        <v>0.00380006586780838</v>
      </c>
      <c r="H170" s="26"/>
    </row>
    <row r="171" customFormat="false" ht="15" hidden="false" customHeight="false" outlineLevel="0" collapsed="false">
      <c r="A171" s="7"/>
      <c r="B171" s="27" t="n">
        <v>64</v>
      </c>
      <c r="C171" s="28" t="n">
        <f aca="false">(ABS(C68-E68)/C68)*100</f>
        <v>1.26582278481013</v>
      </c>
      <c r="D171" s="29" t="n">
        <f aca="false">(ABS(D68-F68)/D68)*100</f>
        <v>0.0177453291758562</v>
      </c>
      <c r="E171" s="24"/>
      <c r="F171" s="28" t="n">
        <f aca="false">(ABS(C68-G68)/C68)*100</f>
        <v>0.452079566003617</v>
      </c>
      <c r="G171" s="29" t="n">
        <f aca="false">(ABS(D68-H68)/D68)*100</f>
        <v>0.00633761756280579</v>
      </c>
      <c r="H171" s="26"/>
    </row>
    <row r="172" customFormat="false" ht="15" hidden="false" customHeight="false" outlineLevel="0" collapsed="false">
      <c r="A172" s="7"/>
      <c r="B172" s="27" t="n">
        <v>65</v>
      </c>
      <c r="C172" s="28" t="n">
        <f aca="false">(ABS(C69-E69)/C69)*100</f>
        <v>1.35192226446979</v>
      </c>
      <c r="D172" s="29" t="n">
        <f aca="false">(ABS(D69-F69)/D69)*100</f>
        <v>0.020300317826851</v>
      </c>
      <c r="E172" s="24"/>
      <c r="F172" s="28" t="n">
        <f aca="false">(ABS(C69-G69)/C69)*100</f>
        <v>0</v>
      </c>
      <c r="G172" s="29" t="n">
        <f aca="false">(ABS(D69-H69)/D69)*100</f>
        <v>0</v>
      </c>
      <c r="H172" s="26"/>
    </row>
    <row r="173" customFormat="false" ht="15" hidden="false" customHeight="false" outlineLevel="0" collapsed="false">
      <c r="A173" s="7"/>
      <c r="B173" s="27" t="n">
        <v>66</v>
      </c>
      <c r="C173" s="28" t="n">
        <f aca="false">(ABS(C70-E70)/C70)*100</f>
        <v>1.44578313253012</v>
      </c>
      <c r="D173" s="29" t="n">
        <f aca="false">(ABS(D70-F70)/D70)*100</f>
        <v>0.0228556917021142</v>
      </c>
      <c r="E173" s="24"/>
      <c r="F173" s="28" t="n">
        <f aca="false">(ABS(C70-G70)/C70)*100</f>
        <v>0.200803212851406</v>
      </c>
      <c r="G173" s="29" t="n">
        <f aca="false">(ABS(D70-H70)/D70)*100</f>
        <v>0.00317440162529363</v>
      </c>
      <c r="H173" s="26"/>
    </row>
    <row r="174" customFormat="false" ht="15" hidden="false" customHeight="false" outlineLevel="0" collapsed="false">
      <c r="A174" s="7"/>
      <c r="B174" s="27" t="n">
        <v>67</v>
      </c>
      <c r="C174" s="28" t="n">
        <f aca="false">(ABS(C71-E71)/C71)*100</f>
        <v>1.96386488609584</v>
      </c>
      <c r="D174" s="29" t="n">
        <f aca="false">(ABS(D71-F71)/D71)*100</f>
        <v>0.0317553063116847</v>
      </c>
      <c r="E174" s="24"/>
      <c r="F174" s="28" t="n">
        <f aca="false">(ABS(C71-G71)/C71)*100</f>
        <v>0</v>
      </c>
      <c r="G174" s="29" t="n">
        <f aca="false">(ABS(D71-H71)/D71)*100</f>
        <v>0</v>
      </c>
      <c r="H174" s="26"/>
    </row>
    <row r="175" customFormat="false" ht="15" hidden="false" customHeight="false" outlineLevel="0" collapsed="false">
      <c r="A175" s="7"/>
      <c r="B175" s="27" t="n">
        <v>68</v>
      </c>
      <c r="C175" s="28" t="n">
        <f aca="false">(ABS(C72-E72)/C72)*100</f>
        <v>2.31660231660232</v>
      </c>
      <c r="D175" s="29" t="n">
        <f aca="false">(ABS(D72-F72)/D72)*100</f>
        <v>0.0381170192490947</v>
      </c>
      <c r="E175" s="24"/>
      <c r="F175" s="28" t="n">
        <f aca="false">(ABS(C72-G72)/C72)*100</f>
        <v>0.115830115830116</v>
      </c>
      <c r="G175" s="29" t="n">
        <f aca="false">(ABS(D72-H72)/D72)*100</f>
        <v>0.00190585096245474</v>
      </c>
      <c r="H175" s="26"/>
    </row>
    <row r="176" customFormat="false" ht="15" hidden="false" customHeight="false" outlineLevel="0" collapsed="false">
      <c r="A176" s="7"/>
      <c r="B176" s="27" t="n">
        <v>69</v>
      </c>
      <c r="C176" s="28" t="n">
        <f aca="false">(ABS(C73-E73)/C73)*100</f>
        <v>0.87819778541428</v>
      </c>
      <c r="D176" s="29" t="n">
        <f aca="false">(ABS(D73-F73)/D73)*100</f>
        <v>0.0146142164556077</v>
      </c>
      <c r="E176" s="24"/>
      <c r="F176" s="28" t="n">
        <f aca="false">(ABS(C73-G73)/C73)*100</f>
        <v>0.0763650248186331</v>
      </c>
      <c r="G176" s="29" t="n">
        <f aca="false">(ABS(D73-H73)/D73)*100</f>
        <v>0.00127080143092241</v>
      </c>
      <c r="H176" s="26"/>
    </row>
    <row r="177" customFormat="false" ht="15" hidden="false" customHeight="false" outlineLevel="0" collapsed="false">
      <c r="A177" s="7"/>
      <c r="B177" s="27" t="n">
        <v>70</v>
      </c>
      <c r="C177" s="28" t="n">
        <f aca="false">(ABS(C74-E74)/C74)*100</f>
        <v>1.60121997712543</v>
      </c>
      <c r="D177" s="29" t="n">
        <f aca="false">(ABS(D74-F74)/D74)*100</f>
        <v>0.0266875083398464</v>
      </c>
      <c r="E177" s="24"/>
      <c r="F177" s="28" t="n">
        <f aca="false">(ABS(C74-G74)/C74)*100</f>
        <v>0.0381242851696531</v>
      </c>
      <c r="G177" s="29" t="n">
        <f aca="false">(ABS(D74-H74)/D74)*100</f>
        <v>0.000635416865234437</v>
      </c>
      <c r="H177" s="26"/>
    </row>
    <row r="178" customFormat="false" ht="15" hidden="false" customHeight="false" outlineLevel="0" collapsed="false">
      <c r="A178" s="7"/>
      <c r="B178" s="27" t="n">
        <v>71</v>
      </c>
      <c r="C178" s="28" t="n">
        <f aca="false">(ABS(C75-E75)/C75)*100</f>
        <v>3.52760736196319</v>
      </c>
      <c r="D178" s="29" t="n">
        <f aca="false">(ABS(D75-F75)/D75)*100</f>
        <v>0.058452780319203</v>
      </c>
      <c r="E178" s="24"/>
      <c r="F178" s="28" t="n">
        <f aca="false">(ABS(C75-G75)/C75)*100</f>
        <v>0</v>
      </c>
      <c r="G178" s="29" t="n">
        <f aca="false">(ABS(D75-H75)/D75)*100</f>
        <v>0</v>
      </c>
      <c r="H178" s="26"/>
    </row>
    <row r="179" customFormat="false" ht="15" hidden="false" customHeight="false" outlineLevel="0" collapsed="false">
      <c r="A179" s="7"/>
      <c r="B179" s="27" t="n">
        <v>72</v>
      </c>
      <c r="C179" s="28" t="n">
        <f aca="false">(ABS(C76-E76)/C76)*100</f>
        <v>1.7638036809816</v>
      </c>
      <c r="D179" s="29" t="n">
        <f aca="false">(ABS(D76-F76)/D76)*100</f>
        <v>0.0292263901596015</v>
      </c>
      <c r="E179" s="24"/>
      <c r="F179" s="28" t="n">
        <f aca="false">(ABS(C76-G76)/C76)*100</f>
        <v>0.0766871165644172</v>
      </c>
      <c r="G179" s="29" t="n">
        <f aca="false">(ABS(D76-H76)/D76)*100</f>
        <v>0.00127071261563485</v>
      </c>
      <c r="H179" s="26"/>
    </row>
    <row r="180" customFormat="false" ht="15" hidden="false" customHeight="false" outlineLevel="0" collapsed="false">
      <c r="A180" s="7"/>
      <c r="B180" s="27" t="n">
        <v>73</v>
      </c>
      <c r="C180" s="28" t="n">
        <f aca="false">(ABS(C77-E77)/C77)*100</f>
        <v>0.155823918971562</v>
      </c>
      <c r="D180" s="29" t="n">
        <f aca="false">(ABS(D77-F77)/D77)*100</f>
        <v>0.00254076337235522</v>
      </c>
      <c r="E180" s="24"/>
      <c r="F180" s="28" t="n">
        <f aca="false">(ABS(C77-G77)/C77)*100</f>
        <v>0.0779119594857811</v>
      </c>
      <c r="G180" s="29" t="n">
        <f aca="false">(ABS(D77-H77)/D77)*100</f>
        <v>0.00127038168617761</v>
      </c>
      <c r="H180" s="26"/>
    </row>
    <row r="181" customFormat="false" ht="15" hidden="false" customHeight="false" outlineLevel="0" collapsed="false">
      <c r="A181" s="7"/>
      <c r="B181" s="27" t="n">
        <v>74</v>
      </c>
      <c r="C181" s="28" t="n">
        <f aca="false">(ABS(C78-E78)/C78)*100</f>
        <v>0.789577575996842</v>
      </c>
      <c r="D181" s="29" t="n">
        <f aca="false">(ABS(D78-F78)/D78)*100</f>
        <v>0.0127010738757962</v>
      </c>
      <c r="E181" s="24"/>
      <c r="F181" s="28" t="n">
        <f aca="false">(ABS(C78-G78)/C78)*100</f>
        <v>0.157915515199368</v>
      </c>
      <c r="G181" s="29" t="n">
        <f aca="false">(ABS(D78-H78)/D78)*100</f>
        <v>0.00254021477515924</v>
      </c>
      <c r="H181" s="26"/>
    </row>
    <row r="182" customFormat="false" ht="15" hidden="false" customHeight="false" outlineLevel="0" collapsed="false">
      <c r="A182" s="7"/>
      <c r="B182" s="27" t="n">
        <v>75</v>
      </c>
      <c r="C182" s="28" t="n">
        <f aca="false">(ABS(C79-E79)/C79)*100</f>
        <v>1.88906752411576</v>
      </c>
      <c r="D182" s="29" t="n">
        <f aca="false">(ABS(D79-F79)/D79)*100</f>
        <v>0.0298389963939255</v>
      </c>
      <c r="E182" s="24"/>
      <c r="F182" s="28" t="n">
        <f aca="false">(ABS(C79-G79)/C79)*100</f>
        <v>0.241157556270097</v>
      </c>
      <c r="G182" s="29" t="n">
        <f aca="false">(ABS(D79-H79)/D79)*100</f>
        <v>0.00380923358220326</v>
      </c>
      <c r="H182" s="26"/>
    </row>
    <row r="183" customFormat="false" ht="15" hidden="false" customHeight="false" outlineLevel="0" collapsed="false">
      <c r="A183" s="7"/>
      <c r="B183" s="27" t="n">
        <v>76</v>
      </c>
      <c r="C183" s="28" t="n">
        <f aca="false">(ABS(C80-E80)/C80)*100</f>
        <v>1.31470829909614</v>
      </c>
      <c r="D183" s="29" t="n">
        <f aca="false">(ABS(D80-F80)/D80)*100</f>
        <v>0.0203089499003592</v>
      </c>
      <c r="E183" s="24"/>
      <c r="F183" s="28" t="n">
        <f aca="false">(ABS(C80-G80)/C80)*100</f>
        <v>0.0410846343467543</v>
      </c>
      <c r="G183" s="29" t="n">
        <f aca="false">(ABS(D80-H80)/D80)*100</f>
        <v>0.000634654684386225</v>
      </c>
      <c r="H183" s="26"/>
    </row>
    <row r="184" customFormat="false" ht="15" hidden="false" customHeight="false" outlineLevel="0" collapsed="false">
      <c r="A184" s="7"/>
      <c r="B184" s="27" t="n">
        <v>77</v>
      </c>
      <c r="C184" s="28" t="n">
        <f aca="false">(ABS(C81-E81)/C81)*100</f>
        <v>0.210526315789474</v>
      </c>
      <c r="D184" s="29" t="n">
        <f aca="false">(ABS(D81-F81)/D81)*100</f>
        <v>0.00317208564631245</v>
      </c>
      <c r="E184" s="24"/>
      <c r="F184" s="28" t="n">
        <f aca="false">(ABS(C81-G81)/C81)*100</f>
        <v>0.0842105263157895</v>
      </c>
      <c r="G184" s="29" t="n">
        <f aca="false">(ABS(D81-H81)/D81)*100</f>
        <v>0.00126883425852498</v>
      </c>
      <c r="H184" s="26"/>
    </row>
    <row r="185" customFormat="false" ht="15" hidden="false" customHeight="false" outlineLevel="0" collapsed="false">
      <c r="A185" s="7"/>
      <c r="B185" s="27" t="n">
        <v>78</v>
      </c>
      <c r="C185" s="28" t="n">
        <f aca="false">(ABS(C82-E82)/C82)*100</f>
        <v>0.304347826086957</v>
      </c>
      <c r="D185" s="29" t="n">
        <f aca="false">(ABS(D82-F82)/D82)*100</f>
        <v>0.00443880786303107</v>
      </c>
      <c r="E185" s="24"/>
      <c r="F185" s="28" t="n">
        <f aca="false">(ABS(C82-G82)/C82)*100</f>
        <v>0.0434782608695652</v>
      </c>
      <c r="G185" s="29" t="n">
        <f aca="false">(ABS(D82-H82)/D82)*100</f>
        <v>0.000634115409004439</v>
      </c>
      <c r="H185" s="26"/>
    </row>
    <row r="186" customFormat="false" ht="15" hidden="false" customHeight="false" outlineLevel="0" collapsed="false">
      <c r="A186" s="7"/>
      <c r="B186" s="27" t="n">
        <v>79</v>
      </c>
      <c r="C186" s="28" t="n">
        <f aca="false">(ABS(C83-E83)/C83)*100</f>
        <v>1.21457489878543</v>
      </c>
      <c r="D186" s="29" t="n">
        <f aca="false">(ABS(D83-F83)/D83)*100</f>
        <v>0.0171127604150161</v>
      </c>
      <c r="E186" s="24"/>
      <c r="F186" s="28" t="n">
        <f aca="false">(ABS(C83-G83)/C83)*100</f>
        <v>0.134952766531714</v>
      </c>
      <c r="G186" s="29" t="n">
        <f aca="false">(ABS(D83-H83)/D83)*100</f>
        <v>0.00190141782389068</v>
      </c>
      <c r="H186" s="26"/>
    </row>
    <row r="187" customFormat="false" ht="15" hidden="false" customHeight="false" outlineLevel="0" collapsed="false">
      <c r="A187" s="7"/>
      <c r="B187" s="27" t="n">
        <v>80</v>
      </c>
      <c r="C187" s="28" t="n">
        <f aca="false">(ABS(C84-E84)/C84)*100</f>
        <v>2.28651423238451</v>
      </c>
      <c r="D187" s="29" t="n">
        <f aca="false">(ABS(D84-F84)/D84)*100</f>
        <v>0.0310407520730788</v>
      </c>
      <c r="E187" s="24"/>
      <c r="F187" s="28" t="n">
        <f aca="false">(ABS(C84-G84)/C84)*100</f>
        <v>0.0466635557629491</v>
      </c>
      <c r="G187" s="29" t="n">
        <f aca="false">(ABS(D84-H84)/D84)*100</f>
        <v>0.000633484736185282</v>
      </c>
      <c r="H187" s="26"/>
    </row>
    <row r="188" customFormat="false" ht="15" hidden="false" customHeight="false" outlineLevel="0" collapsed="false">
      <c r="A188" s="7"/>
      <c r="B188" s="27" t="n">
        <v>81</v>
      </c>
      <c r="C188" s="28" t="n">
        <f aca="false">(ABS(C85-E85)/C85)*100</f>
        <v>1.27263827704356</v>
      </c>
      <c r="D188" s="29" t="n">
        <f aca="false">(ABS(D85-F85)/D85)*100</f>
        <v>0.0164601758706483</v>
      </c>
      <c r="E188" s="24"/>
      <c r="F188" s="28" t="n">
        <f aca="false">(ABS(C85-G85)/C85)*100</f>
        <v>0.0978952520802741</v>
      </c>
      <c r="G188" s="29" t="n">
        <f aca="false">(ABS(D85-H85)/D85)*100</f>
        <v>0.00126616737466526</v>
      </c>
      <c r="H188" s="26"/>
    </row>
    <row r="189" customFormat="false" ht="15" hidden="false" customHeight="false" outlineLevel="0" collapsed="false">
      <c r="A189" s="7"/>
      <c r="B189" s="27" t="n">
        <v>82</v>
      </c>
      <c r="C189" s="28" t="n">
        <f aca="false">(ABS(C86-E86)/C86)*100</f>
        <v>0.670794633642931</v>
      </c>
      <c r="D189" s="29" t="n">
        <f aca="false">(ABS(D86-F86)/D86)*100</f>
        <v>0.00822462071845225</v>
      </c>
      <c r="E189" s="24"/>
      <c r="F189" s="28" t="n">
        <f aca="false">(ABS(C86-G86)/C86)*100</f>
        <v>0.257997936016512</v>
      </c>
      <c r="G189" s="29" t="n">
        <f aca="false">(ABS(D86-H86)/D86)*100</f>
        <v>0.00316331566094317</v>
      </c>
      <c r="H189" s="26"/>
    </row>
    <row r="190" customFormat="false" ht="15" hidden="false" customHeight="false" outlineLevel="0" collapsed="false">
      <c r="A190" s="7"/>
      <c r="B190" s="27" t="n">
        <v>83</v>
      </c>
      <c r="C190" s="28" t="n">
        <f aca="false">(ABS(C87-E87)/C87)*100</f>
        <v>0.435729847494553</v>
      </c>
      <c r="D190" s="29" t="n">
        <f aca="false">(ABS(D87-F87)/D87)*100</f>
        <v>0.00505804102071268</v>
      </c>
      <c r="E190" s="24"/>
      <c r="F190" s="28" t="n">
        <f aca="false">(ABS(C87-G87)/C87)*100</f>
        <v>0</v>
      </c>
      <c r="G190" s="29" t="n">
        <f aca="false">(ABS(D87-H87)/D87)*100</f>
        <v>0</v>
      </c>
      <c r="H190" s="26"/>
    </row>
    <row r="191" customFormat="false" ht="15" hidden="false" customHeight="false" outlineLevel="0" collapsed="false">
      <c r="A191" s="7"/>
      <c r="B191" s="27" t="n">
        <v>84</v>
      </c>
      <c r="C191" s="28" t="n">
        <f aca="false">(ABS(C88-E88)/C88)*100</f>
        <v>2.91885580852306</v>
      </c>
      <c r="D191" s="29" t="n">
        <f aca="false">(ABS(D88-F88)/D88)*100</f>
        <v>0.0315881910706502</v>
      </c>
      <c r="E191" s="24"/>
      <c r="F191" s="28" t="n">
        <f aca="false">(ABS(C88-G88)/C88)*100</f>
        <v>0</v>
      </c>
      <c r="G191" s="29" t="n">
        <f aca="false">(ABS(D88-H88)/D88)*100</f>
        <v>0</v>
      </c>
      <c r="H191" s="26"/>
    </row>
    <row r="192" customFormat="false" ht="15" hidden="false" customHeight="false" outlineLevel="0" collapsed="false">
      <c r="A192" s="7"/>
      <c r="B192" s="27" t="n">
        <v>85</v>
      </c>
      <c r="C192" s="28" t="n">
        <f aca="false">(ABS(C89-E89)/C89)*100</f>
        <v>1.51515151515152</v>
      </c>
      <c r="D192" s="29" t="n">
        <f aca="false">(ABS(D89-F89)/D89)*100</f>
        <v>0.0151499848500152</v>
      </c>
      <c r="E192" s="24"/>
      <c r="F192" s="28" t="n">
        <f aca="false">(ABS(C89-G89)/C89)*100</f>
        <v>0</v>
      </c>
      <c r="G192" s="29" t="n">
        <f aca="false">(ABS(D89-H89)/D89)*100</f>
        <v>0</v>
      </c>
      <c r="H192" s="26"/>
    </row>
    <row r="193" customFormat="false" ht="15" hidden="false" customHeight="false" outlineLevel="0" collapsed="false">
      <c r="A193" s="7"/>
      <c r="B193" s="27" t="n">
        <v>86</v>
      </c>
      <c r="C193" s="28" t="n">
        <f aca="false">(ABS(C90-E90)/C90)*100</f>
        <v>1.44329896907217</v>
      </c>
      <c r="D193" s="29" t="n">
        <f aca="false">(ABS(D90-F90)/D90)*100</f>
        <v>0.0132454508183796</v>
      </c>
      <c r="E193" s="24"/>
      <c r="F193" s="28" t="n">
        <f aca="false">(ABS(C90-G90)/C90)*100</f>
        <v>0.13745704467354</v>
      </c>
      <c r="G193" s="29" t="n">
        <f aca="false">(ABS(D90-H90)/D90)*100</f>
        <v>0.00126147150651235</v>
      </c>
      <c r="H193" s="26"/>
    </row>
    <row r="194" customFormat="false" ht="15" hidden="false" customHeight="false" outlineLevel="0" collapsed="false">
      <c r="A194" s="7"/>
      <c r="B194" s="27" t="n">
        <v>87</v>
      </c>
      <c r="C194" s="28" t="n">
        <f aca="false">(ABS(C91-E91)/C91)*100</f>
        <v>1.06221547799697</v>
      </c>
      <c r="D194" s="29" t="n">
        <f aca="false">(ABS(D91-F91)/D91)*100</f>
        <v>0.00882267680014116</v>
      </c>
      <c r="E194" s="24"/>
      <c r="F194" s="28" t="n">
        <f aca="false">(ABS(C91-G91)/C91)*100</f>
        <v>0</v>
      </c>
      <c r="G194" s="29" t="n">
        <f aca="false">(ABS(D91-H91)/D91)*100</f>
        <v>0</v>
      </c>
      <c r="H194" s="26"/>
    </row>
    <row r="195" customFormat="false" ht="15" hidden="false" customHeight="false" outlineLevel="0" collapsed="false">
      <c r="A195" s="7"/>
      <c r="B195" s="27" t="n">
        <v>88</v>
      </c>
      <c r="C195" s="28" t="n">
        <f aca="false">(ABS(C92-E92)/C92)*100</f>
        <v>1.10732538330494</v>
      </c>
      <c r="D195" s="29" t="n">
        <f aca="false">(ABS(D92-F92)/D92)*100</f>
        <v>0.00818505786206289</v>
      </c>
      <c r="E195" s="24"/>
      <c r="F195" s="28" t="n">
        <f aca="false">(ABS(C92-G92)/C92)*100</f>
        <v>0.0851788756388416</v>
      </c>
      <c r="G195" s="29" t="n">
        <f aca="false">(ABS(D92-H92)/D92)*100</f>
        <v>0.000629619835543299</v>
      </c>
      <c r="H195" s="26"/>
    </row>
    <row r="196" customFormat="false" ht="15" hidden="false" customHeight="false" outlineLevel="0" collapsed="false">
      <c r="A196" s="7"/>
      <c r="B196" s="27" t="n">
        <v>89</v>
      </c>
      <c r="C196" s="28" t="n">
        <f aca="false">(ABS(C93-E93)/C93)*100</f>
        <v>0.09765625</v>
      </c>
      <c r="D196" s="29" t="n">
        <f aca="false">(ABS(D93-F93)/D93)*100</f>
        <v>0.00062902576489533</v>
      </c>
      <c r="E196" s="24"/>
      <c r="F196" s="28" t="n">
        <f aca="false">(ABS(C93-G93)/C93)*100</f>
        <v>0.68359375</v>
      </c>
      <c r="G196" s="29" t="n">
        <f aca="false">(ABS(D93-H93)/D93)*100</f>
        <v>0.00440318035426731</v>
      </c>
      <c r="H196" s="26"/>
    </row>
    <row r="197" customFormat="false" ht="15" hidden="false" customHeight="false" outlineLevel="0" collapsed="false">
      <c r="A197" s="7"/>
      <c r="B197" s="27" t="n">
        <v>90</v>
      </c>
      <c r="C197" s="28" t="n">
        <f aca="false">(ABS(C94-E94)/C94)*100</f>
        <v>0.46029919447641</v>
      </c>
      <c r="D197" s="29" t="n">
        <f aca="false">(ABS(D94-F94)/D94)*100</f>
        <v>0.00251365227391269</v>
      </c>
      <c r="E197" s="24"/>
      <c r="F197" s="28" t="n">
        <f aca="false">(ABS(C94-G94)/C94)*100</f>
        <v>0.230149597238205</v>
      </c>
      <c r="G197" s="29" t="n">
        <f aca="false">(ABS(D94-H94)/D94)*100</f>
        <v>0.00125682613695634</v>
      </c>
      <c r="H197" s="26"/>
    </row>
    <row r="198" customFormat="false" ht="15" hidden="false" customHeight="false" outlineLevel="0" collapsed="false">
      <c r="A198" s="7"/>
      <c r="B198" s="27" t="n">
        <v>91</v>
      </c>
      <c r="C198" s="28" t="n">
        <f aca="false">(ABS(C95-E95)/C95)*100</f>
        <v>1.28571428571429</v>
      </c>
      <c r="D198" s="29" t="n">
        <f aca="false">(ABS(D95-F95)/D95)*100</f>
        <v>0.00564971751412429</v>
      </c>
      <c r="E198" s="24"/>
      <c r="F198" s="28" t="n">
        <f aca="false">(ABS(C95-G95)/C95)*100</f>
        <v>0.714285714285714</v>
      </c>
      <c r="G198" s="29" t="n">
        <f aca="false">(ABS(D95-H95)/D95)*100</f>
        <v>0.00313873195229127</v>
      </c>
      <c r="H198" s="26"/>
    </row>
    <row r="199" customFormat="false" ht="15" hidden="false" customHeight="false" outlineLevel="0" collapsed="false">
      <c r="A199" s="7"/>
      <c r="B199" s="27" t="n">
        <v>92</v>
      </c>
      <c r="C199" s="28" t="n">
        <f aca="false">(ABS(C96-E96)/C96)*100</f>
        <v>0.943396226415094</v>
      </c>
      <c r="D199" s="29" t="n">
        <f aca="false">(ABS(D96-F96)/D96)*100</f>
        <v>0.00313538596601242</v>
      </c>
      <c r="E199" s="24"/>
      <c r="F199" s="28" t="n">
        <f aca="false">(ABS(C96-G96)/C96)*100</f>
        <v>0.377358490566038</v>
      </c>
      <c r="G199" s="29" t="n">
        <f aca="false">(ABS(D96-H96)/D96)*100</f>
        <v>0.00125415438640497</v>
      </c>
      <c r="H199" s="26"/>
    </row>
    <row r="200" customFormat="false" ht="15" hidden="false" customHeight="false" outlineLevel="0" collapsed="false">
      <c r="A200" s="7"/>
      <c r="B200" s="27" t="n">
        <v>93</v>
      </c>
      <c r="C200" s="28" t="n">
        <f aca="false">(ABS(C97-E97)/C97)*100</f>
        <v>3.7037037037037</v>
      </c>
      <c r="D200" s="29" t="n">
        <f aca="false">(ABS(D97-F97)/D97)*100</f>
        <v>0.00814286340659822</v>
      </c>
      <c r="E200" s="24"/>
      <c r="F200" s="28" t="n">
        <f aca="false">(ABS(C97-G97)/C97)*100</f>
        <v>0.284900284900285</v>
      </c>
      <c r="G200" s="29" t="n">
        <f aca="false">(ABS(D97-H97)/D97)*100</f>
        <v>0.000626374108199863</v>
      </c>
      <c r="H200" s="26"/>
    </row>
    <row r="201" customFormat="false" ht="15" hidden="false" customHeight="false" outlineLevel="0" collapsed="false">
      <c r="A201" s="7"/>
      <c r="B201" s="27" t="n">
        <v>94</v>
      </c>
      <c r="C201" s="28" t="n">
        <f aca="false">(ABS(C98-E98)/C98)*100</f>
        <v>2.45398773006135</v>
      </c>
      <c r="D201" s="29" t="n">
        <f aca="false">(ABS(D98-F98)/D98)*100</f>
        <v>0.00250254947227488</v>
      </c>
      <c r="E201" s="30" t="s">
        <v>11</v>
      </c>
      <c r="F201" s="28" t="n">
        <f aca="false">(ABS(C98-G98)/C98)*100</f>
        <v>0.613496932515337</v>
      </c>
      <c r="G201" s="29" t="n">
        <f aca="false">(ABS(D98-H98)/D98)*100</f>
        <v>0.00062563736806872</v>
      </c>
      <c r="H201" s="30" t="s">
        <v>11</v>
      </c>
    </row>
    <row r="202" customFormat="false" ht="15" hidden="false" customHeight="false" outlineLevel="0" collapsed="false">
      <c r="A202" s="7"/>
      <c r="B202" s="14" t="s">
        <v>8</v>
      </c>
      <c r="C202" s="31" t="n">
        <f aca="false">(ABS(SUM(C4:C98)-SUM(E4:E98))/SUM(C4:C98))*100</f>
        <v>1.57536517785384</v>
      </c>
      <c r="D202" s="32" t="n">
        <f aca="false">(ABS(SUM(D4:D98)-SUM(F4:F98))/SUM(D4:D98))*100</f>
        <v>0.0186592090186221</v>
      </c>
      <c r="E202" s="33" t="n">
        <f aca="false">SUM(C107:D201)/(95*2)</f>
        <v>0.832145166604369</v>
      </c>
      <c r="F202" s="31" t="n">
        <f aca="false">(ABS(SUM(C4:C98)-SUM(G4:G98))/SUM(C4:C98))*100</f>
        <v>0.0112405649507944</v>
      </c>
      <c r="G202" s="31" t="n">
        <f aca="false">(ABS(SUM(D4:D98)-SUM(H4:H98))/SUM(D4:D98))*100</f>
        <v>0.00013313741718603</v>
      </c>
      <c r="H202" s="33" t="n">
        <f aca="false">SUM(F107:G201)/(95*2)</f>
        <v>0.0699009590434387</v>
      </c>
    </row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1">
    <mergeCell ref="B1:B3"/>
    <mergeCell ref="C1:D2"/>
    <mergeCell ref="E1:H1"/>
    <mergeCell ref="E2:F2"/>
    <mergeCell ref="G2:H2"/>
    <mergeCell ref="A3:A99"/>
    <mergeCell ref="B104:B106"/>
    <mergeCell ref="C104:H104"/>
    <mergeCell ref="C105:E105"/>
    <mergeCell ref="F105:H105"/>
    <mergeCell ref="A106:A2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2"/>
  <sheetViews>
    <sheetView showFormulas="false" showGridLines="true" showRowColHeaders="true" showZeros="true" rightToLeft="false" tabSelected="false" showOutlineSymbols="true" defaultGridColor="true" view="normal" topLeftCell="A171" colorId="64" zoomScale="100" zoomScaleNormal="100" zoomScalePageLayoutView="100" workbookViewId="0">
      <selection pane="topLeft" activeCell="M192" activeCellId="0" sqref="M192"/>
    </sheetView>
  </sheetViews>
  <sheetFormatPr defaultColWidth="8.6875" defaultRowHeight="15" zeroHeight="false" outlineLevelRow="0" outlineLevelCol="0"/>
  <cols>
    <col collapsed="false" customWidth="true" hidden="false" outlineLevel="0" max="6" min="6" style="1" width="22.81"/>
    <col collapsed="false" customWidth="true" hidden="false" outlineLevel="0" max="7" min="7" style="1" width="18.36"/>
    <col collapsed="false" customWidth="true" hidden="false" outlineLevel="0" max="8" min="8" style="1" width="20.03"/>
  </cols>
  <sheetData>
    <row r="1" customFormat="false" ht="15" hidden="false" customHeight="false" outlineLevel="0" collapsed="false">
      <c r="A1" s="2"/>
      <c r="B1" s="3" t="s">
        <v>0</v>
      </c>
      <c r="C1" s="4" t="s">
        <v>1</v>
      </c>
      <c r="D1" s="4"/>
      <c r="E1" s="4" t="s">
        <v>2</v>
      </c>
      <c r="F1" s="4"/>
      <c r="G1" s="4"/>
      <c r="H1" s="4"/>
    </row>
    <row r="2" customFormat="false" ht="15" hidden="false" customHeight="false" outlineLevel="0" collapsed="false">
      <c r="A2" s="2"/>
      <c r="B2" s="3"/>
      <c r="C2" s="4"/>
      <c r="D2" s="4"/>
      <c r="E2" s="5" t="s">
        <v>3</v>
      </c>
      <c r="F2" s="5"/>
      <c r="G2" s="6" t="s">
        <v>4</v>
      </c>
      <c r="H2" s="6"/>
    </row>
    <row r="3" customFormat="false" ht="15" hidden="false" customHeight="false" outlineLevel="0" collapsed="false">
      <c r="A3" s="7" t="s">
        <v>12</v>
      </c>
      <c r="B3" s="3"/>
      <c r="C3" s="34" t="s">
        <v>13</v>
      </c>
      <c r="D3" s="9" t="s">
        <v>7</v>
      </c>
      <c r="E3" s="34" t="s">
        <v>13</v>
      </c>
      <c r="F3" s="10" t="s">
        <v>7</v>
      </c>
      <c r="G3" s="34" t="s">
        <v>13</v>
      </c>
      <c r="H3" s="9" t="s">
        <v>7</v>
      </c>
    </row>
    <row r="4" customFormat="false" ht="15" hidden="false" customHeight="false" outlineLevel="0" collapsed="false">
      <c r="A4" s="7"/>
      <c r="B4" s="2" t="n">
        <v>0</v>
      </c>
      <c r="C4" s="11" t="n">
        <v>163</v>
      </c>
      <c r="D4" s="12" t="n">
        <v>159837</v>
      </c>
      <c r="E4" s="2" t="n">
        <v>163</v>
      </c>
      <c r="F4" s="13" t="n">
        <v>159837</v>
      </c>
      <c r="G4" s="2" t="n">
        <v>163</v>
      </c>
      <c r="H4" s="12" t="n">
        <v>159837</v>
      </c>
    </row>
    <row r="5" customFormat="false" ht="15" hidden="false" customHeight="false" outlineLevel="0" collapsed="false">
      <c r="A5" s="7"/>
      <c r="B5" s="2" t="n">
        <v>1</v>
      </c>
      <c r="C5" s="11" t="n">
        <v>345</v>
      </c>
      <c r="D5" s="12" t="n">
        <v>159655</v>
      </c>
      <c r="E5" s="2" t="n">
        <v>9</v>
      </c>
      <c r="F5" s="13" t="n">
        <v>159991</v>
      </c>
      <c r="G5" s="2" t="n">
        <v>346</v>
      </c>
      <c r="H5" s="12" t="n">
        <v>159654</v>
      </c>
    </row>
    <row r="6" customFormat="false" ht="15" hidden="false" customHeight="false" outlineLevel="0" collapsed="false">
      <c r="A6" s="7"/>
      <c r="B6" s="2" t="n">
        <v>2</v>
      </c>
      <c r="C6" s="11" t="n">
        <v>533</v>
      </c>
      <c r="D6" s="12" t="n">
        <v>159467</v>
      </c>
      <c r="E6" s="2" t="n">
        <v>1</v>
      </c>
      <c r="F6" s="13" t="n">
        <v>159999</v>
      </c>
      <c r="G6" s="2" t="n">
        <v>532</v>
      </c>
      <c r="H6" s="12" t="n">
        <v>159468</v>
      </c>
    </row>
    <row r="7" customFormat="false" ht="15" hidden="false" customHeight="false" outlineLevel="0" collapsed="false">
      <c r="A7" s="7"/>
      <c r="B7" s="2" t="n">
        <v>3</v>
      </c>
      <c r="C7" s="11" t="n">
        <v>694</v>
      </c>
      <c r="D7" s="12" t="n">
        <v>159306</v>
      </c>
      <c r="E7" s="2" t="n">
        <v>94</v>
      </c>
      <c r="F7" s="13" t="n">
        <v>159906</v>
      </c>
      <c r="G7" s="2" t="n">
        <v>692</v>
      </c>
      <c r="H7" s="12" t="n">
        <v>159308</v>
      </c>
    </row>
    <row r="8" customFormat="false" ht="15" hidden="false" customHeight="false" outlineLevel="0" collapsed="false">
      <c r="A8" s="7"/>
      <c r="B8" s="2" t="n">
        <v>4</v>
      </c>
      <c r="C8" s="11" t="n">
        <v>868</v>
      </c>
      <c r="D8" s="12" t="n">
        <v>159132</v>
      </c>
      <c r="E8" s="2" t="n">
        <v>0</v>
      </c>
      <c r="F8" s="13" t="n">
        <v>160000</v>
      </c>
      <c r="G8" s="2" t="n">
        <v>868</v>
      </c>
      <c r="H8" s="12" t="n">
        <v>159132</v>
      </c>
    </row>
    <row r="9" customFormat="false" ht="15" hidden="false" customHeight="false" outlineLevel="0" collapsed="false">
      <c r="A9" s="7"/>
      <c r="B9" s="2" t="n">
        <v>5</v>
      </c>
      <c r="C9" s="11" t="n">
        <v>1025</v>
      </c>
      <c r="D9" s="12" t="n">
        <v>158975</v>
      </c>
      <c r="E9" s="2" t="n">
        <v>21</v>
      </c>
      <c r="F9" s="13" t="n">
        <v>159979</v>
      </c>
      <c r="G9" s="2" t="n">
        <v>1027</v>
      </c>
      <c r="H9" s="12" t="n">
        <v>158973</v>
      </c>
    </row>
    <row r="10" customFormat="false" ht="15" hidden="false" customHeight="false" outlineLevel="0" collapsed="false">
      <c r="A10" s="7"/>
      <c r="B10" s="2" t="n">
        <v>6</v>
      </c>
      <c r="C10" s="11" t="n">
        <v>1174</v>
      </c>
      <c r="D10" s="12" t="n">
        <v>158826</v>
      </c>
      <c r="E10" s="2" t="n">
        <v>191</v>
      </c>
      <c r="F10" s="13" t="n">
        <v>159809</v>
      </c>
      <c r="G10" s="2" t="n">
        <v>1173</v>
      </c>
      <c r="H10" s="12" t="n">
        <v>158827</v>
      </c>
    </row>
    <row r="11" customFormat="false" ht="15" hidden="false" customHeight="false" outlineLevel="0" collapsed="false">
      <c r="A11" s="7"/>
      <c r="B11" s="2" t="n">
        <v>7</v>
      </c>
      <c r="C11" s="11" t="n">
        <v>1320</v>
      </c>
      <c r="D11" s="12" t="n">
        <v>158680</v>
      </c>
      <c r="E11" s="2" t="n">
        <v>0</v>
      </c>
      <c r="F11" s="13" t="n">
        <v>160000</v>
      </c>
      <c r="G11" s="2" t="n">
        <v>1320</v>
      </c>
      <c r="H11" s="12" t="n">
        <v>158680</v>
      </c>
    </row>
    <row r="12" customFormat="false" ht="15" hidden="false" customHeight="false" outlineLevel="0" collapsed="false">
      <c r="A12" s="7"/>
      <c r="B12" s="2" t="n">
        <v>8</v>
      </c>
      <c r="C12" s="11" t="n">
        <v>1459</v>
      </c>
      <c r="D12" s="12" t="n">
        <v>158541</v>
      </c>
      <c r="E12" s="2" t="n">
        <v>31</v>
      </c>
      <c r="F12" s="13" t="n">
        <v>159969</v>
      </c>
      <c r="G12" s="2" t="n">
        <v>1461</v>
      </c>
      <c r="H12" s="12" t="n">
        <v>158539</v>
      </c>
    </row>
    <row r="13" customFormat="false" ht="15" hidden="false" customHeight="false" outlineLevel="0" collapsed="false">
      <c r="A13" s="7"/>
      <c r="B13" s="2" t="n">
        <v>9</v>
      </c>
      <c r="C13" s="11" t="n">
        <v>1583</v>
      </c>
      <c r="D13" s="12" t="n">
        <v>158417</v>
      </c>
      <c r="E13" s="2" t="n">
        <v>0</v>
      </c>
      <c r="F13" s="13" t="n">
        <v>160000</v>
      </c>
      <c r="G13" s="2" t="n">
        <v>1583</v>
      </c>
      <c r="H13" s="12" t="n">
        <v>158417</v>
      </c>
    </row>
    <row r="14" customFormat="false" ht="15" hidden="false" customHeight="false" outlineLevel="0" collapsed="false">
      <c r="A14" s="7"/>
      <c r="B14" s="2" t="n">
        <v>10</v>
      </c>
      <c r="C14" s="11" t="n">
        <v>1707</v>
      </c>
      <c r="D14" s="12" t="n">
        <v>158293</v>
      </c>
      <c r="E14" s="2" t="n">
        <v>216</v>
      </c>
      <c r="F14" s="13" t="n">
        <v>159784</v>
      </c>
      <c r="G14" s="2" t="n">
        <v>1694</v>
      </c>
      <c r="H14" s="12" t="n">
        <v>158306</v>
      </c>
    </row>
    <row r="15" customFormat="false" ht="15" hidden="false" customHeight="false" outlineLevel="0" collapsed="false">
      <c r="A15" s="7"/>
      <c r="B15" s="2" t="n">
        <v>11</v>
      </c>
      <c r="C15" s="11" t="n">
        <v>1833</v>
      </c>
      <c r="D15" s="12" t="n">
        <v>158167</v>
      </c>
      <c r="E15" s="2" t="n">
        <v>233</v>
      </c>
      <c r="F15" s="13" t="n">
        <v>159767</v>
      </c>
      <c r="G15" s="2" t="n">
        <v>1834</v>
      </c>
      <c r="H15" s="12" t="n">
        <v>158166</v>
      </c>
    </row>
    <row r="16" customFormat="false" ht="15" hidden="false" customHeight="false" outlineLevel="0" collapsed="false">
      <c r="A16" s="7"/>
      <c r="B16" s="2" t="n">
        <v>12</v>
      </c>
      <c r="C16" s="11" t="n">
        <v>1938</v>
      </c>
      <c r="D16" s="12" t="n">
        <v>158062</v>
      </c>
      <c r="E16" s="2" t="n">
        <v>10</v>
      </c>
      <c r="F16" s="13" t="n">
        <v>159990</v>
      </c>
      <c r="G16" s="2" t="n">
        <v>1936</v>
      </c>
      <c r="H16" s="12" t="n">
        <v>158064</v>
      </c>
    </row>
    <row r="17" customFormat="false" ht="15" hidden="false" customHeight="false" outlineLevel="0" collapsed="false">
      <c r="A17" s="7"/>
      <c r="B17" s="2" t="n">
        <v>13</v>
      </c>
      <c r="C17" s="11" t="n">
        <v>2043</v>
      </c>
      <c r="D17" s="12" t="n">
        <v>157957</v>
      </c>
      <c r="E17" s="2" t="n">
        <v>83</v>
      </c>
      <c r="F17" s="13" t="n">
        <v>159917</v>
      </c>
      <c r="G17" s="2" t="n">
        <v>2044</v>
      </c>
      <c r="H17" s="12" t="n">
        <v>157956</v>
      </c>
    </row>
    <row r="18" customFormat="false" ht="15" hidden="false" customHeight="false" outlineLevel="0" collapsed="false">
      <c r="A18" s="7"/>
      <c r="B18" s="2" t="n">
        <v>14</v>
      </c>
      <c r="C18" s="11" t="n">
        <v>2139</v>
      </c>
      <c r="D18" s="12" t="n">
        <v>157861</v>
      </c>
      <c r="E18" s="2" t="n">
        <v>17</v>
      </c>
      <c r="F18" s="13" t="n">
        <v>159983</v>
      </c>
      <c r="G18" s="2" t="n">
        <v>2136</v>
      </c>
      <c r="H18" s="12" t="n">
        <v>157864</v>
      </c>
    </row>
    <row r="19" customFormat="false" ht="15" hidden="false" customHeight="false" outlineLevel="0" collapsed="false">
      <c r="A19" s="7"/>
      <c r="B19" s="2" t="n">
        <v>15</v>
      </c>
      <c r="C19" s="11" t="n">
        <v>2221</v>
      </c>
      <c r="D19" s="12" t="n">
        <v>157779</v>
      </c>
      <c r="E19" s="2" t="n">
        <v>112</v>
      </c>
      <c r="F19" s="13" t="n">
        <v>159888</v>
      </c>
      <c r="G19" s="2" t="n">
        <v>2215</v>
      </c>
      <c r="H19" s="12" t="n">
        <v>157785</v>
      </c>
    </row>
    <row r="20" customFormat="false" ht="15" hidden="false" customHeight="false" outlineLevel="0" collapsed="false">
      <c r="A20" s="7"/>
      <c r="B20" s="2" t="n">
        <v>16</v>
      </c>
      <c r="C20" s="11" t="n">
        <v>2298</v>
      </c>
      <c r="D20" s="12" t="n">
        <v>157702</v>
      </c>
      <c r="E20" s="2" t="n">
        <v>31</v>
      </c>
      <c r="F20" s="13" t="n">
        <v>159969</v>
      </c>
      <c r="G20" s="2" t="n">
        <v>2294</v>
      </c>
      <c r="H20" s="12" t="n">
        <v>157706</v>
      </c>
    </row>
    <row r="21" customFormat="false" ht="15" hidden="false" customHeight="false" outlineLevel="0" collapsed="false">
      <c r="A21" s="7"/>
      <c r="B21" s="2" t="n">
        <v>17</v>
      </c>
      <c r="C21" s="11" t="n">
        <v>2370</v>
      </c>
      <c r="D21" s="12" t="n">
        <v>157630</v>
      </c>
      <c r="E21" s="2" t="n">
        <v>0</v>
      </c>
      <c r="F21" s="13" t="n">
        <v>160000</v>
      </c>
      <c r="G21" s="2" t="n">
        <v>2367</v>
      </c>
      <c r="H21" s="12" t="n">
        <v>157633</v>
      </c>
    </row>
    <row r="22" customFormat="false" ht="15" hidden="false" customHeight="false" outlineLevel="0" collapsed="false">
      <c r="A22" s="7"/>
      <c r="B22" s="2" t="n">
        <v>18</v>
      </c>
      <c r="C22" s="11" t="n">
        <v>2433</v>
      </c>
      <c r="D22" s="12" t="n">
        <v>157567</v>
      </c>
      <c r="E22" s="2" t="n">
        <v>398</v>
      </c>
      <c r="F22" s="13" t="n">
        <v>159602</v>
      </c>
      <c r="G22" s="2" t="n">
        <v>2432</v>
      </c>
      <c r="H22" s="12" t="n">
        <v>157568</v>
      </c>
    </row>
    <row r="23" customFormat="false" ht="15" hidden="false" customHeight="false" outlineLevel="0" collapsed="false">
      <c r="A23" s="7"/>
      <c r="B23" s="2" t="n">
        <v>19</v>
      </c>
      <c r="C23" s="11" t="n">
        <v>2491</v>
      </c>
      <c r="D23" s="12" t="n">
        <v>157509</v>
      </c>
      <c r="E23" s="2" t="n">
        <v>255</v>
      </c>
      <c r="F23" s="13" t="n">
        <v>159745</v>
      </c>
      <c r="G23" s="2" t="n">
        <v>2491</v>
      </c>
      <c r="H23" s="12" t="n">
        <v>157509</v>
      </c>
    </row>
    <row r="24" customFormat="false" ht="15" hidden="false" customHeight="false" outlineLevel="0" collapsed="false">
      <c r="A24" s="7"/>
      <c r="B24" s="2" t="n">
        <v>20</v>
      </c>
      <c r="C24" s="11" t="n">
        <v>2528</v>
      </c>
      <c r="D24" s="12" t="n">
        <v>157472</v>
      </c>
      <c r="E24" s="2" t="n">
        <v>10</v>
      </c>
      <c r="F24" s="13" t="n">
        <v>159990</v>
      </c>
      <c r="G24" s="2" t="n">
        <v>2532</v>
      </c>
      <c r="H24" s="12" t="n">
        <v>157468</v>
      </c>
    </row>
    <row r="25" customFormat="false" ht="15" hidden="false" customHeight="false" outlineLevel="0" collapsed="false">
      <c r="A25" s="7"/>
      <c r="B25" s="2" t="n">
        <v>21</v>
      </c>
      <c r="C25" s="11" t="n">
        <v>2564</v>
      </c>
      <c r="D25" s="12" t="n">
        <v>157436</v>
      </c>
      <c r="E25" s="2" t="n">
        <v>33</v>
      </c>
      <c r="F25" s="13" t="n">
        <v>159967</v>
      </c>
      <c r="G25" s="2" t="n">
        <v>2565</v>
      </c>
      <c r="H25" s="12" t="n">
        <v>157435</v>
      </c>
    </row>
    <row r="26" customFormat="false" ht="15" hidden="false" customHeight="false" outlineLevel="0" collapsed="false">
      <c r="A26" s="7"/>
      <c r="B26" s="2" t="n">
        <v>22</v>
      </c>
      <c r="C26" s="11" t="n">
        <v>2599</v>
      </c>
      <c r="D26" s="12" t="n">
        <v>157401</v>
      </c>
      <c r="E26" s="2" t="n">
        <v>221</v>
      </c>
      <c r="F26" s="13" t="n">
        <v>159779</v>
      </c>
      <c r="G26" s="2" t="n">
        <v>2598</v>
      </c>
      <c r="H26" s="12" t="n">
        <v>157402</v>
      </c>
    </row>
    <row r="27" customFormat="false" ht="15" hidden="false" customHeight="false" outlineLevel="0" collapsed="false">
      <c r="A27" s="7"/>
      <c r="B27" s="2" t="n">
        <v>23</v>
      </c>
      <c r="C27" s="11" t="n">
        <v>2609</v>
      </c>
      <c r="D27" s="12" t="n">
        <v>157391</v>
      </c>
      <c r="E27" s="2" t="n">
        <v>11</v>
      </c>
      <c r="F27" s="13" t="n">
        <v>159989</v>
      </c>
      <c r="G27" s="2" t="n">
        <v>2609</v>
      </c>
      <c r="H27" s="12" t="n">
        <v>157391</v>
      </c>
    </row>
    <row r="28" customFormat="false" ht="15" hidden="false" customHeight="false" outlineLevel="0" collapsed="false">
      <c r="A28" s="7"/>
      <c r="B28" s="2" t="n">
        <v>24</v>
      </c>
      <c r="C28" s="11" t="n">
        <v>2617</v>
      </c>
      <c r="D28" s="12" t="n">
        <v>157383</v>
      </c>
      <c r="E28" s="2" t="n">
        <v>29</v>
      </c>
      <c r="F28" s="13" t="n">
        <v>159971</v>
      </c>
      <c r="G28" s="2" t="n">
        <v>2616</v>
      </c>
      <c r="H28" s="12" t="n">
        <v>157384</v>
      </c>
    </row>
    <row r="29" customFormat="false" ht="15" hidden="false" customHeight="false" outlineLevel="0" collapsed="false">
      <c r="A29" s="7"/>
      <c r="B29" s="2" t="n">
        <v>25</v>
      </c>
      <c r="C29" s="11" t="n">
        <v>2613</v>
      </c>
      <c r="D29" s="12" t="n">
        <v>157387</v>
      </c>
      <c r="E29" s="2" t="n">
        <v>230</v>
      </c>
      <c r="F29" s="13" t="n">
        <v>159770</v>
      </c>
      <c r="G29" s="2" t="n">
        <v>2615</v>
      </c>
      <c r="H29" s="12" t="n">
        <v>157385</v>
      </c>
    </row>
    <row r="30" customFormat="false" ht="15" hidden="false" customHeight="false" outlineLevel="0" collapsed="false">
      <c r="A30" s="7"/>
      <c r="B30" s="2" t="n">
        <v>26</v>
      </c>
      <c r="C30" s="11" t="n">
        <v>2589</v>
      </c>
      <c r="D30" s="12" t="n">
        <v>157411</v>
      </c>
      <c r="E30" s="2" t="n">
        <v>34</v>
      </c>
      <c r="F30" s="13" t="n">
        <v>159966</v>
      </c>
      <c r="G30" s="2" t="n">
        <v>2589</v>
      </c>
      <c r="H30" s="12" t="n">
        <v>157411</v>
      </c>
    </row>
    <row r="31" customFormat="false" ht="15" hidden="false" customHeight="false" outlineLevel="0" collapsed="false">
      <c r="A31" s="7"/>
      <c r="B31" s="2" t="n">
        <v>27</v>
      </c>
      <c r="C31" s="11" t="n">
        <v>2539</v>
      </c>
      <c r="D31" s="12" t="n">
        <v>157461</v>
      </c>
      <c r="E31" s="2" t="n">
        <v>27</v>
      </c>
      <c r="F31" s="13" t="n">
        <v>159973</v>
      </c>
      <c r="G31" s="2" t="n">
        <v>2537</v>
      </c>
      <c r="H31" s="12" t="n">
        <v>157463</v>
      </c>
    </row>
    <row r="32" customFormat="false" ht="15" hidden="false" customHeight="false" outlineLevel="0" collapsed="false">
      <c r="A32" s="7"/>
      <c r="B32" s="2" t="n">
        <v>28</v>
      </c>
      <c r="C32" s="11" t="n">
        <v>2473</v>
      </c>
      <c r="D32" s="12" t="n">
        <v>157527</v>
      </c>
      <c r="E32" s="2" t="n">
        <v>76</v>
      </c>
      <c r="F32" s="13" t="n">
        <v>159924</v>
      </c>
      <c r="G32" s="2" t="n">
        <v>2473</v>
      </c>
      <c r="H32" s="12" t="n">
        <v>157527</v>
      </c>
    </row>
    <row r="33" customFormat="false" ht="15" hidden="false" customHeight="false" outlineLevel="0" collapsed="false">
      <c r="A33" s="7"/>
      <c r="B33" s="2" t="n">
        <v>29</v>
      </c>
      <c r="C33" s="11" t="n">
        <v>2355</v>
      </c>
      <c r="D33" s="12" t="n">
        <v>157645</v>
      </c>
      <c r="E33" s="2" t="n">
        <v>20</v>
      </c>
      <c r="F33" s="13" t="n">
        <v>159980</v>
      </c>
      <c r="G33" s="2" t="n">
        <v>2355</v>
      </c>
      <c r="H33" s="12" t="n">
        <v>157645</v>
      </c>
    </row>
    <row r="34" customFormat="false" ht="15" hidden="false" customHeight="false" outlineLevel="0" collapsed="false">
      <c r="A34" s="7"/>
      <c r="B34" s="2" t="n">
        <v>30</v>
      </c>
      <c r="C34" s="11" t="n">
        <v>2195</v>
      </c>
      <c r="D34" s="12" t="n">
        <v>157805</v>
      </c>
      <c r="E34" s="2" t="n">
        <v>33</v>
      </c>
      <c r="F34" s="13" t="n">
        <v>159967</v>
      </c>
      <c r="G34" s="2" t="n">
        <v>2195</v>
      </c>
      <c r="H34" s="12" t="n">
        <v>157805</v>
      </c>
    </row>
    <row r="35" customFormat="false" ht="15" hidden="false" customHeight="false" outlineLevel="0" collapsed="false">
      <c r="A35" s="7"/>
      <c r="B35" s="2" t="n">
        <v>31</v>
      </c>
      <c r="C35" s="11" t="n">
        <v>2103</v>
      </c>
      <c r="D35" s="12" t="n">
        <v>157897</v>
      </c>
      <c r="E35" s="2" t="n">
        <v>0</v>
      </c>
      <c r="F35" s="13" t="n">
        <v>160000</v>
      </c>
      <c r="G35" s="2" t="n">
        <v>2104</v>
      </c>
      <c r="H35" s="12" t="n">
        <v>157896</v>
      </c>
    </row>
    <row r="36" customFormat="false" ht="15" hidden="false" customHeight="false" outlineLevel="0" collapsed="false">
      <c r="A36" s="7"/>
      <c r="B36" s="2" t="n">
        <v>32</v>
      </c>
      <c r="C36" s="11" t="n">
        <v>2046</v>
      </c>
      <c r="D36" s="12" t="n">
        <v>157954</v>
      </c>
      <c r="E36" s="2" t="n">
        <v>3</v>
      </c>
      <c r="F36" s="13" t="n">
        <v>159997</v>
      </c>
      <c r="G36" s="2" t="n">
        <v>2045</v>
      </c>
      <c r="H36" s="12" t="n">
        <v>157955</v>
      </c>
    </row>
    <row r="37" customFormat="false" ht="15" hidden="false" customHeight="false" outlineLevel="0" collapsed="false">
      <c r="A37" s="7"/>
      <c r="B37" s="2" t="n">
        <v>33</v>
      </c>
      <c r="C37" s="11" t="n">
        <v>1986</v>
      </c>
      <c r="D37" s="12" t="n">
        <v>158014</v>
      </c>
      <c r="E37" s="2" t="n">
        <v>7</v>
      </c>
      <c r="F37" s="13" t="n">
        <v>159993</v>
      </c>
      <c r="G37" s="2" t="n">
        <v>1985</v>
      </c>
      <c r="H37" s="12" t="n">
        <v>158015</v>
      </c>
    </row>
    <row r="38" customFormat="false" ht="15" hidden="false" customHeight="false" outlineLevel="0" collapsed="false">
      <c r="A38" s="7"/>
      <c r="B38" s="2" t="n">
        <v>34</v>
      </c>
      <c r="C38" s="11" t="n">
        <v>1946</v>
      </c>
      <c r="D38" s="12" t="n">
        <v>158054</v>
      </c>
      <c r="E38" s="2" t="n">
        <v>59</v>
      </c>
      <c r="F38" s="13" t="n">
        <v>159941</v>
      </c>
      <c r="G38" s="2" t="n">
        <v>1947</v>
      </c>
      <c r="H38" s="12" t="n">
        <v>158053</v>
      </c>
    </row>
    <row r="39" customFormat="false" ht="15" hidden="false" customHeight="false" outlineLevel="0" collapsed="false">
      <c r="A39" s="7"/>
      <c r="B39" s="2" t="n">
        <v>35</v>
      </c>
      <c r="C39" s="11" t="n">
        <v>1902</v>
      </c>
      <c r="D39" s="12" t="n">
        <v>158098</v>
      </c>
      <c r="E39" s="2" t="n">
        <v>142</v>
      </c>
      <c r="F39" s="13" t="n">
        <v>159858</v>
      </c>
      <c r="G39" s="2" t="n">
        <v>1906</v>
      </c>
      <c r="H39" s="12" t="n">
        <v>158094</v>
      </c>
    </row>
    <row r="40" customFormat="false" ht="15" hidden="false" customHeight="false" outlineLevel="0" collapsed="false">
      <c r="A40" s="7"/>
      <c r="B40" s="2" t="n">
        <v>36</v>
      </c>
      <c r="C40" s="11" t="n">
        <v>1880</v>
      </c>
      <c r="D40" s="12" t="n">
        <v>158120</v>
      </c>
      <c r="E40" s="2" t="n">
        <v>9</v>
      </c>
      <c r="F40" s="13" t="n">
        <v>159991</v>
      </c>
      <c r="G40" s="2" t="n">
        <v>1878</v>
      </c>
      <c r="H40" s="12" t="n">
        <v>158122</v>
      </c>
    </row>
    <row r="41" customFormat="false" ht="15" hidden="false" customHeight="false" outlineLevel="0" collapsed="false">
      <c r="A41" s="7"/>
      <c r="B41" s="2" t="n">
        <v>37</v>
      </c>
      <c r="C41" s="11" t="n">
        <v>1848</v>
      </c>
      <c r="D41" s="12" t="n">
        <v>158152</v>
      </c>
      <c r="E41" s="2" t="n">
        <v>173</v>
      </c>
      <c r="F41" s="13" t="n">
        <v>159827</v>
      </c>
      <c r="G41" s="2" t="n">
        <v>1844</v>
      </c>
      <c r="H41" s="12" t="n">
        <v>158156</v>
      </c>
    </row>
    <row r="42" customFormat="false" ht="15" hidden="false" customHeight="false" outlineLevel="0" collapsed="false">
      <c r="A42" s="7"/>
      <c r="B42" s="2" t="n">
        <v>38</v>
      </c>
      <c r="C42" s="11" t="n">
        <v>1823</v>
      </c>
      <c r="D42" s="12" t="n">
        <v>158177</v>
      </c>
      <c r="E42" s="2" t="n">
        <v>230</v>
      </c>
      <c r="F42" s="13" t="n">
        <v>159770</v>
      </c>
      <c r="G42" s="2" t="n">
        <v>1827</v>
      </c>
      <c r="H42" s="12" t="n">
        <v>158173</v>
      </c>
    </row>
    <row r="43" customFormat="false" ht="15" hidden="false" customHeight="false" outlineLevel="0" collapsed="false">
      <c r="A43" s="7"/>
      <c r="B43" s="2" t="n">
        <v>39</v>
      </c>
      <c r="C43" s="11" t="n">
        <v>1807</v>
      </c>
      <c r="D43" s="12" t="n">
        <v>158193</v>
      </c>
      <c r="E43" s="2" t="n">
        <v>23</v>
      </c>
      <c r="F43" s="13" t="n">
        <v>159977</v>
      </c>
      <c r="G43" s="2" t="n">
        <v>1806</v>
      </c>
      <c r="H43" s="12" t="n">
        <v>158194</v>
      </c>
    </row>
    <row r="44" customFormat="false" ht="15" hidden="false" customHeight="false" outlineLevel="0" collapsed="false">
      <c r="A44" s="7"/>
      <c r="B44" s="2" t="n">
        <v>40</v>
      </c>
      <c r="C44" s="11" t="n">
        <v>1789</v>
      </c>
      <c r="D44" s="12" t="n">
        <v>158211</v>
      </c>
      <c r="E44" s="2" t="n">
        <v>4</v>
      </c>
      <c r="F44" s="13" t="n">
        <v>159996</v>
      </c>
      <c r="G44" s="2" t="n">
        <v>1786</v>
      </c>
      <c r="H44" s="12" t="n">
        <v>158214</v>
      </c>
    </row>
    <row r="45" customFormat="false" ht="15" hidden="false" customHeight="false" outlineLevel="0" collapsed="false">
      <c r="A45" s="7"/>
      <c r="B45" s="2" t="n">
        <v>41</v>
      </c>
      <c r="C45" s="11" t="n">
        <v>1771</v>
      </c>
      <c r="D45" s="12" t="n">
        <v>158229</v>
      </c>
      <c r="E45" s="2" t="n">
        <v>24</v>
      </c>
      <c r="F45" s="13" t="n">
        <v>159976</v>
      </c>
      <c r="G45" s="2" t="n">
        <v>1773</v>
      </c>
      <c r="H45" s="12" t="n">
        <v>158227</v>
      </c>
    </row>
    <row r="46" customFormat="false" ht="15" hidden="false" customHeight="false" outlineLevel="0" collapsed="false">
      <c r="A46" s="7"/>
      <c r="B46" s="2" t="n">
        <v>42</v>
      </c>
      <c r="C46" s="11" t="n">
        <v>1766</v>
      </c>
      <c r="D46" s="12" t="n">
        <v>158234</v>
      </c>
      <c r="E46" s="2" t="n">
        <v>191</v>
      </c>
      <c r="F46" s="13" t="n">
        <v>159809</v>
      </c>
      <c r="G46" s="2" t="n">
        <v>1766</v>
      </c>
      <c r="H46" s="12" t="n">
        <v>158234</v>
      </c>
    </row>
    <row r="47" customFormat="false" ht="15" hidden="false" customHeight="false" outlineLevel="0" collapsed="false">
      <c r="A47" s="7"/>
      <c r="B47" s="2" t="n">
        <v>43</v>
      </c>
      <c r="C47" s="11" t="n">
        <v>1753</v>
      </c>
      <c r="D47" s="12" t="n">
        <v>158247</v>
      </c>
      <c r="E47" s="2" t="n">
        <v>23</v>
      </c>
      <c r="F47" s="13" t="n">
        <v>159977</v>
      </c>
      <c r="G47" s="2" t="n">
        <v>1752</v>
      </c>
      <c r="H47" s="12" t="n">
        <v>158248</v>
      </c>
    </row>
    <row r="48" customFormat="false" ht="15" hidden="false" customHeight="false" outlineLevel="0" collapsed="false">
      <c r="A48" s="7"/>
      <c r="B48" s="2" t="n">
        <v>44</v>
      </c>
      <c r="C48" s="11" t="n">
        <v>1749</v>
      </c>
      <c r="D48" s="12" t="n">
        <v>158251</v>
      </c>
      <c r="E48" s="2" t="n">
        <v>2</v>
      </c>
      <c r="F48" s="13" t="n">
        <v>159998</v>
      </c>
      <c r="G48" s="2" t="n">
        <v>1747</v>
      </c>
      <c r="H48" s="12" t="n">
        <v>158253</v>
      </c>
    </row>
    <row r="49" customFormat="false" ht="15" hidden="false" customHeight="false" outlineLevel="0" collapsed="false">
      <c r="A49" s="7"/>
      <c r="B49" s="2" t="n">
        <v>45</v>
      </c>
      <c r="C49" s="11" t="n">
        <v>1750</v>
      </c>
      <c r="D49" s="12" t="n">
        <v>158250</v>
      </c>
      <c r="E49" s="2" t="n">
        <v>125</v>
      </c>
      <c r="F49" s="13" t="n">
        <v>159875</v>
      </c>
      <c r="G49" s="2" t="n">
        <v>1748</v>
      </c>
      <c r="H49" s="12" t="n">
        <v>158252</v>
      </c>
    </row>
    <row r="50" customFormat="false" ht="15" hidden="false" customHeight="false" outlineLevel="0" collapsed="false">
      <c r="A50" s="7"/>
      <c r="B50" s="2" t="n">
        <v>46</v>
      </c>
      <c r="C50" s="11" t="n">
        <v>1739</v>
      </c>
      <c r="D50" s="12" t="n">
        <v>158261</v>
      </c>
      <c r="E50" s="2" t="n">
        <v>314</v>
      </c>
      <c r="F50" s="13" t="n">
        <v>159686</v>
      </c>
      <c r="G50" s="2" t="n">
        <v>1735</v>
      </c>
      <c r="H50" s="12" t="n">
        <v>158265</v>
      </c>
    </row>
    <row r="51" customFormat="false" ht="15" hidden="false" customHeight="false" outlineLevel="0" collapsed="false">
      <c r="A51" s="7"/>
      <c r="B51" s="2" t="n">
        <v>47</v>
      </c>
      <c r="C51" s="11" t="n">
        <v>1734</v>
      </c>
      <c r="D51" s="12" t="n">
        <v>158266</v>
      </c>
      <c r="E51" s="2" t="n">
        <v>62</v>
      </c>
      <c r="F51" s="13" t="n">
        <v>159938</v>
      </c>
      <c r="G51" s="2" t="n">
        <v>1732</v>
      </c>
      <c r="H51" s="12" t="n">
        <v>158268</v>
      </c>
    </row>
    <row r="52" customFormat="false" ht="15" hidden="false" customHeight="false" outlineLevel="0" collapsed="false">
      <c r="A52" s="7"/>
      <c r="B52" s="2" t="n">
        <v>48</v>
      </c>
      <c r="C52" s="11" t="n">
        <v>1741</v>
      </c>
      <c r="D52" s="12" t="n">
        <v>158259</v>
      </c>
      <c r="E52" s="2" t="n">
        <v>19</v>
      </c>
      <c r="F52" s="13" t="n">
        <v>159981</v>
      </c>
      <c r="G52" s="2" t="n">
        <v>1741</v>
      </c>
      <c r="H52" s="12" t="n">
        <v>158259</v>
      </c>
    </row>
    <row r="53" customFormat="false" ht="15" hidden="false" customHeight="false" outlineLevel="0" collapsed="false">
      <c r="A53" s="7"/>
      <c r="B53" s="2" t="n">
        <v>49</v>
      </c>
      <c r="C53" s="11" t="n">
        <v>1749</v>
      </c>
      <c r="D53" s="12" t="n">
        <v>158251</v>
      </c>
      <c r="E53" s="2" t="n">
        <v>0</v>
      </c>
      <c r="F53" s="13" t="n">
        <v>160000</v>
      </c>
      <c r="G53" s="2" t="n">
        <v>1749</v>
      </c>
      <c r="H53" s="12" t="n">
        <v>158251</v>
      </c>
    </row>
    <row r="54" customFormat="false" ht="15" hidden="false" customHeight="false" outlineLevel="0" collapsed="false">
      <c r="A54" s="7"/>
      <c r="B54" s="2" t="n">
        <v>50</v>
      </c>
      <c r="C54" s="11" t="n">
        <v>1744</v>
      </c>
      <c r="D54" s="12" t="n">
        <v>158256</v>
      </c>
      <c r="E54" s="2" t="n">
        <v>53</v>
      </c>
      <c r="F54" s="13" t="n">
        <v>159947</v>
      </c>
      <c r="G54" s="2" t="n">
        <v>1741</v>
      </c>
      <c r="H54" s="12" t="n">
        <v>158259</v>
      </c>
    </row>
    <row r="55" customFormat="false" ht="15" hidden="false" customHeight="false" outlineLevel="0" collapsed="false">
      <c r="A55" s="7"/>
      <c r="B55" s="2" t="n">
        <v>51</v>
      </c>
      <c r="C55" s="11" t="n">
        <v>1755</v>
      </c>
      <c r="D55" s="12" t="n">
        <v>158245</v>
      </c>
      <c r="E55" s="2" t="n">
        <v>0</v>
      </c>
      <c r="F55" s="13" t="n">
        <v>160000</v>
      </c>
      <c r="G55" s="2" t="n">
        <v>1755</v>
      </c>
      <c r="H55" s="12" t="n">
        <v>158245</v>
      </c>
    </row>
    <row r="56" customFormat="false" ht="15" hidden="false" customHeight="false" outlineLevel="0" collapsed="false">
      <c r="A56" s="7"/>
      <c r="B56" s="2" t="n">
        <v>52</v>
      </c>
      <c r="C56" s="11" t="n">
        <v>1761</v>
      </c>
      <c r="D56" s="12" t="n">
        <v>158239</v>
      </c>
      <c r="E56" s="2" t="n">
        <v>93</v>
      </c>
      <c r="F56" s="13" t="n">
        <v>159907</v>
      </c>
      <c r="G56" s="2" t="n">
        <v>1763</v>
      </c>
      <c r="H56" s="12" t="n">
        <v>158237</v>
      </c>
    </row>
    <row r="57" customFormat="false" ht="15" hidden="false" customHeight="false" outlineLevel="0" collapsed="false">
      <c r="A57" s="7"/>
      <c r="B57" s="2" t="n">
        <v>53</v>
      </c>
      <c r="C57" s="11" t="n">
        <v>1777</v>
      </c>
      <c r="D57" s="12" t="n">
        <v>158223</v>
      </c>
      <c r="E57" s="2" t="n">
        <v>19</v>
      </c>
      <c r="F57" s="13" t="n">
        <v>159981</v>
      </c>
      <c r="G57" s="2" t="n">
        <v>1779</v>
      </c>
      <c r="H57" s="12" t="n">
        <v>158221</v>
      </c>
    </row>
    <row r="58" customFormat="false" ht="15" hidden="false" customHeight="false" outlineLevel="0" collapsed="false">
      <c r="A58" s="7"/>
      <c r="B58" s="2" t="n">
        <v>54</v>
      </c>
      <c r="C58" s="11" t="n">
        <v>1791</v>
      </c>
      <c r="D58" s="12" t="n">
        <v>158209</v>
      </c>
      <c r="E58" s="2" t="n">
        <v>191</v>
      </c>
      <c r="F58" s="13" t="n">
        <v>159809</v>
      </c>
      <c r="G58" s="2" t="n">
        <v>1792</v>
      </c>
      <c r="H58" s="12" t="n">
        <v>158208</v>
      </c>
    </row>
    <row r="59" customFormat="false" ht="15" hidden="false" customHeight="false" outlineLevel="0" collapsed="false">
      <c r="A59" s="7"/>
      <c r="B59" s="2" t="n">
        <v>55</v>
      </c>
      <c r="C59" s="11" t="n">
        <v>1805</v>
      </c>
      <c r="D59" s="12" t="n">
        <v>158195</v>
      </c>
      <c r="E59" s="2" t="n">
        <v>11</v>
      </c>
      <c r="F59" s="13" t="n">
        <v>159989</v>
      </c>
      <c r="G59" s="2" t="n">
        <v>1803</v>
      </c>
      <c r="H59" s="12" t="n">
        <v>158197</v>
      </c>
    </row>
    <row r="60" customFormat="false" ht="15" hidden="false" customHeight="false" outlineLevel="0" collapsed="false">
      <c r="A60" s="7"/>
      <c r="B60" s="2" t="n">
        <v>56</v>
      </c>
      <c r="C60" s="11" t="n">
        <v>1826</v>
      </c>
      <c r="D60" s="12" t="n">
        <v>158174</v>
      </c>
      <c r="E60" s="2" t="n">
        <v>10</v>
      </c>
      <c r="F60" s="13" t="n">
        <v>159990</v>
      </c>
      <c r="G60" s="2" t="n">
        <v>1829</v>
      </c>
      <c r="H60" s="12" t="n">
        <v>158171</v>
      </c>
    </row>
    <row r="61" customFormat="false" ht="15" hidden="false" customHeight="false" outlineLevel="0" collapsed="false">
      <c r="A61" s="7"/>
      <c r="B61" s="2" t="n">
        <v>57</v>
      </c>
      <c r="C61" s="11" t="n">
        <v>1846</v>
      </c>
      <c r="D61" s="12" t="n">
        <v>158154</v>
      </c>
      <c r="E61" s="2" t="n">
        <v>0</v>
      </c>
      <c r="F61" s="13" t="n">
        <v>160000</v>
      </c>
      <c r="G61" s="2" t="n">
        <v>1844</v>
      </c>
      <c r="H61" s="12" t="n">
        <v>158156</v>
      </c>
    </row>
    <row r="62" customFormat="false" ht="15" hidden="false" customHeight="false" outlineLevel="0" collapsed="false">
      <c r="A62" s="7"/>
      <c r="B62" s="2" t="n">
        <v>58</v>
      </c>
      <c r="C62" s="11" t="n">
        <v>1875</v>
      </c>
      <c r="D62" s="12" t="n">
        <v>158125</v>
      </c>
      <c r="E62" s="2" t="n">
        <v>48</v>
      </c>
      <c r="F62" s="13" t="n">
        <v>159952</v>
      </c>
      <c r="G62" s="2" t="n">
        <v>1873</v>
      </c>
      <c r="H62" s="12" t="n">
        <v>158127</v>
      </c>
    </row>
    <row r="63" customFormat="false" ht="15" hidden="false" customHeight="false" outlineLevel="0" collapsed="false">
      <c r="A63" s="7"/>
      <c r="B63" s="2" t="n">
        <v>59</v>
      </c>
      <c r="C63" s="11" t="n">
        <v>1907</v>
      </c>
      <c r="D63" s="12" t="n">
        <v>158093</v>
      </c>
      <c r="E63" s="2" t="n">
        <v>14</v>
      </c>
      <c r="F63" s="13" t="n">
        <v>159986</v>
      </c>
      <c r="G63" s="2" t="n">
        <v>1906</v>
      </c>
      <c r="H63" s="12" t="n">
        <v>158094</v>
      </c>
    </row>
    <row r="64" customFormat="false" ht="15" hidden="false" customHeight="false" outlineLevel="0" collapsed="false">
      <c r="A64" s="7"/>
      <c r="B64" s="2" t="n">
        <v>60</v>
      </c>
      <c r="C64" s="11" t="n">
        <v>1952</v>
      </c>
      <c r="D64" s="12" t="n">
        <v>158048</v>
      </c>
      <c r="E64" s="2" t="n">
        <v>0</v>
      </c>
      <c r="F64" s="13" t="n">
        <v>160000</v>
      </c>
      <c r="G64" s="2" t="n">
        <v>1954</v>
      </c>
      <c r="H64" s="12" t="n">
        <v>158046</v>
      </c>
    </row>
    <row r="65" customFormat="false" ht="15" hidden="false" customHeight="false" outlineLevel="0" collapsed="false">
      <c r="A65" s="7"/>
      <c r="B65" s="2" t="n">
        <v>61</v>
      </c>
      <c r="C65" s="11" t="n">
        <v>1985</v>
      </c>
      <c r="D65" s="12" t="n">
        <v>158015</v>
      </c>
      <c r="E65" s="2" t="n">
        <v>66</v>
      </c>
      <c r="F65" s="13" t="n">
        <v>159934</v>
      </c>
      <c r="G65" s="2" t="n">
        <v>1985</v>
      </c>
      <c r="H65" s="12" t="n">
        <v>158015</v>
      </c>
    </row>
    <row r="66" customFormat="false" ht="15" hidden="false" customHeight="false" outlineLevel="0" collapsed="false">
      <c r="A66" s="7"/>
      <c r="B66" s="2" t="n">
        <v>62</v>
      </c>
      <c r="C66" s="11" t="n">
        <v>2037</v>
      </c>
      <c r="D66" s="12" t="n">
        <v>157963</v>
      </c>
      <c r="E66" s="2" t="n">
        <v>32</v>
      </c>
      <c r="F66" s="13" t="n">
        <v>159968</v>
      </c>
      <c r="G66" s="2" t="n">
        <v>2037</v>
      </c>
      <c r="H66" s="12" t="n">
        <v>157963</v>
      </c>
    </row>
    <row r="67" customFormat="false" ht="15" hidden="false" customHeight="false" outlineLevel="0" collapsed="false">
      <c r="A67" s="7"/>
      <c r="B67" s="2" t="n">
        <v>63</v>
      </c>
      <c r="C67" s="11" t="n">
        <v>2106</v>
      </c>
      <c r="D67" s="12" t="n">
        <v>157894</v>
      </c>
      <c r="E67" s="2" t="n">
        <v>521</v>
      </c>
      <c r="F67" s="13" t="n">
        <v>159479</v>
      </c>
      <c r="G67" s="2" t="n">
        <v>2098</v>
      </c>
      <c r="H67" s="12" t="n">
        <v>157902</v>
      </c>
    </row>
    <row r="68" customFormat="false" ht="15" hidden="false" customHeight="false" outlineLevel="0" collapsed="false">
      <c r="A68" s="7"/>
      <c r="B68" s="2" t="n">
        <v>64</v>
      </c>
      <c r="C68" s="11" t="n">
        <v>2207</v>
      </c>
      <c r="D68" s="12" t="n">
        <v>157793</v>
      </c>
      <c r="E68" s="2" t="n">
        <v>32</v>
      </c>
      <c r="F68" s="13" t="n">
        <v>159968</v>
      </c>
      <c r="G68" s="2" t="n">
        <v>2207</v>
      </c>
      <c r="H68" s="12" t="n">
        <v>157793</v>
      </c>
    </row>
    <row r="69" customFormat="false" ht="15" hidden="false" customHeight="false" outlineLevel="0" collapsed="false">
      <c r="A69" s="7"/>
      <c r="B69" s="2" t="n">
        <v>65</v>
      </c>
      <c r="C69" s="11" t="n">
        <v>2363</v>
      </c>
      <c r="D69" s="12" t="n">
        <v>157637</v>
      </c>
      <c r="E69" s="2" t="n">
        <v>43</v>
      </c>
      <c r="F69" s="13" t="n">
        <v>159957</v>
      </c>
      <c r="G69" s="2" t="n">
        <v>2366</v>
      </c>
      <c r="H69" s="12" t="n">
        <v>157634</v>
      </c>
    </row>
    <row r="70" customFormat="false" ht="15" hidden="false" customHeight="false" outlineLevel="0" collapsed="false">
      <c r="A70" s="7"/>
      <c r="B70" s="2" t="n">
        <v>66</v>
      </c>
      <c r="C70" s="11" t="n">
        <v>2489</v>
      </c>
      <c r="D70" s="12" t="n">
        <v>157511</v>
      </c>
      <c r="E70" s="2" t="n">
        <v>43</v>
      </c>
      <c r="F70" s="13" t="n">
        <v>159957</v>
      </c>
      <c r="G70" s="2" t="n">
        <v>2489</v>
      </c>
      <c r="H70" s="12" t="n">
        <v>157511</v>
      </c>
    </row>
    <row r="71" customFormat="false" ht="15" hidden="false" customHeight="false" outlineLevel="0" collapsed="false">
      <c r="A71" s="7"/>
      <c r="B71" s="2" t="n">
        <v>67</v>
      </c>
      <c r="C71" s="11" t="n">
        <v>2545</v>
      </c>
      <c r="D71" s="12" t="n">
        <v>157455</v>
      </c>
      <c r="E71" s="2" t="n">
        <v>31</v>
      </c>
      <c r="F71" s="13" t="n">
        <v>159969</v>
      </c>
      <c r="G71" s="2" t="n">
        <v>2543</v>
      </c>
      <c r="H71" s="12" t="n">
        <v>157457</v>
      </c>
    </row>
    <row r="72" customFormat="false" ht="15" hidden="false" customHeight="false" outlineLevel="0" collapsed="false">
      <c r="A72" s="7"/>
      <c r="B72" s="2" t="n">
        <v>68</v>
      </c>
      <c r="C72" s="11" t="n">
        <v>2589</v>
      </c>
      <c r="D72" s="12" t="n">
        <v>157411</v>
      </c>
      <c r="E72" s="2" t="n">
        <v>299</v>
      </c>
      <c r="F72" s="13" t="n">
        <v>159701</v>
      </c>
      <c r="G72" s="2" t="n">
        <v>2590</v>
      </c>
      <c r="H72" s="12" t="n">
        <v>157410</v>
      </c>
    </row>
    <row r="73" customFormat="false" ht="15" hidden="false" customHeight="false" outlineLevel="0" collapsed="false">
      <c r="A73" s="7"/>
      <c r="B73" s="2" t="n">
        <v>69</v>
      </c>
      <c r="C73" s="11" t="n">
        <v>2617</v>
      </c>
      <c r="D73" s="12" t="n">
        <v>157383</v>
      </c>
      <c r="E73" s="2" t="n">
        <v>15</v>
      </c>
      <c r="F73" s="13" t="n">
        <v>159985</v>
      </c>
      <c r="G73" s="2" t="n">
        <v>2611</v>
      </c>
      <c r="H73" s="12" t="n">
        <v>157389</v>
      </c>
    </row>
    <row r="74" customFormat="false" ht="15" hidden="false" customHeight="false" outlineLevel="0" collapsed="false">
      <c r="A74" s="7"/>
      <c r="B74" s="2" t="n">
        <v>70</v>
      </c>
      <c r="C74" s="11" t="n">
        <v>2619</v>
      </c>
      <c r="D74" s="12" t="n">
        <v>157381</v>
      </c>
      <c r="E74" s="2" t="n">
        <v>221</v>
      </c>
      <c r="F74" s="13" t="n">
        <v>159779</v>
      </c>
      <c r="G74" s="2" t="n">
        <v>2620</v>
      </c>
      <c r="H74" s="12" t="n">
        <v>157380</v>
      </c>
    </row>
    <row r="75" customFormat="false" ht="15" hidden="false" customHeight="false" outlineLevel="0" collapsed="false">
      <c r="A75" s="7"/>
      <c r="B75" s="2" t="n">
        <v>71</v>
      </c>
      <c r="C75" s="11" t="n">
        <v>2607</v>
      </c>
      <c r="D75" s="12" t="n">
        <v>157393</v>
      </c>
      <c r="E75" s="2" t="n">
        <v>33</v>
      </c>
      <c r="F75" s="13" t="n">
        <v>159967</v>
      </c>
      <c r="G75" s="2" t="n">
        <v>2606</v>
      </c>
      <c r="H75" s="12" t="n">
        <v>157394</v>
      </c>
    </row>
    <row r="76" customFormat="false" ht="15" hidden="false" customHeight="false" outlineLevel="0" collapsed="false">
      <c r="A76" s="7"/>
      <c r="B76" s="2" t="n">
        <v>72</v>
      </c>
      <c r="C76" s="11" t="n">
        <v>2604</v>
      </c>
      <c r="D76" s="12" t="n">
        <v>157396</v>
      </c>
      <c r="E76" s="2" t="n">
        <v>139</v>
      </c>
      <c r="F76" s="13" t="n">
        <v>159861</v>
      </c>
      <c r="G76" s="2" t="n">
        <v>2605</v>
      </c>
      <c r="H76" s="12" t="n">
        <v>157395</v>
      </c>
    </row>
    <row r="77" customFormat="false" ht="15" hidden="false" customHeight="false" outlineLevel="0" collapsed="false">
      <c r="A77" s="7"/>
      <c r="B77" s="2" t="n">
        <v>73</v>
      </c>
      <c r="C77" s="11" t="n">
        <v>2564</v>
      </c>
      <c r="D77" s="12" t="n">
        <v>157436</v>
      </c>
      <c r="E77" s="2" t="n">
        <v>4</v>
      </c>
      <c r="F77" s="13" t="n">
        <v>159996</v>
      </c>
      <c r="G77" s="2" t="n">
        <v>2563</v>
      </c>
      <c r="H77" s="12" t="n">
        <v>157437</v>
      </c>
    </row>
    <row r="78" customFormat="false" ht="15" hidden="false" customHeight="false" outlineLevel="0" collapsed="false">
      <c r="A78" s="7"/>
      <c r="B78" s="2" t="n">
        <v>74</v>
      </c>
      <c r="C78" s="11" t="n">
        <v>2533</v>
      </c>
      <c r="D78" s="12" t="n">
        <v>157467</v>
      </c>
      <c r="E78" s="2" t="n">
        <v>15</v>
      </c>
      <c r="F78" s="13" t="n">
        <v>159985</v>
      </c>
      <c r="G78" s="2" t="n">
        <v>2532</v>
      </c>
      <c r="H78" s="12" t="n">
        <v>157468</v>
      </c>
    </row>
    <row r="79" customFormat="false" ht="15" hidden="false" customHeight="false" outlineLevel="0" collapsed="false">
      <c r="A79" s="7"/>
      <c r="B79" s="2" t="n">
        <v>75</v>
      </c>
      <c r="C79" s="11" t="n">
        <v>2488</v>
      </c>
      <c r="D79" s="12" t="n">
        <v>157512</v>
      </c>
      <c r="E79" s="2" t="n">
        <v>56</v>
      </c>
      <c r="F79" s="13" t="n">
        <v>159944</v>
      </c>
      <c r="G79" s="2" t="n">
        <v>2488</v>
      </c>
      <c r="H79" s="12" t="n">
        <v>157512</v>
      </c>
    </row>
    <row r="80" customFormat="false" ht="15" hidden="false" customHeight="false" outlineLevel="0" collapsed="false">
      <c r="A80" s="7"/>
      <c r="B80" s="2" t="n">
        <v>76</v>
      </c>
      <c r="C80" s="11" t="n">
        <v>2434</v>
      </c>
      <c r="D80" s="12" t="n">
        <v>157566</v>
      </c>
      <c r="E80" s="2" t="n">
        <v>2</v>
      </c>
      <c r="F80" s="13" t="n">
        <v>159998</v>
      </c>
      <c r="G80" s="2" t="n">
        <v>2433</v>
      </c>
      <c r="H80" s="12" t="n">
        <v>157567</v>
      </c>
    </row>
    <row r="81" customFormat="false" ht="15" hidden="false" customHeight="false" outlineLevel="0" collapsed="false">
      <c r="A81" s="7"/>
      <c r="B81" s="2" t="n">
        <v>77</v>
      </c>
      <c r="C81" s="11" t="n">
        <v>2373</v>
      </c>
      <c r="D81" s="12" t="n">
        <v>157627</v>
      </c>
      <c r="E81" s="2" t="n">
        <v>7</v>
      </c>
      <c r="F81" s="13" t="n">
        <v>159993</v>
      </c>
      <c r="G81" s="2" t="n">
        <v>2373</v>
      </c>
      <c r="H81" s="12" t="n">
        <v>157627</v>
      </c>
    </row>
    <row r="82" customFormat="false" ht="15" hidden="false" customHeight="false" outlineLevel="0" collapsed="false">
      <c r="A82" s="7"/>
      <c r="B82" s="2" t="n">
        <v>78</v>
      </c>
      <c r="C82" s="11" t="n">
        <v>2299</v>
      </c>
      <c r="D82" s="12" t="n">
        <v>157701</v>
      </c>
      <c r="E82" s="2" t="n">
        <v>17</v>
      </c>
      <c r="F82" s="13" t="n">
        <v>159983</v>
      </c>
      <c r="G82" s="2" t="n">
        <v>2301</v>
      </c>
      <c r="H82" s="12" t="n">
        <v>157699</v>
      </c>
    </row>
    <row r="83" customFormat="false" ht="15" hidden="false" customHeight="false" outlineLevel="0" collapsed="false">
      <c r="A83" s="7"/>
      <c r="B83" s="2" t="n">
        <v>79</v>
      </c>
      <c r="C83" s="11" t="n">
        <v>2221</v>
      </c>
      <c r="D83" s="12" t="n">
        <v>157779</v>
      </c>
      <c r="E83" s="2" t="n">
        <v>188</v>
      </c>
      <c r="F83" s="13" t="n">
        <v>159812</v>
      </c>
      <c r="G83" s="2" t="n">
        <v>2219</v>
      </c>
      <c r="H83" s="12" t="n">
        <v>157781</v>
      </c>
    </row>
    <row r="84" customFormat="false" ht="15" hidden="false" customHeight="false" outlineLevel="0" collapsed="false">
      <c r="A84" s="7"/>
      <c r="B84" s="2" t="n">
        <v>80</v>
      </c>
      <c r="C84" s="11" t="n">
        <v>2142</v>
      </c>
      <c r="D84" s="12" t="n">
        <v>157858</v>
      </c>
      <c r="E84" s="2" t="n">
        <v>4</v>
      </c>
      <c r="F84" s="13" t="n">
        <v>159996</v>
      </c>
      <c r="G84" s="2" t="n">
        <v>2142</v>
      </c>
      <c r="H84" s="12" t="n">
        <v>157858</v>
      </c>
    </row>
    <row r="85" customFormat="false" ht="15" hidden="false" customHeight="false" outlineLevel="0" collapsed="false">
      <c r="A85" s="7"/>
      <c r="B85" s="2" t="n">
        <v>81</v>
      </c>
      <c r="C85" s="11" t="n">
        <v>2042</v>
      </c>
      <c r="D85" s="12" t="n">
        <v>157958</v>
      </c>
      <c r="E85" s="2" t="n">
        <v>159</v>
      </c>
      <c r="F85" s="13" t="n">
        <v>159841</v>
      </c>
      <c r="G85" s="2" t="n">
        <v>2042</v>
      </c>
      <c r="H85" s="12" t="n">
        <v>157958</v>
      </c>
    </row>
    <row r="86" customFormat="false" ht="15" hidden="false" customHeight="false" outlineLevel="0" collapsed="false">
      <c r="A86" s="7"/>
      <c r="B86" s="2" t="n">
        <v>82</v>
      </c>
      <c r="C86" s="11" t="n">
        <v>1938</v>
      </c>
      <c r="D86" s="12" t="n">
        <v>158062</v>
      </c>
      <c r="E86" s="2" t="n">
        <v>3</v>
      </c>
      <c r="F86" s="13" t="n">
        <v>159997</v>
      </c>
      <c r="G86" s="2" t="n">
        <v>1939</v>
      </c>
      <c r="H86" s="12" t="n">
        <v>158061</v>
      </c>
    </row>
    <row r="87" customFormat="false" ht="15" hidden="false" customHeight="false" outlineLevel="0" collapsed="false">
      <c r="A87" s="7"/>
      <c r="B87" s="2" t="n">
        <v>83</v>
      </c>
      <c r="C87" s="11" t="n">
        <v>1835</v>
      </c>
      <c r="D87" s="12" t="n">
        <v>158165</v>
      </c>
      <c r="E87" s="2" t="n">
        <v>0</v>
      </c>
      <c r="F87" s="13" t="n">
        <v>160000</v>
      </c>
      <c r="G87" s="2" t="n">
        <v>1835</v>
      </c>
      <c r="H87" s="12" t="n">
        <v>158165</v>
      </c>
    </row>
    <row r="88" customFormat="false" ht="15" hidden="false" customHeight="false" outlineLevel="0" collapsed="false">
      <c r="A88" s="7"/>
      <c r="B88" s="2" t="n">
        <v>84</v>
      </c>
      <c r="C88" s="11" t="n">
        <v>1709</v>
      </c>
      <c r="D88" s="12" t="n">
        <v>158291</v>
      </c>
      <c r="E88" s="2" t="n">
        <v>4</v>
      </c>
      <c r="F88" s="13" t="n">
        <v>159996</v>
      </c>
      <c r="G88" s="2" t="n">
        <v>1710</v>
      </c>
      <c r="H88" s="12" t="n">
        <v>158290</v>
      </c>
    </row>
    <row r="89" customFormat="false" ht="15" hidden="false" customHeight="false" outlineLevel="0" collapsed="false">
      <c r="A89" s="7"/>
      <c r="B89" s="2" t="n">
        <v>85</v>
      </c>
      <c r="C89" s="11" t="n">
        <v>1583</v>
      </c>
      <c r="D89" s="12" t="n">
        <v>158417</v>
      </c>
      <c r="E89" s="2" t="n">
        <v>3</v>
      </c>
      <c r="F89" s="13" t="n">
        <v>159997</v>
      </c>
      <c r="G89" s="2" t="n">
        <v>1584</v>
      </c>
      <c r="H89" s="12" t="n">
        <v>158416</v>
      </c>
    </row>
    <row r="90" customFormat="false" ht="15" hidden="false" customHeight="false" outlineLevel="0" collapsed="false">
      <c r="A90" s="7"/>
      <c r="B90" s="2" t="n">
        <v>86</v>
      </c>
      <c r="C90" s="11" t="n">
        <v>1455</v>
      </c>
      <c r="D90" s="12" t="n">
        <v>158545</v>
      </c>
      <c r="E90" s="2" t="n">
        <v>26</v>
      </c>
      <c r="F90" s="13" t="n">
        <v>159974</v>
      </c>
      <c r="G90" s="2" t="n">
        <v>1457</v>
      </c>
      <c r="H90" s="12" t="n">
        <v>158543</v>
      </c>
    </row>
    <row r="91" customFormat="false" ht="15" hidden="false" customHeight="false" outlineLevel="0" collapsed="false">
      <c r="A91" s="7"/>
      <c r="B91" s="2" t="n">
        <v>87</v>
      </c>
      <c r="C91" s="11" t="n">
        <v>1316</v>
      </c>
      <c r="D91" s="12" t="n">
        <v>158684</v>
      </c>
      <c r="E91" s="2" t="n">
        <v>0</v>
      </c>
      <c r="F91" s="13" t="n">
        <v>160000</v>
      </c>
      <c r="G91" s="2" t="n">
        <v>1311</v>
      </c>
      <c r="H91" s="12" t="n">
        <v>158689</v>
      </c>
    </row>
    <row r="92" customFormat="false" ht="15" hidden="false" customHeight="false" outlineLevel="0" collapsed="false">
      <c r="A92" s="7"/>
      <c r="B92" s="2" t="n">
        <v>88</v>
      </c>
      <c r="C92" s="11" t="n">
        <v>1172</v>
      </c>
      <c r="D92" s="12" t="n">
        <v>158828</v>
      </c>
      <c r="E92" s="2" t="n">
        <v>32</v>
      </c>
      <c r="F92" s="13" t="n">
        <v>159968</v>
      </c>
      <c r="G92" s="2" t="n">
        <v>1172</v>
      </c>
      <c r="H92" s="12" t="n">
        <v>158828</v>
      </c>
    </row>
    <row r="93" customFormat="false" ht="15" hidden="false" customHeight="false" outlineLevel="0" collapsed="false">
      <c r="A93" s="7"/>
      <c r="B93" s="2" t="n">
        <v>89</v>
      </c>
      <c r="C93" s="11" t="n">
        <v>1024</v>
      </c>
      <c r="D93" s="12" t="n">
        <v>158976</v>
      </c>
      <c r="E93" s="2" t="n">
        <v>0</v>
      </c>
      <c r="F93" s="13" t="n">
        <v>160000</v>
      </c>
      <c r="G93" s="2" t="n">
        <v>1024</v>
      </c>
      <c r="H93" s="12" t="n">
        <v>158976</v>
      </c>
    </row>
    <row r="94" customFormat="false" ht="15" hidden="false" customHeight="false" outlineLevel="0" collapsed="false">
      <c r="A94" s="7"/>
      <c r="B94" s="2" t="n">
        <v>90</v>
      </c>
      <c r="C94" s="11" t="n">
        <v>868</v>
      </c>
      <c r="D94" s="12" t="n">
        <v>159132</v>
      </c>
      <c r="E94" s="2" t="n">
        <v>112</v>
      </c>
      <c r="F94" s="13" t="n">
        <v>159888</v>
      </c>
      <c r="G94" s="2" t="n">
        <v>868</v>
      </c>
      <c r="H94" s="12" t="n">
        <v>159132</v>
      </c>
    </row>
    <row r="95" customFormat="false" ht="15" hidden="false" customHeight="false" outlineLevel="0" collapsed="false">
      <c r="A95" s="7"/>
      <c r="B95" s="2" t="n">
        <v>91</v>
      </c>
      <c r="C95" s="11" t="n">
        <v>700</v>
      </c>
      <c r="D95" s="12" t="n">
        <v>159300</v>
      </c>
      <c r="E95" s="2" t="n">
        <v>6</v>
      </c>
      <c r="F95" s="13" t="n">
        <v>159994</v>
      </c>
      <c r="G95" s="2" t="n">
        <v>698</v>
      </c>
      <c r="H95" s="12" t="n">
        <v>159302</v>
      </c>
    </row>
    <row r="96" customFormat="false" ht="15" hidden="false" customHeight="false" outlineLevel="0" collapsed="false">
      <c r="A96" s="7"/>
      <c r="B96" s="2" t="n">
        <v>92</v>
      </c>
      <c r="C96" s="11" t="n">
        <v>530</v>
      </c>
      <c r="D96" s="12" t="n">
        <v>159470</v>
      </c>
      <c r="E96" s="2" t="n">
        <v>118</v>
      </c>
      <c r="F96" s="13" t="n">
        <v>159882</v>
      </c>
      <c r="G96" s="2" t="n">
        <v>530</v>
      </c>
      <c r="H96" s="12" t="n">
        <v>159470</v>
      </c>
    </row>
    <row r="97" customFormat="false" ht="15" hidden="false" customHeight="false" outlineLevel="0" collapsed="false">
      <c r="A97" s="7"/>
      <c r="B97" s="2" t="n">
        <v>93</v>
      </c>
      <c r="C97" s="11" t="n">
        <v>349</v>
      </c>
      <c r="D97" s="12" t="n">
        <v>159651</v>
      </c>
      <c r="E97" s="2" t="n">
        <v>3</v>
      </c>
      <c r="F97" s="13" t="n">
        <v>159997</v>
      </c>
      <c r="G97" s="2" t="n">
        <v>347</v>
      </c>
      <c r="H97" s="12" t="n">
        <v>159653</v>
      </c>
    </row>
    <row r="98" customFormat="false" ht="15" hidden="false" customHeight="false" outlineLevel="0" collapsed="false">
      <c r="A98" s="7"/>
      <c r="B98" s="2" t="n">
        <v>94</v>
      </c>
      <c r="C98" s="11" t="n">
        <v>163</v>
      </c>
      <c r="D98" s="12" t="n">
        <v>159837</v>
      </c>
      <c r="E98" s="2" t="n">
        <v>0</v>
      </c>
      <c r="F98" s="13" t="n">
        <v>160000</v>
      </c>
      <c r="G98" s="2" t="n">
        <v>162</v>
      </c>
      <c r="H98" s="12" t="n">
        <v>159838</v>
      </c>
    </row>
    <row r="99" customFormat="false" ht="15" hidden="false" customHeight="false" outlineLevel="0" collapsed="false">
      <c r="A99" s="7"/>
      <c r="B99" s="14" t="s">
        <v>8</v>
      </c>
      <c r="C99" s="15" t="n">
        <f aca="false">SUM(C4:C98)</f>
        <v>177745</v>
      </c>
      <c r="D99" s="16" t="n">
        <f aca="false">SUM(D4:D98)</f>
        <v>15022255</v>
      </c>
      <c r="E99" s="17" t="n">
        <f aca="false">SUM(E4:E98)</f>
        <v>6672</v>
      </c>
      <c r="F99" s="18" t="n">
        <f aca="false">SUM(F4:F98)</f>
        <v>15193328</v>
      </c>
      <c r="G99" s="17" t="n">
        <f aca="false">SUM(G4:G98)</f>
        <v>177689</v>
      </c>
      <c r="H99" s="16" t="n">
        <f aca="false">SUM(H4:H98)</f>
        <v>15022311</v>
      </c>
    </row>
    <row r="100" customFormat="false" ht="15" hidden="false" customHeight="false" outlineLevel="0" collapsed="false">
      <c r="D100" s="1"/>
    </row>
    <row r="101" customFormat="false" ht="15" hidden="false" customHeight="false" outlineLevel="0" collapsed="false">
      <c r="D101" s="1"/>
    </row>
    <row r="102" customFormat="false" ht="15" hidden="false" customHeight="false" outlineLevel="0" collapsed="false">
      <c r="D102" s="1"/>
    </row>
    <row r="103" customFormat="false" ht="15" hidden="false" customHeight="false" outlineLevel="0" collapsed="false">
      <c r="D103" s="1"/>
    </row>
    <row r="104" customFormat="false" ht="15" hidden="false" customHeight="false" outlineLevel="0" collapsed="false">
      <c r="B104" s="3" t="s">
        <v>0</v>
      </c>
      <c r="C104" s="19" t="s">
        <v>9</v>
      </c>
      <c r="D104" s="19"/>
      <c r="E104" s="19"/>
      <c r="F104" s="19"/>
      <c r="G104" s="19"/>
      <c r="H104" s="19"/>
    </row>
    <row r="105" customFormat="false" ht="15" hidden="false" customHeight="false" outlineLevel="0" collapsed="false">
      <c r="B105" s="3"/>
      <c r="C105" s="20" t="s">
        <v>3</v>
      </c>
      <c r="D105" s="20"/>
      <c r="E105" s="20"/>
      <c r="F105" s="21" t="s">
        <v>4</v>
      </c>
      <c r="G105" s="21"/>
      <c r="H105" s="21"/>
    </row>
    <row r="106" customFormat="false" ht="15" hidden="false" customHeight="false" outlineLevel="0" collapsed="false">
      <c r="A106" s="7" t="s">
        <v>10</v>
      </c>
      <c r="B106" s="3"/>
      <c r="C106" s="22" t="str">
        <f aca="false">C3</f>
        <v>#e65a49</v>
      </c>
      <c r="D106" s="23" t="str">
        <f aca="false">D3</f>
        <v>#ffffff</v>
      </c>
      <c r="E106" s="24"/>
      <c r="F106" s="25" t="str">
        <f aca="false">C3</f>
        <v>#e65a49</v>
      </c>
      <c r="G106" s="23" t="str">
        <f aca="false">D3</f>
        <v>#ffffff</v>
      </c>
      <c r="H106" s="26"/>
    </row>
    <row r="107" customFormat="false" ht="15" hidden="false" customHeight="false" outlineLevel="0" collapsed="false">
      <c r="A107" s="7"/>
      <c r="B107" s="27" t="n">
        <v>0</v>
      </c>
      <c r="C107" s="28" t="n">
        <f aca="false">(ABS(C4-E4)/C4)*100</f>
        <v>0</v>
      </c>
      <c r="D107" s="29" t="n">
        <f aca="false">(ABS(D4-F4)/D4)*100</f>
        <v>0</v>
      </c>
      <c r="E107" s="24"/>
      <c r="F107" s="28" t="n">
        <f aca="false">(ABS(C4-G4)/C4)*100</f>
        <v>0</v>
      </c>
      <c r="G107" s="29" t="n">
        <f aca="false">(ABS(D4-H4)/D4)*100</f>
        <v>0</v>
      </c>
      <c r="H107" s="26"/>
    </row>
    <row r="108" customFormat="false" ht="15" hidden="false" customHeight="false" outlineLevel="0" collapsed="false">
      <c r="A108" s="7"/>
      <c r="B108" s="27" t="n">
        <v>1</v>
      </c>
      <c r="C108" s="28" t="n">
        <f aca="false">(ABS(C5-E5)/C5)*100</f>
        <v>97.3913043478261</v>
      </c>
      <c r="D108" s="29" t="n">
        <f aca="false">(ABS(D5-F5)/D5)*100</f>
        <v>0.210453790986815</v>
      </c>
      <c r="E108" s="24"/>
      <c r="F108" s="28" t="n">
        <f aca="false">(ABS(C5-G5)/C5)*100</f>
        <v>0.289855072463768</v>
      </c>
      <c r="G108" s="29" t="n">
        <f aca="false">(ABS(D5-H5)/D5)*100</f>
        <v>0.000626350568413141</v>
      </c>
      <c r="H108" s="26"/>
    </row>
    <row r="109" customFormat="false" ht="15" hidden="false" customHeight="false" outlineLevel="0" collapsed="false">
      <c r="A109" s="7"/>
      <c r="B109" s="27" t="n">
        <v>2</v>
      </c>
      <c r="C109" s="28" t="n">
        <f aca="false">(ABS(C6-E6)/C6)*100</f>
        <v>99.812382739212</v>
      </c>
      <c r="D109" s="29" t="n">
        <f aca="false">(ABS(D6-F6)/D6)*100</f>
        <v>0.333611342785655</v>
      </c>
      <c r="E109" s="24"/>
      <c r="F109" s="28" t="n">
        <f aca="false">(ABS(C6-G6)/C6)*100</f>
        <v>0.187617260787992</v>
      </c>
      <c r="G109" s="29" t="n">
        <f aca="false">(ABS(D6-H6)/D6)*100</f>
        <v>0.000627088990198599</v>
      </c>
      <c r="H109" s="26"/>
    </row>
    <row r="110" customFormat="false" ht="15" hidden="false" customHeight="false" outlineLevel="0" collapsed="false">
      <c r="A110" s="7"/>
      <c r="B110" s="27" t="n">
        <v>3</v>
      </c>
      <c r="C110" s="28" t="n">
        <f aca="false">(ABS(C7-E7)/C7)*100</f>
        <v>86.4553314121038</v>
      </c>
      <c r="D110" s="29" t="n">
        <f aca="false">(ABS(D7-F7)/D7)*100</f>
        <v>0.376633648450153</v>
      </c>
      <c r="E110" s="24"/>
      <c r="F110" s="28" t="n">
        <f aca="false">(ABS(C7-G7)/C7)*100</f>
        <v>0.288184438040346</v>
      </c>
      <c r="G110" s="29" t="n">
        <f aca="false">(ABS(D7-H7)/D7)*100</f>
        <v>0.00125544549483384</v>
      </c>
      <c r="H110" s="26"/>
    </row>
    <row r="111" customFormat="false" ht="15" hidden="false" customHeight="false" outlineLevel="0" collapsed="false">
      <c r="A111" s="7"/>
      <c r="B111" s="27" t="n">
        <v>4</v>
      </c>
      <c r="C111" s="28" t="n">
        <f aca="false">(ABS(C8-E8)/C8)*100</f>
        <v>100</v>
      </c>
      <c r="D111" s="29" t="n">
        <f aca="false">(ABS(D8-F8)/D8)*100</f>
        <v>0.545459115702687</v>
      </c>
      <c r="E111" s="24"/>
      <c r="F111" s="28" t="n">
        <f aca="false">(ABS(C8-G8)/C8)*100</f>
        <v>0</v>
      </c>
      <c r="G111" s="29" t="n">
        <f aca="false">(ABS(D8-H8)/D8)*100</f>
        <v>0</v>
      </c>
      <c r="H111" s="26"/>
    </row>
    <row r="112" customFormat="false" ht="15" hidden="false" customHeight="false" outlineLevel="0" collapsed="false">
      <c r="A112" s="7"/>
      <c r="B112" s="27" t="n">
        <v>5</v>
      </c>
      <c r="C112" s="28" t="n">
        <f aca="false">(ABS(C9-E9)/C9)*100</f>
        <v>97.9512195121951</v>
      </c>
      <c r="D112" s="29" t="n">
        <f aca="false">(ABS(D9-F9)/D9)*100</f>
        <v>0.631545840540966</v>
      </c>
      <c r="E112" s="24"/>
      <c r="F112" s="28" t="n">
        <f aca="false">(ABS(C9-G9)/C9)*100</f>
        <v>0.195121951219512</v>
      </c>
      <c r="G112" s="29" t="n">
        <f aca="false">(ABS(D9-H9)/D9)*100</f>
        <v>0.0012580594433087</v>
      </c>
      <c r="H112" s="26"/>
    </row>
    <row r="113" customFormat="false" ht="15" hidden="false" customHeight="false" outlineLevel="0" collapsed="false">
      <c r="A113" s="7"/>
      <c r="B113" s="27" t="n">
        <v>6</v>
      </c>
      <c r="C113" s="28" t="n">
        <f aca="false">(ABS(C10-E10)/C10)*100</f>
        <v>83.7308347529813</v>
      </c>
      <c r="D113" s="29" t="n">
        <f aca="false">(ABS(D10-F10)/D10)*100</f>
        <v>0.618916298339063</v>
      </c>
      <c r="E113" s="24"/>
      <c r="F113" s="28" t="n">
        <f aca="false">(ABS(C10-G10)/C10)*100</f>
        <v>0.0851788756388416</v>
      </c>
      <c r="G113" s="29" t="n">
        <f aca="false">(ABS(D10-H10)/D10)*100</f>
        <v>0.000629619835543299</v>
      </c>
      <c r="H113" s="26"/>
    </row>
    <row r="114" customFormat="false" ht="15" hidden="false" customHeight="false" outlineLevel="0" collapsed="false">
      <c r="A114" s="7"/>
      <c r="B114" s="27" t="n">
        <v>7</v>
      </c>
      <c r="C114" s="28" t="n">
        <f aca="false">(ABS(C11-E11)/C11)*100</f>
        <v>100</v>
      </c>
      <c r="D114" s="29" t="n">
        <f aca="false">(ABS(D11-F11)/D11)*100</f>
        <v>0.831862868666499</v>
      </c>
      <c r="E114" s="24"/>
      <c r="F114" s="28" t="n">
        <f aca="false">(ABS(C11-G11)/C11)*100</f>
        <v>0</v>
      </c>
      <c r="G114" s="29" t="n">
        <f aca="false">(ABS(D11-H11)/D11)*100</f>
        <v>0</v>
      </c>
      <c r="H114" s="26"/>
    </row>
    <row r="115" customFormat="false" ht="15" hidden="false" customHeight="false" outlineLevel="0" collapsed="false">
      <c r="A115" s="7"/>
      <c r="B115" s="27" t="n">
        <v>8</v>
      </c>
      <c r="C115" s="28" t="n">
        <f aca="false">(ABS(C12-E12)/C12)*100</f>
        <v>97.8752570253598</v>
      </c>
      <c r="D115" s="29" t="n">
        <f aca="false">(ABS(D12-F12)/D12)*100</f>
        <v>0.900713380135107</v>
      </c>
      <c r="E115" s="24"/>
      <c r="F115" s="28" t="n">
        <f aca="false">(ABS(C12-G12)/C12)*100</f>
        <v>0.137080191912269</v>
      </c>
      <c r="G115" s="29" t="n">
        <f aca="false">(ABS(D12-H12)/D12)*100</f>
        <v>0.00126150333352256</v>
      </c>
      <c r="H115" s="26"/>
    </row>
    <row r="116" customFormat="false" ht="15" hidden="false" customHeight="false" outlineLevel="0" collapsed="false">
      <c r="A116" s="7"/>
      <c r="B116" s="27" t="n">
        <v>9</v>
      </c>
      <c r="C116" s="28" t="n">
        <f aca="false">(ABS(C13-E13)/C13)*100</f>
        <v>100</v>
      </c>
      <c r="D116" s="29" t="n">
        <f aca="false">(ABS(D13-F13)/D13)*100</f>
        <v>0.999261442900699</v>
      </c>
      <c r="E116" s="24"/>
      <c r="F116" s="28" t="n">
        <f aca="false">(ABS(C13-G13)/C13)*100</f>
        <v>0</v>
      </c>
      <c r="G116" s="29" t="n">
        <f aca="false">(ABS(D13-H13)/D13)*100</f>
        <v>0</v>
      </c>
      <c r="H116" s="26"/>
    </row>
    <row r="117" customFormat="false" ht="15" hidden="false" customHeight="false" outlineLevel="0" collapsed="false">
      <c r="A117" s="7"/>
      <c r="B117" s="27" t="n">
        <v>10</v>
      </c>
      <c r="C117" s="28" t="n">
        <f aca="false">(ABS(C14-E14)/C14)*100</f>
        <v>87.3462214411248</v>
      </c>
      <c r="D117" s="29" t="n">
        <f aca="false">(ABS(D14-F14)/D14)*100</f>
        <v>0.941924153310633</v>
      </c>
      <c r="E117" s="24"/>
      <c r="F117" s="28" t="n">
        <f aca="false">(ABS(C14-G14)/C14)*100</f>
        <v>0.761570005858231</v>
      </c>
      <c r="G117" s="29" t="n">
        <f aca="false">(ABS(D14-H14)/D14)*100</f>
        <v>0.00821261837225904</v>
      </c>
      <c r="H117" s="26"/>
    </row>
    <row r="118" customFormat="false" ht="15" hidden="false" customHeight="false" outlineLevel="0" collapsed="false">
      <c r="A118" s="7"/>
      <c r="B118" s="27" t="n">
        <v>11</v>
      </c>
      <c r="C118" s="28" t="n">
        <f aca="false">(ABS(C15-E15)/C15)*100</f>
        <v>87.2885979268958</v>
      </c>
      <c r="D118" s="29" t="n">
        <f aca="false">(ABS(D15-F15)/D15)*100</f>
        <v>1.01158901667225</v>
      </c>
      <c r="E118" s="24"/>
      <c r="F118" s="28" t="n">
        <f aca="false">(ABS(C15-G15)/C15)*100</f>
        <v>0.0545553737043099</v>
      </c>
      <c r="G118" s="29" t="n">
        <f aca="false">(ABS(D15-H15)/D15)*100</f>
        <v>0.000632243135420157</v>
      </c>
      <c r="H118" s="26"/>
    </row>
    <row r="119" customFormat="false" ht="15" hidden="false" customHeight="false" outlineLevel="0" collapsed="false">
      <c r="A119" s="7"/>
      <c r="B119" s="27" t="n">
        <v>12</v>
      </c>
      <c r="C119" s="28" t="n">
        <f aca="false">(ABS(C16-E16)/C16)*100</f>
        <v>99.484004127967</v>
      </c>
      <c r="D119" s="29" t="n">
        <f aca="false">(ABS(D16-F16)/D16)*100</f>
        <v>1.21977451885969</v>
      </c>
      <c r="E119" s="24"/>
      <c r="F119" s="28" t="n">
        <f aca="false">(ABS(C16-G16)/C16)*100</f>
        <v>0.103199174406605</v>
      </c>
      <c r="G119" s="29" t="n">
        <f aca="false">(ABS(D16-H16)/D16)*100</f>
        <v>0.00126532626437727</v>
      </c>
      <c r="H119" s="26"/>
    </row>
    <row r="120" customFormat="false" ht="15" hidden="false" customHeight="false" outlineLevel="0" collapsed="false">
      <c r="A120" s="7"/>
      <c r="B120" s="27" t="n">
        <v>13</v>
      </c>
      <c r="C120" s="28" t="n">
        <f aca="false">(ABS(C17-E17)/C17)*100</f>
        <v>95.9373470386686</v>
      </c>
      <c r="D120" s="29" t="n">
        <f aca="false">(ABS(D17-F17)/D17)*100</f>
        <v>1.24084402717195</v>
      </c>
      <c r="E120" s="24"/>
      <c r="F120" s="28" t="n">
        <f aca="false">(ABS(C17-G17)/C17)*100</f>
        <v>0.0489476260401371</v>
      </c>
      <c r="G120" s="29" t="n">
        <f aca="false">(ABS(D17-H17)/D17)*100</f>
        <v>0.000633083687332629</v>
      </c>
      <c r="H120" s="26"/>
    </row>
    <row r="121" customFormat="false" ht="15" hidden="false" customHeight="false" outlineLevel="0" collapsed="false">
      <c r="A121" s="7"/>
      <c r="B121" s="27" t="n">
        <v>14</v>
      </c>
      <c r="C121" s="28" t="n">
        <f aca="false">(ABS(C18-E18)/C18)*100</f>
        <v>99.2052360916316</v>
      </c>
      <c r="D121" s="29" t="n">
        <f aca="false">(ABS(D18-F18)/D18)*100</f>
        <v>1.34422054845719</v>
      </c>
      <c r="E121" s="24"/>
      <c r="F121" s="28" t="n">
        <f aca="false">(ABS(C18-G18)/C18)*100</f>
        <v>0.140252454417952</v>
      </c>
      <c r="G121" s="29" t="n">
        <f aca="false">(ABS(D18-H18)/D18)*100</f>
        <v>0.00190040605342675</v>
      </c>
      <c r="H121" s="26"/>
    </row>
    <row r="122" customFormat="false" ht="15" hidden="false" customHeight="false" outlineLevel="0" collapsed="false">
      <c r="A122" s="7"/>
      <c r="B122" s="27" t="n">
        <v>15</v>
      </c>
      <c r="C122" s="28" t="n">
        <f aca="false">(ABS(C19-E19)/C19)*100</f>
        <v>94.957226474561</v>
      </c>
      <c r="D122" s="29" t="n">
        <f aca="false">(ABS(D19-F19)/D19)*100</f>
        <v>1.33667978628335</v>
      </c>
      <c r="E122" s="24"/>
      <c r="F122" s="28" t="n">
        <f aca="false">(ABS(C19-G19)/C19)*100</f>
        <v>0.270148581719946</v>
      </c>
      <c r="G122" s="29" t="n">
        <f aca="false">(ABS(D19-H19)/D19)*100</f>
        <v>0.00380278744319586</v>
      </c>
      <c r="H122" s="26"/>
    </row>
    <row r="123" customFormat="false" ht="15" hidden="false" customHeight="false" outlineLevel="0" collapsed="false">
      <c r="A123" s="7"/>
      <c r="B123" s="27" t="n">
        <v>16</v>
      </c>
      <c r="C123" s="28" t="n">
        <f aca="false">(ABS(C20-E20)/C20)*100</f>
        <v>98.651000870322</v>
      </c>
      <c r="D123" s="29" t="n">
        <f aca="false">(ABS(D20-F20)/D20)*100</f>
        <v>1.43752140112364</v>
      </c>
      <c r="E123" s="24"/>
      <c r="F123" s="28" t="n">
        <f aca="false">(ABS(C20-G20)/C20)*100</f>
        <v>0.174064403829417</v>
      </c>
      <c r="G123" s="29" t="n">
        <f aca="false">(ABS(D20-H20)/D20)*100</f>
        <v>0.00253642946823756</v>
      </c>
      <c r="H123" s="26"/>
    </row>
    <row r="124" customFormat="false" ht="15" hidden="false" customHeight="false" outlineLevel="0" collapsed="false">
      <c r="A124" s="7"/>
      <c r="B124" s="27" t="n">
        <v>17</v>
      </c>
      <c r="C124" s="28" t="n">
        <f aca="false">(ABS(C21-E21)/C21)*100</f>
        <v>100</v>
      </c>
      <c r="D124" s="29" t="n">
        <f aca="false">(ABS(D21-F21)/D21)*100</f>
        <v>1.50352090338134</v>
      </c>
      <c r="E124" s="24"/>
      <c r="F124" s="28" t="n">
        <f aca="false">(ABS(C21-G21)/C21)*100</f>
        <v>0.126582278481013</v>
      </c>
      <c r="G124" s="29" t="n">
        <f aca="false">(ABS(D21-H21)/D21)*100</f>
        <v>0.0019031910169384</v>
      </c>
      <c r="H124" s="26"/>
    </row>
    <row r="125" customFormat="false" ht="15" hidden="false" customHeight="false" outlineLevel="0" collapsed="false">
      <c r="A125" s="7"/>
      <c r="B125" s="27" t="n">
        <v>18</v>
      </c>
      <c r="C125" s="28" t="n">
        <f aca="false">(ABS(C22-E22)/C22)*100</f>
        <v>83.6415947390053</v>
      </c>
      <c r="D125" s="29" t="n">
        <f aca="false">(ABS(D22-F22)/D22)*100</f>
        <v>1.29151408607132</v>
      </c>
      <c r="E125" s="24"/>
      <c r="F125" s="28" t="n">
        <f aca="false">(ABS(C22-G22)/C22)*100</f>
        <v>0.041101520756268</v>
      </c>
      <c r="G125" s="29" t="n">
        <f aca="false">(ABS(D22-H22)/D22)*100</f>
        <v>0.000634650656546104</v>
      </c>
      <c r="H125" s="26"/>
    </row>
    <row r="126" customFormat="false" ht="15" hidden="false" customHeight="false" outlineLevel="0" collapsed="false">
      <c r="A126" s="7"/>
      <c r="B126" s="27" t="n">
        <v>19</v>
      </c>
      <c r="C126" s="28" t="n">
        <f aca="false">(ABS(C23-E23)/C23)*100</f>
        <v>89.7631473303894</v>
      </c>
      <c r="D126" s="29" t="n">
        <f aca="false">(ABS(D23-F23)/D23)*100</f>
        <v>1.41960141960142</v>
      </c>
      <c r="E126" s="24"/>
      <c r="F126" s="28" t="n">
        <f aca="false">(ABS(C23-G23)/C23)*100</f>
        <v>0</v>
      </c>
      <c r="G126" s="29" t="n">
        <f aca="false">(ABS(D23-H23)/D23)*100</f>
        <v>0</v>
      </c>
      <c r="H126" s="26"/>
    </row>
    <row r="127" customFormat="false" ht="15" hidden="false" customHeight="false" outlineLevel="0" collapsed="false">
      <c r="A127" s="7"/>
      <c r="B127" s="27" t="n">
        <v>20</v>
      </c>
      <c r="C127" s="28" t="n">
        <f aca="false">(ABS(C24-E24)/C24)*100</f>
        <v>99.6044303797468</v>
      </c>
      <c r="D127" s="29" t="n">
        <f aca="false">(ABS(D24-F24)/D24)*100</f>
        <v>1.5990144279618</v>
      </c>
      <c r="E127" s="24"/>
      <c r="F127" s="28" t="n">
        <f aca="false">(ABS(C24-G24)/C24)*100</f>
        <v>0.158227848101266</v>
      </c>
      <c r="G127" s="29" t="n">
        <f aca="false">(ABS(D24-H24)/D24)*100</f>
        <v>0.00254013411908149</v>
      </c>
      <c r="H127" s="26"/>
    </row>
    <row r="128" customFormat="false" ht="15" hidden="false" customHeight="false" outlineLevel="0" collapsed="false">
      <c r="A128" s="7"/>
      <c r="B128" s="27" t="n">
        <v>21</v>
      </c>
      <c r="C128" s="28" t="n">
        <f aca="false">(ABS(C25-E25)/C25)*100</f>
        <v>98.7129485179407</v>
      </c>
      <c r="D128" s="29" t="n">
        <f aca="false">(ABS(D25-F25)/D25)*100</f>
        <v>1.60763738916131</v>
      </c>
      <c r="E128" s="24"/>
      <c r="F128" s="28" t="n">
        <f aca="false">(ABS(C25-G25)/C25)*100</f>
        <v>0.0390015600624025</v>
      </c>
      <c r="G128" s="29" t="n">
        <f aca="false">(ABS(D25-H25)/D25)*100</f>
        <v>0.000635178739297238</v>
      </c>
      <c r="H128" s="26"/>
    </row>
    <row r="129" customFormat="false" ht="15" hidden="false" customHeight="false" outlineLevel="0" collapsed="false">
      <c r="A129" s="7"/>
      <c r="B129" s="27" t="n">
        <v>22</v>
      </c>
      <c r="C129" s="28" t="n">
        <f aca="false">(ABS(C26-E26)/C26)*100</f>
        <v>91.4967295113505</v>
      </c>
      <c r="D129" s="29" t="n">
        <f aca="false">(ABS(D26-F26)/D26)*100</f>
        <v>1.51079090984174</v>
      </c>
      <c r="E129" s="24"/>
      <c r="F129" s="28" t="n">
        <f aca="false">(ABS(C26-G26)/C26)*100</f>
        <v>0.0384763370527126</v>
      </c>
      <c r="G129" s="29" t="n">
        <f aca="false">(ABS(D26-H26)/D26)*100</f>
        <v>0.000635319978907377</v>
      </c>
      <c r="H129" s="26"/>
    </row>
    <row r="130" customFormat="false" ht="15" hidden="false" customHeight="false" outlineLevel="0" collapsed="false">
      <c r="A130" s="7"/>
      <c r="B130" s="27" t="n">
        <v>23</v>
      </c>
      <c r="C130" s="28" t="n">
        <f aca="false">(ABS(C27-E27)/C27)*100</f>
        <v>99.5783825220391</v>
      </c>
      <c r="D130" s="29" t="n">
        <f aca="false">(ABS(D27-F27)/D27)*100</f>
        <v>1.65066617532133</v>
      </c>
      <c r="E130" s="24"/>
      <c r="F130" s="28" t="n">
        <f aca="false">(ABS(C27-G27)/C27)*100</f>
        <v>0</v>
      </c>
      <c r="G130" s="29" t="n">
        <f aca="false">(ABS(D27-H27)/D27)*100</f>
        <v>0</v>
      </c>
      <c r="H130" s="26"/>
    </row>
    <row r="131" customFormat="false" ht="15" hidden="false" customHeight="false" outlineLevel="0" collapsed="false">
      <c r="A131" s="7"/>
      <c r="B131" s="27" t="n">
        <v>24</v>
      </c>
      <c r="C131" s="28" t="n">
        <f aca="false">(ABS(C28-E28)/C28)*100</f>
        <v>98.8918609094383</v>
      </c>
      <c r="D131" s="29" t="n">
        <f aca="false">(ABS(D28-F28)/D28)*100</f>
        <v>1.64439615460374</v>
      </c>
      <c r="E131" s="24"/>
      <c r="F131" s="28" t="n">
        <f aca="false">(ABS(C28-G28)/C28)*100</f>
        <v>0.0382116927779901</v>
      </c>
      <c r="G131" s="29" t="n">
        <f aca="false">(ABS(D28-H28)/D28)*100</f>
        <v>0.000635392640882433</v>
      </c>
      <c r="H131" s="26"/>
    </row>
    <row r="132" customFormat="false" ht="15" hidden="false" customHeight="false" outlineLevel="0" collapsed="false">
      <c r="A132" s="7"/>
      <c r="B132" s="27" t="n">
        <v>25</v>
      </c>
      <c r="C132" s="28" t="n">
        <f aca="false">(ABS(C29-E29)/C29)*100</f>
        <v>91.1978568694987</v>
      </c>
      <c r="D132" s="29" t="n">
        <f aca="false">(ABS(D29-F29)/D29)*100</f>
        <v>1.5141021812475</v>
      </c>
      <c r="E132" s="24"/>
      <c r="F132" s="28" t="n">
        <f aca="false">(ABS(C29-G29)/C29)*100</f>
        <v>0.0765403750478377</v>
      </c>
      <c r="G132" s="29" t="n">
        <f aca="false">(ABS(D29-H29)/D29)*100</f>
        <v>0.00127075298468107</v>
      </c>
      <c r="H132" s="26"/>
    </row>
    <row r="133" customFormat="false" ht="15" hidden="false" customHeight="false" outlineLevel="0" collapsed="false">
      <c r="A133" s="7"/>
      <c r="B133" s="27" t="n">
        <v>26</v>
      </c>
      <c r="C133" s="28" t="n">
        <f aca="false">(ABS(C30-E30)/C30)*100</f>
        <v>98.6867516415605</v>
      </c>
      <c r="D133" s="29" t="n">
        <f aca="false">(ABS(D30-F30)/D30)*100</f>
        <v>1.62313942481783</v>
      </c>
      <c r="E133" s="24"/>
      <c r="F133" s="28" t="n">
        <f aca="false">(ABS(C30-G30)/C30)*100</f>
        <v>0</v>
      </c>
      <c r="G133" s="29" t="n">
        <f aca="false">(ABS(D30-H30)/D30)*100</f>
        <v>0</v>
      </c>
      <c r="H133" s="26"/>
    </row>
    <row r="134" customFormat="false" ht="15" hidden="false" customHeight="false" outlineLevel="0" collapsed="false">
      <c r="A134" s="7"/>
      <c r="B134" s="27" t="n">
        <v>27</v>
      </c>
      <c r="C134" s="28" t="n">
        <f aca="false">(ABS(C31-E31)/C31)*100</f>
        <v>98.9365892083497</v>
      </c>
      <c r="D134" s="29" t="n">
        <f aca="false">(ABS(D31-F31)/D31)*100</f>
        <v>1.59531566546637</v>
      </c>
      <c r="E134" s="24"/>
      <c r="F134" s="28" t="n">
        <f aca="false">(ABS(C31-G31)/C31)*100</f>
        <v>0.0787711697518708</v>
      </c>
      <c r="G134" s="29" t="n">
        <f aca="false">(ABS(D31-H31)/D31)*100</f>
        <v>0.00127015578460698</v>
      </c>
      <c r="H134" s="26"/>
    </row>
    <row r="135" customFormat="false" ht="15" hidden="false" customHeight="false" outlineLevel="0" collapsed="false">
      <c r="A135" s="7"/>
      <c r="B135" s="27" t="n">
        <v>28</v>
      </c>
      <c r="C135" s="28" t="n">
        <f aca="false">(ABS(C32-E32)/C32)*100</f>
        <v>96.9268095430651</v>
      </c>
      <c r="D135" s="29" t="n">
        <f aca="false">(ABS(D32-F32)/D32)*100</f>
        <v>1.52164390866328</v>
      </c>
      <c r="E135" s="24"/>
      <c r="F135" s="28" t="n">
        <f aca="false">(ABS(C32-G32)/C32)*100</f>
        <v>0</v>
      </c>
      <c r="G135" s="29" t="n">
        <f aca="false">(ABS(D32-H32)/D32)*100</f>
        <v>0</v>
      </c>
      <c r="H135" s="26"/>
    </row>
    <row r="136" customFormat="false" ht="15" hidden="false" customHeight="false" outlineLevel="0" collapsed="false">
      <c r="A136" s="7"/>
      <c r="B136" s="27" t="n">
        <v>29</v>
      </c>
      <c r="C136" s="28" t="n">
        <f aca="false">(ABS(C33-E33)/C33)*100</f>
        <v>99.1507430997877</v>
      </c>
      <c r="D136" s="29" t="n">
        <f aca="false">(ABS(D33-F33)/D33)*100</f>
        <v>1.48117606013511</v>
      </c>
      <c r="E136" s="24"/>
      <c r="F136" s="28" t="n">
        <f aca="false">(ABS(C33-G33)/C33)*100</f>
        <v>0</v>
      </c>
      <c r="G136" s="29" t="n">
        <f aca="false">(ABS(D33-H33)/D33)*100</f>
        <v>0</v>
      </c>
      <c r="H136" s="26"/>
    </row>
    <row r="137" customFormat="false" ht="15" hidden="false" customHeight="false" outlineLevel="0" collapsed="false">
      <c r="A137" s="7"/>
      <c r="B137" s="27" t="n">
        <v>30</v>
      </c>
      <c r="C137" s="28" t="n">
        <f aca="false">(ABS(C34-E34)/C34)*100</f>
        <v>98.496583143508</v>
      </c>
      <c r="D137" s="29" t="n">
        <f aca="false">(ABS(D34-F34)/D34)*100</f>
        <v>1.370045309084</v>
      </c>
      <c r="E137" s="24"/>
      <c r="F137" s="28" t="n">
        <f aca="false">(ABS(C34-G34)/C34)*100</f>
        <v>0</v>
      </c>
      <c r="G137" s="29" t="n">
        <f aca="false">(ABS(D34-H34)/D34)*100</f>
        <v>0</v>
      </c>
      <c r="H137" s="26"/>
    </row>
    <row r="138" customFormat="false" ht="15" hidden="false" customHeight="false" outlineLevel="0" collapsed="false">
      <c r="A138" s="7"/>
      <c r="B138" s="27" t="n">
        <v>31</v>
      </c>
      <c r="C138" s="28" t="n">
        <f aca="false">(ABS(C35-E35)/C35)*100</f>
        <v>100</v>
      </c>
      <c r="D138" s="29" t="n">
        <f aca="false">(ABS(D35-F35)/D35)*100</f>
        <v>1.33188090970696</v>
      </c>
      <c r="E138" s="24"/>
      <c r="F138" s="28" t="n">
        <f aca="false">(ABS(C35-G35)/C35)*100</f>
        <v>0.0475511174512601</v>
      </c>
      <c r="G138" s="29" t="n">
        <f aca="false">(ABS(D35-H35)/D35)*100</f>
        <v>0.000633324255685669</v>
      </c>
      <c r="H138" s="26"/>
    </row>
    <row r="139" customFormat="false" ht="15" hidden="false" customHeight="false" outlineLevel="0" collapsed="false">
      <c r="A139" s="7"/>
      <c r="B139" s="27" t="n">
        <v>32</v>
      </c>
      <c r="C139" s="28" t="n">
        <f aca="false">(ABS(C36-E36)/C36)*100</f>
        <v>99.8533724340176</v>
      </c>
      <c r="D139" s="29" t="n">
        <f aca="false">(ABS(D36-F36)/D36)*100</f>
        <v>1.29341453840992</v>
      </c>
      <c r="E139" s="24"/>
      <c r="F139" s="28" t="n">
        <f aca="false">(ABS(C36-G36)/C36)*100</f>
        <v>0.0488758553274682</v>
      </c>
      <c r="G139" s="29" t="n">
        <f aca="false">(ABS(D36-H36)/D36)*100</f>
        <v>0.000633095711409651</v>
      </c>
      <c r="H139" s="26"/>
    </row>
    <row r="140" customFormat="false" ht="15" hidden="false" customHeight="false" outlineLevel="0" collapsed="false">
      <c r="A140" s="7"/>
      <c r="B140" s="27" t="n">
        <v>33</v>
      </c>
      <c r="C140" s="28" t="n">
        <f aca="false">(ABS(C37-E37)/C37)*100</f>
        <v>99.6475327291037</v>
      </c>
      <c r="D140" s="29" t="n">
        <f aca="false">(ABS(D37-F37)/D37)*100</f>
        <v>1.25242067158606</v>
      </c>
      <c r="E140" s="24"/>
      <c r="F140" s="28" t="n">
        <f aca="false">(ABS(C37-G37)/C37)*100</f>
        <v>0.0503524672708963</v>
      </c>
      <c r="G140" s="29" t="n">
        <f aca="false">(ABS(D37-H37)/D37)*100</f>
        <v>0.000632855316617515</v>
      </c>
      <c r="H140" s="26"/>
    </row>
    <row r="141" customFormat="false" ht="15" hidden="false" customHeight="false" outlineLevel="0" collapsed="false">
      <c r="A141" s="7"/>
      <c r="B141" s="27" t="n">
        <v>34</v>
      </c>
      <c r="C141" s="28" t="n">
        <f aca="false">(ABS(C38-E38)/C38)*100</f>
        <v>96.9681397738952</v>
      </c>
      <c r="D141" s="29" t="n">
        <f aca="false">(ABS(D38-F38)/D38)*100</f>
        <v>1.19389575714629</v>
      </c>
      <c r="E141" s="24"/>
      <c r="F141" s="28" t="n">
        <f aca="false">(ABS(C38-G38)/C38)*100</f>
        <v>0.0513874614594039</v>
      </c>
      <c r="G141" s="29" t="n">
        <f aca="false">(ABS(D38-H38)/D38)*100</f>
        <v>0.000632695154820504</v>
      </c>
      <c r="H141" s="26"/>
    </row>
    <row r="142" customFormat="false" ht="15" hidden="false" customHeight="false" outlineLevel="0" collapsed="false">
      <c r="A142" s="7"/>
      <c r="B142" s="27" t="n">
        <v>35</v>
      </c>
      <c r="C142" s="28" t="n">
        <f aca="false">(ABS(C39-E39)/C39)*100</f>
        <v>92.534174553102</v>
      </c>
      <c r="D142" s="29" t="n">
        <f aca="false">(ABS(D39-F39)/D39)*100</f>
        <v>1.11323356399195</v>
      </c>
      <c r="E142" s="24"/>
      <c r="F142" s="28" t="n">
        <f aca="false">(ABS(C39-G39)/C39)*100</f>
        <v>0.210304942166141</v>
      </c>
      <c r="G142" s="29" t="n">
        <f aca="false">(ABS(D39-H39)/D39)*100</f>
        <v>0.0025300762817999</v>
      </c>
      <c r="H142" s="26"/>
    </row>
    <row r="143" customFormat="false" ht="15" hidden="false" customHeight="false" outlineLevel="0" collapsed="false">
      <c r="A143" s="7"/>
      <c r="B143" s="27" t="n">
        <v>36</v>
      </c>
      <c r="C143" s="28" t="n">
        <f aca="false">(ABS(C40-E40)/C40)*100</f>
        <v>99.5212765957447</v>
      </c>
      <c r="D143" s="29" t="n">
        <f aca="false">(ABS(D40-F40)/D40)*100</f>
        <v>1.18327852264103</v>
      </c>
      <c r="E143" s="24"/>
      <c r="F143" s="28" t="n">
        <f aca="false">(ABS(C40-G40)/C40)*100</f>
        <v>0.106382978723404</v>
      </c>
      <c r="G143" s="29" t="n">
        <f aca="false">(ABS(D40-H40)/D40)*100</f>
        <v>0.00126486213002783</v>
      </c>
      <c r="H143" s="26"/>
    </row>
    <row r="144" customFormat="false" ht="15" hidden="false" customHeight="false" outlineLevel="0" collapsed="false">
      <c r="A144" s="7"/>
      <c r="B144" s="27" t="n">
        <v>37</v>
      </c>
      <c r="C144" s="28" t="n">
        <f aca="false">(ABS(C41-E41)/C41)*100</f>
        <v>90.6385281385281</v>
      </c>
      <c r="D144" s="29" t="n">
        <f aca="false">(ABS(D41-F41)/D41)*100</f>
        <v>1.05910769386413</v>
      </c>
      <c r="E144" s="24"/>
      <c r="F144" s="28" t="n">
        <f aca="false">(ABS(C41-G41)/C41)*100</f>
        <v>0.216450216450216</v>
      </c>
      <c r="G144" s="29" t="n">
        <f aca="false">(ABS(D41-H41)/D41)*100</f>
        <v>0.00252921240325763</v>
      </c>
      <c r="H144" s="26"/>
    </row>
    <row r="145" customFormat="false" ht="15" hidden="false" customHeight="false" outlineLevel="0" collapsed="false">
      <c r="A145" s="7"/>
      <c r="B145" s="27" t="n">
        <v>38</v>
      </c>
      <c r="C145" s="28" t="n">
        <f aca="false">(ABS(C42-E42)/C42)*100</f>
        <v>87.3834339001646</v>
      </c>
      <c r="D145" s="29" t="n">
        <f aca="false">(ABS(D42-F42)/D42)*100</f>
        <v>1.00709964154081</v>
      </c>
      <c r="E145" s="24"/>
      <c r="F145" s="28" t="n">
        <f aca="false">(ABS(C42-G42)/C42)*100</f>
        <v>0.219418540866703</v>
      </c>
      <c r="G145" s="29" t="n">
        <f aca="false">(ABS(D42-H42)/D42)*100</f>
        <v>0.00252881265923617</v>
      </c>
      <c r="H145" s="26"/>
    </row>
    <row r="146" customFormat="false" ht="15" hidden="false" customHeight="false" outlineLevel="0" collapsed="false">
      <c r="A146" s="7"/>
      <c r="B146" s="27" t="n">
        <v>39</v>
      </c>
      <c r="C146" s="28" t="n">
        <f aca="false">(ABS(C43-E43)/C43)*100</f>
        <v>98.7271721084671</v>
      </c>
      <c r="D146" s="29" t="n">
        <f aca="false">(ABS(D43-F43)/D43)*100</f>
        <v>1.12773637265871</v>
      </c>
      <c r="E146" s="24"/>
      <c r="F146" s="28" t="n">
        <f aca="false">(ABS(C43-G43)/C43)*100</f>
        <v>0.0553403431101273</v>
      </c>
      <c r="G146" s="29" t="n">
        <f aca="false">(ABS(D43-H43)/D43)*100</f>
        <v>0.000632139222342329</v>
      </c>
      <c r="H146" s="26"/>
    </row>
    <row r="147" customFormat="false" ht="15" hidden="false" customHeight="false" outlineLevel="0" collapsed="false">
      <c r="A147" s="7"/>
      <c r="B147" s="27" t="n">
        <v>40</v>
      </c>
      <c r="C147" s="28" t="n">
        <f aca="false">(ABS(C44-E44)/C44)*100</f>
        <v>99.7764114030184</v>
      </c>
      <c r="D147" s="29" t="n">
        <f aca="false">(ABS(D44-F44)/D44)*100</f>
        <v>1.12824013500958</v>
      </c>
      <c r="E147" s="24"/>
      <c r="F147" s="28" t="n">
        <f aca="false">(ABS(C44-G44)/C44)*100</f>
        <v>0.167691447736165</v>
      </c>
      <c r="G147" s="29" t="n">
        <f aca="false">(ABS(D44-H44)/D44)*100</f>
        <v>0.00189620190757912</v>
      </c>
      <c r="H147" s="26"/>
    </row>
    <row r="148" customFormat="false" ht="15" hidden="false" customHeight="false" outlineLevel="0" collapsed="false">
      <c r="A148" s="7"/>
      <c r="B148" s="27" t="n">
        <v>41</v>
      </c>
      <c r="C148" s="28" t="n">
        <f aca="false">(ABS(C45-E45)/C45)*100</f>
        <v>98.6448334274421</v>
      </c>
      <c r="D148" s="29" t="n">
        <f aca="false">(ABS(D45-F45)/D45)*100</f>
        <v>1.1040959621814</v>
      </c>
      <c r="E148" s="24"/>
      <c r="F148" s="28" t="n">
        <f aca="false">(ABS(C45-G45)/C45)*100</f>
        <v>0.112930547713156</v>
      </c>
      <c r="G148" s="29" t="n">
        <f aca="false">(ABS(D45-H45)/D45)*100</f>
        <v>0.00126399079814699</v>
      </c>
      <c r="H148" s="26"/>
    </row>
    <row r="149" customFormat="false" ht="15" hidden="false" customHeight="false" outlineLevel="0" collapsed="false">
      <c r="A149" s="7"/>
      <c r="B149" s="27" t="n">
        <v>42</v>
      </c>
      <c r="C149" s="28" t="n">
        <f aca="false">(ABS(C46-E46)/C46)*100</f>
        <v>89.1845979614949</v>
      </c>
      <c r="D149" s="29" t="n">
        <f aca="false">(ABS(D46-F46)/D46)*100</f>
        <v>0.995361300352642</v>
      </c>
      <c r="E149" s="24"/>
      <c r="F149" s="28" t="n">
        <f aca="false">(ABS(C46-G46)/C46)*100</f>
        <v>0</v>
      </c>
      <c r="G149" s="29" t="n">
        <f aca="false">(ABS(D46-H46)/D46)*100</f>
        <v>0</v>
      </c>
      <c r="H149" s="26"/>
    </row>
    <row r="150" customFormat="false" ht="15" hidden="false" customHeight="false" outlineLevel="0" collapsed="false">
      <c r="A150" s="7"/>
      <c r="B150" s="27" t="n">
        <v>43</v>
      </c>
      <c r="C150" s="28" t="n">
        <f aca="false">(ABS(C47-E47)/C47)*100</f>
        <v>98.687963491158</v>
      </c>
      <c r="D150" s="29" t="n">
        <f aca="false">(ABS(D47-F47)/D47)*100</f>
        <v>1.09322767572213</v>
      </c>
      <c r="E150" s="24"/>
      <c r="F150" s="28" t="n">
        <f aca="false">(ABS(C47-G47)/C47)*100</f>
        <v>0.0570450656018254</v>
      </c>
      <c r="G150" s="29" t="n">
        <f aca="false">(ABS(D47-H47)/D47)*100</f>
        <v>0.00063192351197811</v>
      </c>
      <c r="H150" s="26"/>
    </row>
    <row r="151" customFormat="false" ht="15" hidden="false" customHeight="false" outlineLevel="0" collapsed="false">
      <c r="A151" s="7"/>
      <c r="B151" s="27" t="n">
        <v>44</v>
      </c>
      <c r="C151" s="28" t="n">
        <f aca="false">(ABS(C48-E48)/C48)*100</f>
        <v>99.8856489422527</v>
      </c>
      <c r="D151" s="29" t="n">
        <f aca="false">(ABS(D48-F48)/D48)*100</f>
        <v>1.10394247113762</v>
      </c>
      <c r="E151" s="24"/>
      <c r="F151" s="28" t="n">
        <f aca="false">(ABS(C48-G48)/C48)*100</f>
        <v>0.114351057747284</v>
      </c>
      <c r="G151" s="29" t="n">
        <f aca="false">(ABS(D48-H48)/D48)*100</f>
        <v>0.0012638150785777</v>
      </c>
      <c r="H151" s="26"/>
    </row>
    <row r="152" customFormat="false" ht="15" hidden="false" customHeight="false" outlineLevel="0" collapsed="false">
      <c r="A152" s="7"/>
      <c r="B152" s="27" t="n">
        <v>45</v>
      </c>
      <c r="C152" s="28" t="n">
        <f aca="false">(ABS(C49-E49)/C49)*100</f>
        <v>92.8571428571429</v>
      </c>
      <c r="D152" s="29" t="n">
        <f aca="false">(ABS(D49-F49)/D49)*100</f>
        <v>1.02685624012638</v>
      </c>
      <c r="E152" s="24"/>
      <c r="F152" s="28" t="n">
        <f aca="false">(ABS(C49-G49)/C49)*100</f>
        <v>0.114285714285714</v>
      </c>
      <c r="G152" s="29" t="n">
        <f aca="false">(ABS(D49-H49)/D49)*100</f>
        <v>0.00126382306477093</v>
      </c>
      <c r="H152" s="26"/>
    </row>
    <row r="153" customFormat="false" ht="15" hidden="false" customHeight="false" outlineLevel="0" collapsed="false">
      <c r="A153" s="7"/>
      <c r="B153" s="27" t="n">
        <v>46</v>
      </c>
      <c r="C153" s="28" t="n">
        <f aca="false">(ABS(C50-E50)/C50)*100</f>
        <v>81.943645773433</v>
      </c>
      <c r="D153" s="29" t="n">
        <f aca="false">(ABS(D50-F50)/D50)*100</f>
        <v>0.900411345814825</v>
      </c>
      <c r="E153" s="24"/>
      <c r="F153" s="28" t="n">
        <f aca="false">(ABS(C50-G50)/C50)*100</f>
        <v>0.230017251293847</v>
      </c>
      <c r="G153" s="29" t="n">
        <f aca="false">(ABS(D50-H50)/D50)*100</f>
        <v>0.00252747044439249</v>
      </c>
      <c r="H153" s="26"/>
    </row>
    <row r="154" customFormat="false" ht="15" hidden="false" customHeight="false" outlineLevel="0" collapsed="false">
      <c r="A154" s="7"/>
      <c r="B154" s="27" t="n">
        <v>47</v>
      </c>
      <c r="C154" s="28" t="n">
        <f aca="false">(ABS(C51-E51)/C51)*100</f>
        <v>96.4244521337947</v>
      </c>
      <c r="D154" s="29" t="n">
        <f aca="false">(ABS(D51-F51)/D51)*100</f>
        <v>1.05644926895227</v>
      </c>
      <c r="E154" s="24"/>
      <c r="F154" s="28" t="n">
        <f aca="false">(ABS(C51-G51)/C51)*100</f>
        <v>0.115340253748558</v>
      </c>
      <c r="G154" s="29" t="n">
        <f aca="false">(ABS(D51-H51)/D51)*100</f>
        <v>0.0012636952977898</v>
      </c>
      <c r="H154" s="26"/>
    </row>
    <row r="155" customFormat="false" ht="15" hidden="false" customHeight="false" outlineLevel="0" collapsed="false">
      <c r="A155" s="7"/>
      <c r="B155" s="27" t="n">
        <v>48</v>
      </c>
      <c r="C155" s="28" t="n">
        <f aca="false">(ABS(C52-E52)/C52)*100</f>
        <v>98.9086731763354</v>
      </c>
      <c r="D155" s="29" t="n">
        <f aca="false">(ABS(D52-F52)/D52)*100</f>
        <v>1.08808977688473</v>
      </c>
      <c r="E155" s="24"/>
      <c r="F155" s="28" t="n">
        <f aca="false">(ABS(C52-G52)/C52)*100</f>
        <v>0</v>
      </c>
      <c r="G155" s="29" t="n">
        <f aca="false">(ABS(D52-H52)/D52)*100</f>
        <v>0</v>
      </c>
      <c r="H155" s="26"/>
    </row>
    <row r="156" customFormat="false" ht="15" hidden="false" customHeight="false" outlineLevel="0" collapsed="false">
      <c r="A156" s="7"/>
      <c r="B156" s="27" t="n">
        <v>49</v>
      </c>
      <c r="C156" s="28" t="n">
        <f aca="false">(ABS(C53-E53)/C53)*100</f>
        <v>100</v>
      </c>
      <c r="D156" s="29" t="n">
        <f aca="false">(ABS(D53-F53)/D53)*100</f>
        <v>1.1052062862162</v>
      </c>
      <c r="E156" s="24"/>
      <c r="F156" s="28" t="n">
        <f aca="false">(ABS(C53-G53)/C53)*100</f>
        <v>0</v>
      </c>
      <c r="G156" s="29" t="n">
        <f aca="false">(ABS(D53-H53)/D53)*100</f>
        <v>0</v>
      </c>
      <c r="H156" s="26"/>
    </row>
    <row r="157" customFormat="false" ht="15" hidden="false" customHeight="false" outlineLevel="0" collapsed="false">
      <c r="A157" s="7"/>
      <c r="B157" s="27" t="n">
        <v>50</v>
      </c>
      <c r="C157" s="28" t="n">
        <f aca="false">(ABS(C54-E54)/C54)*100</f>
        <v>96.9610091743119</v>
      </c>
      <c r="D157" s="29" t="n">
        <f aca="false">(ABS(D54-F54)/D54)*100</f>
        <v>1.06852188858558</v>
      </c>
      <c r="E157" s="24"/>
      <c r="F157" s="28" t="n">
        <f aca="false">(ABS(C54-G54)/C54)*100</f>
        <v>0.172018348623853</v>
      </c>
      <c r="G157" s="29" t="n">
        <f aca="false">(ABS(D54-H54)/D54)*100</f>
        <v>0.0018956627236882</v>
      </c>
      <c r="H157" s="26"/>
    </row>
    <row r="158" customFormat="false" ht="15" hidden="false" customHeight="false" outlineLevel="0" collapsed="false">
      <c r="A158" s="7"/>
      <c r="B158" s="27" t="n">
        <v>51</v>
      </c>
      <c r="C158" s="28" t="n">
        <f aca="false">(ABS(C55-E55)/C55)*100</f>
        <v>100</v>
      </c>
      <c r="D158" s="29" t="n">
        <f aca="false">(ABS(D55-F55)/D55)*100</f>
        <v>1.10903978008784</v>
      </c>
      <c r="E158" s="24"/>
      <c r="F158" s="28" t="n">
        <f aca="false">(ABS(C55-G55)/C55)*100</f>
        <v>0</v>
      </c>
      <c r="G158" s="29" t="n">
        <f aca="false">(ABS(D55-H55)/D55)*100</f>
        <v>0</v>
      </c>
      <c r="H158" s="26"/>
    </row>
    <row r="159" customFormat="false" ht="15" hidden="false" customHeight="false" outlineLevel="0" collapsed="false">
      <c r="A159" s="7"/>
      <c r="B159" s="27" t="n">
        <v>52</v>
      </c>
      <c r="C159" s="28" t="n">
        <f aca="false">(ABS(C56-E56)/C56)*100</f>
        <v>94.7189097103918</v>
      </c>
      <c r="D159" s="29" t="n">
        <f aca="false">(ABS(D56-F56)/D56)*100</f>
        <v>1.0541017069117</v>
      </c>
      <c r="E159" s="24"/>
      <c r="F159" s="28" t="n">
        <f aca="false">(ABS(C56-G56)/C56)*100</f>
        <v>0.113571834185122</v>
      </c>
      <c r="G159" s="29" t="n">
        <f aca="false">(ABS(D56-H56)/D56)*100</f>
        <v>0.00126391091955839</v>
      </c>
      <c r="H159" s="26"/>
    </row>
    <row r="160" customFormat="false" ht="15" hidden="false" customHeight="false" outlineLevel="0" collapsed="false">
      <c r="A160" s="7"/>
      <c r="B160" s="27" t="n">
        <v>53</v>
      </c>
      <c r="C160" s="28" t="n">
        <f aca="false">(ABS(C57-E57)/C57)*100</f>
        <v>98.93078221722</v>
      </c>
      <c r="D160" s="29" t="n">
        <f aca="false">(ABS(D57-F57)/D57)*100</f>
        <v>1.11109004379894</v>
      </c>
      <c r="E160" s="24"/>
      <c r="F160" s="28" t="n">
        <f aca="false">(ABS(C57-G57)/C57)*100</f>
        <v>0.112549240292628</v>
      </c>
      <c r="G160" s="29" t="n">
        <f aca="false">(ABS(D57-H57)/D57)*100</f>
        <v>0.00126403873014669</v>
      </c>
      <c r="H160" s="26"/>
    </row>
    <row r="161" customFormat="false" ht="15" hidden="false" customHeight="false" outlineLevel="0" collapsed="false">
      <c r="A161" s="7"/>
      <c r="B161" s="27" t="n">
        <v>54</v>
      </c>
      <c r="C161" s="28" t="n">
        <f aca="false">(ABS(C58-E58)/C58)*100</f>
        <v>89.3355667225014</v>
      </c>
      <c r="D161" s="29" t="n">
        <f aca="false">(ABS(D58-F58)/D58)*100</f>
        <v>1.01132046849421</v>
      </c>
      <c r="E161" s="24"/>
      <c r="F161" s="28" t="n">
        <f aca="false">(ABS(C58-G58)/C58)*100</f>
        <v>0.0558347292015634</v>
      </c>
      <c r="G161" s="29" t="n">
        <f aca="false">(ABS(D58-H58)/D58)*100</f>
        <v>0.000632075292808879</v>
      </c>
      <c r="H161" s="26"/>
    </row>
    <row r="162" customFormat="false" ht="15" hidden="false" customHeight="false" outlineLevel="0" collapsed="false">
      <c r="A162" s="7"/>
      <c r="B162" s="27" t="n">
        <v>55</v>
      </c>
      <c r="C162" s="28" t="n">
        <f aca="false">(ABS(C59-E59)/C59)*100</f>
        <v>99.3905817174515</v>
      </c>
      <c r="D162" s="29" t="n">
        <f aca="false">(ABS(D59-F59)/D59)*100</f>
        <v>1.13404342741553</v>
      </c>
      <c r="E162" s="24"/>
      <c r="F162" s="28" t="n">
        <f aca="false">(ABS(C59-G59)/C59)*100</f>
        <v>0.110803324099723</v>
      </c>
      <c r="G162" s="29" t="n">
        <f aca="false">(ABS(D59-H59)/D59)*100</f>
        <v>0.00126426246088688</v>
      </c>
      <c r="H162" s="26"/>
    </row>
    <row r="163" customFormat="false" ht="15" hidden="false" customHeight="false" outlineLevel="0" collapsed="false">
      <c r="A163" s="7"/>
      <c r="B163" s="27" t="n">
        <v>56</v>
      </c>
      <c r="C163" s="28" t="n">
        <f aca="false">(ABS(C60-E60)/C60)*100</f>
        <v>99.4523548740416</v>
      </c>
      <c r="D163" s="29" t="n">
        <f aca="false">(ABS(D60-F60)/D60)*100</f>
        <v>1.14810272231846</v>
      </c>
      <c r="E163" s="24"/>
      <c r="F163" s="28" t="n">
        <f aca="false">(ABS(C60-G60)/C60)*100</f>
        <v>0.164293537787514</v>
      </c>
      <c r="G163" s="29" t="n">
        <f aca="false">(ABS(D60-H60)/D60)*100</f>
        <v>0.00189664546638512</v>
      </c>
      <c r="H163" s="26"/>
    </row>
    <row r="164" customFormat="false" ht="15" hidden="false" customHeight="false" outlineLevel="0" collapsed="false">
      <c r="A164" s="7"/>
      <c r="B164" s="27" t="n">
        <v>57</v>
      </c>
      <c r="C164" s="28" t="n">
        <f aca="false">(ABS(C61-E61)/C61)*100</f>
        <v>100</v>
      </c>
      <c r="D164" s="29" t="n">
        <f aca="false">(ABS(D61-F61)/D61)*100</f>
        <v>1.16721676340782</v>
      </c>
      <c r="E164" s="24"/>
      <c r="F164" s="28" t="n">
        <f aca="false">(ABS(C61-G61)/C61)*100</f>
        <v>0.108342361863489</v>
      </c>
      <c r="G164" s="29" t="n">
        <f aca="false">(ABS(D61-H61)/D61)*100</f>
        <v>0.0012645902095426</v>
      </c>
      <c r="H164" s="26"/>
    </row>
    <row r="165" customFormat="false" ht="15" hidden="false" customHeight="false" outlineLevel="0" collapsed="false">
      <c r="A165" s="7"/>
      <c r="B165" s="27" t="n">
        <v>58</v>
      </c>
      <c r="C165" s="28" t="n">
        <f aca="false">(ABS(C62-E62)/C62)*100</f>
        <v>97.44</v>
      </c>
      <c r="D165" s="29" t="n">
        <f aca="false">(ABS(D62-F62)/D62)*100</f>
        <v>1.15541501976285</v>
      </c>
      <c r="E165" s="24"/>
      <c r="F165" s="28" t="n">
        <f aca="false">(ABS(C62-G62)/C62)*100</f>
        <v>0.106666666666667</v>
      </c>
      <c r="G165" s="29" t="n">
        <f aca="false">(ABS(D62-H62)/D62)*100</f>
        <v>0.00126482213438735</v>
      </c>
      <c r="H165" s="26"/>
    </row>
    <row r="166" customFormat="false" ht="15" hidden="false" customHeight="false" outlineLevel="0" collapsed="false">
      <c r="A166" s="7"/>
      <c r="B166" s="27" t="n">
        <v>59</v>
      </c>
      <c r="C166" s="28" t="n">
        <f aca="false">(ABS(C63-E63)/C63)*100</f>
        <v>99.2658626114316</v>
      </c>
      <c r="D166" s="29" t="n">
        <f aca="false">(ABS(D63-F63)/D63)*100</f>
        <v>1.19739646916688</v>
      </c>
      <c r="E166" s="24"/>
      <c r="F166" s="28" t="n">
        <f aca="false">(ABS(C63-G63)/C63)*100</f>
        <v>0.0524383848977452</v>
      </c>
      <c r="G166" s="29" t="n">
        <f aca="false">(ABS(D63-H63)/D63)*100</f>
        <v>0.000632539075101364</v>
      </c>
      <c r="H166" s="26"/>
    </row>
    <row r="167" customFormat="false" ht="15" hidden="false" customHeight="false" outlineLevel="0" collapsed="false">
      <c r="A167" s="7"/>
      <c r="B167" s="27" t="n">
        <v>60</v>
      </c>
      <c r="C167" s="28" t="n">
        <f aca="false">(ABS(C64-E64)/C64)*100</f>
        <v>100</v>
      </c>
      <c r="D167" s="29" t="n">
        <f aca="false">(ABS(D64-F64)/D64)*100</f>
        <v>1.23506782749544</v>
      </c>
      <c r="E167" s="24"/>
      <c r="F167" s="28" t="n">
        <f aca="false">(ABS(C64-G64)/C64)*100</f>
        <v>0.102459016393443</v>
      </c>
      <c r="G167" s="29" t="n">
        <f aca="false">(ABS(D64-H64)/D64)*100</f>
        <v>0.00126543834784369</v>
      </c>
      <c r="H167" s="26"/>
    </row>
    <row r="168" customFormat="false" ht="15" hidden="false" customHeight="false" outlineLevel="0" collapsed="false">
      <c r="A168" s="7"/>
      <c r="B168" s="27" t="n">
        <v>61</v>
      </c>
      <c r="C168" s="28" t="n">
        <f aca="false">(ABS(C65-E65)/C65)*100</f>
        <v>96.6750629722922</v>
      </c>
      <c r="D168" s="29" t="n">
        <f aca="false">(ABS(D65-F65)/D65)*100</f>
        <v>1.21444166693035</v>
      </c>
      <c r="E168" s="24"/>
      <c r="F168" s="28" t="n">
        <f aca="false">(ABS(C65-G65)/C65)*100</f>
        <v>0</v>
      </c>
      <c r="G168" s="29" t="n">
        <f aca="false">(ABS(D65-H65)/D65)*100</f>
        <v>0</v>
      </c>
      <c r="H168" s="26"/>
    </row>
    <row r="169" customFormat="false" ht="15" hidden="false" customHeight="false" outlineLevel="0" collapsed="false">
      <c r="A169" s="7"/>
      <c r="B169" s="27" t="n">
        <v>62</v>
      </c>
      <c r="C169" s="28" t="n">
        <f aca="false">(ABS(C66-E66)/C66)*100</f>
        <v>98.4290623465881</v>
      </c>
      <c r="D169" s="29" t="n">
        <f aca="false">(ABS(D66-F66)/D66)*100</f>
        <v>1.26928457930022</v>
      </c>
      <c r="E169" s="24"/>
      <c r="F169" s="28" t="n">
        <f aca="false">(ABS(C66-G66)/C66)*100</f>
        <v>0</v>
      </c>
      <c r="G169" s="29" t="n">
        <f aca="false">(ABS(D66-H66)/D66)*100</f>
        <v>0</v>
      </c>
      <c r="H169" s="26"/>
    </row>
    <row r="170" customFormat="false" ht="15" hidden="false" customHeight="false" outlineLevel="0" collapsed="false">
      <c r="A170" s="7"/>
      <c r="B170" s="27" t="n">
        <v>63</v>
      </c>
      <c r="C170" s="28" t="n">
        <f aca="false">(ABS(C67-E67)/C67)*100</f>
        <v>75.2611585944919</v>
      </c>
      <c r="D170" s="29" t="n">
        <f aca="false">(ABS(D67-F67)/D67)*100</f>
        <v>1.00383801791075</v>
      </c>
      <c r="E170" s="24"/>
      <c r="F170" s="28" t="n">
        <f aca="false">(ABS(C67-G67)/C67)*100</f>
        <v>0.379867046533713</v>
      </c>
      <c r="G170" s="29" t="n">
        <f aca="false">(ABS(D67-H67)/D67)*100</f>
        <v>0.00506669031122145</v>
      </c>
      <c r="H170" s="26"/>
    </row>
    <row r="171" customFormat="false" ht="15" hidden="false" customHeight="false" outlineLevel="0" collapsed="false">
      <c r="A171" s="7"/>
      <c r="B171" s="27" t="n">
        <v>64</v>
      </c>
      <c r="C171" s="28" t="n">
        <f aca="false">(ABS(C68-E68)/C68)*100</f>
        <v>98.5500679655641</v>
      </c>
      <c r="D171" s="29" t="n">
        <f aca="false">(ABS(D68-F68)/D68)*100</f>
        <v>1.37838814142579</v>
      </c>
      <c r="E171" s="24"/>
      <c r="F171" s="28" t="n">
        <f aca="false">(ABS(C68-G68)/C68)*100</f>
        <v>0</v>
      </c>
      <c r="G171" s="29" t="n">
        <f aca="false">(ABS(D68-H68)/D68)*100</f>
        <v>0</v>
      </c>
      <c r="H171" s="26"/>
    </row>
    <row r="172" customFormat="false" ht="15" hidden="false" customHeight="false" outlineLevel="0" collapsed="false">
      <c r="A172" s="7"/>
      <c r="B172" s="27" t="n">
        <v>65</v>
      </c>
      <c r="C172" s="28" t="n">
        <f aca="false">(ABS(C69-E69)/C69)*100</f>
        <v>98.180279305967</v>
      </c>
      <c r="D172" s="29" t="n">
        <f aca="false">(ABS(D69-F69)/D69)*100</f>
        <v>1.4717356965687</v>
      </c>
      <c r="E172" s="24"/>
      <c r="F172" s="28" t="n">
        <f aca="false">(ABS(C69-G69)/C69)*100</f>
        <v>0.126957257723233</v>
      </c>
      <c r="G172" s="29" t="n">
        <f aca="false">(ABS(D69-H69)/D69)*100</f>
        <v>0.00190310650418366</v>
      </c>
      <c r="H172" s="26"/>
    </row>
    <row r="173" customFormat="false" ht="15" hidden="false" customHeight="false" outlineLevel="0" collapsed="false">
      <c r="A173" s="7"/>
      <c r="B173" s="27" t="n">
        <v>66</v>
      </c>
      <c r="C173" s="28" t="n">
        <f aca="false">(ABS(C70-E70)/C70)*100</f>
        <v>98.272398553636</v>
      </c>
      <c r="D173" s="29" t="n">
        <f aca="false">(ABS(D70-F70)/D70)*100</f>
        <v>1.55290741598999</v>
      </c>
      <c r="E173" s="24"/>
      <c r="F173" s="28" t="n">
        <f aca="false">(ABS(C70-G70)/C70)*100</f>
        <v>0</v>
      </c>
      <c r="G173" s="29" t="n">
        <f aca="false">(ABS(D70-H70)/D70)*100</f>
        <v>0</v>
      </c>
      <c r="H173" s="26"/>
    </row>
    <row r="174" customFormat="false" ht="15" hidden="false" customHeight="false" outlineLevel="0" collapsed="false">
      <c r="A174" s="7"/>
      <c r="B174" s="27" t="n">
        <v>67</v>
      </c>
      <c r="C174" s="28" t="n">
        <f aca="false">(ABS(C71-E71)/C71)*100</f>
        <v>98.7819253438114</v>
      </c>
      <c r="D174" s="29" t="n">
        <f aca="false">(ABS(D71-F71)/D71)*100</f>
        <v>1.59664666095075</v>
      </c>
      <c r="E174" s="24"/>
      <c r="F174" s="28" t="n">
        <f aca="false">(ABS(C71-G71)/C71)*100</f>
        <v>0.0785854616895874</v>
      </c>
      <c r="G174" s="29" t="n">
        <f aca="false">(ABS(D71-H71)/D71)*100</f>
        <v>0.00127020418532279</v>
      </c>
      <c r="H174" s="26"/>
    </row>
    <row r="175" customFormat="false" ht="15" hidden="false" customHeight="false" outlineLevel="0" collapsed="false">
      <c r="A175" s="7"/>
      <c r="B175" s="27" t="n">
        <v>68</v>
      </c>
      <c r="C175" s="28" t="n">
        <f aca="false">(ABS(C72-E72)/C72)*100</f>
        <v>88.4511394360757</v>
      </c>
      <c r="D175" s="29" t="n">
        <f aca="false">(ABS(D72-F72)/D72)*100</f>
        <v>1.45479032596197</v>
      </c>
      <c r="E175" s="24"/>
      <c r="F175" s="28" t="n">
        <f aca="false">(ABS(C72-G72)/C72)*100</f>
        <v>0.0386249517188104</v>
      </c>
      <c r="G175" s="29" t="n">
        <f aca="false">(ABS(D72-H72)/D72)*100</f>
        <v>0.000635279618324005</v>
      </c>
      <c r="H175" s="26"/>
    </row>
    <row r="176" customFormat="false" ht="15" hidden="false" customHeight="false" outlineLevel="0" collapsed="false">
      <c r="A176" s="7"/>
      <c r="B176" s="27" t="n">
        <v>69</v>
      </c>
      <c r="C176" s="28" t="n">
        <f aca="false">(ABS(C73-E73)/C73)*100</f>
        <v>99.4268246083302</v>
      </c>
      <c r="D176" s="29" t="n">
        <f aca="false">(ABS(D73-F73)/D73)*100</f>
        <v>1.65329165157609</v>
      </c>
      <c r="E176" s="24"/>
      <c r="F176" s="28" t="n">
        <f aca="false">(ABS(C73-G73)/C73)*100</f>
        <v>0.22927015666794</v>
      </c>
      <c r="G176" s="29" t="n">
        <f aca="false">(ABS(D73-H73)/D73)*100</f>
        <v>0.0038123558452946</v>
      </c>
      <c r="H176" s="26"/>
    </row>
    <row r="177" customFormat="false" ht="15" hidden="false" customHeight="false" outlineLevel="0" collapsed="false">
      <c r="A177" s="7"/>
      <c r="B177" s="27" t="n">
        <v>70</v>
      </c>
      <c r="C177" s="28" t="n">
        <f aca="false">(ABS(C74-E74)/C74)*100</f>
        <v>91.5616647575411</v>
      </c>
      <c r="D177" s="29" t="n">
        <f aca="false">(ABS(D74-F74)/D74)*100</f>
        <v>1.52369091567597</v>
      </c>
      <c r="E177" s="24"/>
      <c r="F177" s="28" t="n">
        <f aca="false">(ABS(C74-G74)/C74)*100</f>
        <v>0.0381825124093165</v>
      </c>
      <c r="G177" s="29" t="n">
        <f aca="false">(ABS(D74-H74)/D74)*100</f>
        <v>0.000635400715461206</v>
      </c>
      <c r="H177" s="26"/>
    </row>
    <row r="178" customFormat="false" ht="15" hidden="false" customHeight="false" outlineLevel="0" collapsed="false">
      <c r="A178" s="7"/>
      <c r="B178" s="27" t="n">
        <v>71</v>
      </c>
      <c r="C178" s="28" t="n">
        <f aca="false">(ABS(C75-E75)/C75)*100</f>
        <v>98.7341772151899</v>
      </c>
      <c r="D178" s="29" t="n">
        <f aca="false">(ABS(D75-F75)/D75)*100</f>
        <v>1.63539674572567</v>
      </c>
      <c r="E178" s="24"/>
      <c r="F178" s="28" t="n">
        <f aca="false">(ABS(C75-G75)/C75)*100</f>
        <v>0.0383582662063675</v>
      </c>
      <c r="G178" s="29" t="n">
        <f aca="false">(ABS(D75-H75)/D75)*100</f>
        <v>0.000635352271066693</v>
      </c>
      <c r="H178" s="26"/>
    </row>
    <row r="179" customFormat="false" ht="15" hidden="false" customHeight="false" outlineLevel="0" collapsed="false">
      <c r="A179" s="7"/>
      <c r="B179" s="27" t="n">
        <v>72</v>
      </c>
      <c r="C179" s="28" t="n">
        <f aca="false">(ABS(C76-E76)/C76)*100</f>
        <v>94.6620583717358</v>
      </c>
      <c r="D179" s="29" t="n">
        <f aca="false">(ABS(D76-F76)/D76)*100</f>
        <v>1.56611349716638</v>
      </c>
      <c r="E179" s="24"/>
      <c r="F179" s="28" t="n">
        <f aca="false">(ABS(C76-G76)/C76)*100</f>
        <v>0.0384024577572965</v>
      </c>
      <c r="G179" s="29" t="n">
        <f aca="false">(ABS(D76-H76)/D76)*100</f>
        <v>0.000635340161122265</v>
      </c>
      <c r="H179" s="26"/>
    </row>
    <row r="180" customFormat="false" ht="15" hidden="false" customHeight="false" outlineLevel="0" collapsed="false">
      <c r="A180" s="7"/>
      <c r="B180" s="27" t="n">
        <v>73</v>
      </c>
      <c r="C180" s="28" t="n">
        <f aca="false">(ABS(C77-E77)/C77)*100</f>
        <v>99.8439937597504</v>
      </c>
      <c r="D180" s="29" t="n">
        <f aca="false">(ABS(D77-F77)/D77)*100</f>
        <v>1.62605757260093</v>
      </c>
      <c r="E180" s="24"/>
      <c r="F180" s="28" t="n">
        <f aca="false">(ABS(C77-G77)/C77)*100</f>
        <v>0.0390015600624025</v>
      </c>
      <c r="G180" s="29" t="n">
        <f aca="false">(ABS(D77-H77)/D77)*100</f>
        <v>0.000635178739297238</v>
      </c>
      <c r="H180" s="26"/>
    </row>
    <row r="181" customFormat="false" ht="15" hidden="false" customHeight="false" outlineLevel="0" collapsed="false">
      <c r="A181" s="7"/>
      <c r="B181" s="27" t="n">
        <v>74</v>
      </c>
      <c r="C181" s="28" t="n">
        <f aca="false">(ABS(C78-E78)/C78)*100</f>
        <v>99.4078168180024</v>
      </c>
      <c r="D181" s="29" t="n">
        <f aca="false">(ABS(D78-F78)/D78)*100</f>
        <v>1.59906520096274</v>
      </c>
      <c r="E181" s="24"/>
      <c r="F181" s="28" t="n">
        <f aca="false">(ABS(C78-G78)/C78)*100</f>
        <v>0.0394788787998421</v>
      </c>
      <c r="G181" s="29" t="n">
        <f aca="false">(ABS(D78-H78)/D78)*100</f>
        <v>0.00063505369378981</v>
      </c>
      <c r="H181" s="26"/>
    </row>
    <row r="182" customFormat="false" ht="15" hidden="false" customHeight="false" outlineLevel="0" collapsed="false">
      <c r="A182" s="7"/>
      <c r="B182" s="27" t="n">
        <v>75</v>
      </c>
      <c r="C182" s="28" t="n">
        <f aca="false">(ABS(C79-E79)/C79)*100</f>
        <v>97.7491961414791</v>
      </c>
      <c r="D182" s="29" t="n">
        <f aca="false">(ABS(D79-F79)/D79)*100</f>
        <v>1.54400934531972</v>
      </c>
      <c r="E182" s="24"/>
      <c r="F182" s="28" t="n">
        <f aca="false">(ABS(C79-G79)/C79)*100</f>
        <v>0</v>
      </c>
      <c r="G182" s="29" t="n">
        <f aca="false">(ABS(D79-H79)/D79)*100</f>
        <v>0</v>
      </c>
      <c r="H182" s="26"/>
    </row>
    <row r="183" customFormat="false" ht="15" hidden="false" customHeight="false" outlineLevel="0" collapsed="false">
      <c r="A183" s="7"/>
      <c r="B183" s="27" t="n">
        <v>76</v>
      </c>
      <c r="C183" s="28" t="n">
        <f aca="false">(ABS(C80-E80)/C80)*100</f>
        <v>99.9178307313065</v>
      </c>
      <c r="D183" s="29" t="n">
        <f aca="false">(ABS(D80-F80)/D80)*100</f>
        <v>1.5434801924273</v>
      </c>
      <c r="E183" s="24"/>
      <c r="F183" s="28" t="n">
        <f aca="false">(ABS(C80-G80)/C80)*100</f>
        <v>0.0410846343467543</v>
      </c>
      <c r="G183" s="29" t="n">
        <f aca="false">(ABS(D80-H80)/D80)*100</f>
        <v>0.000634654684386225</v>
      </c>
      <c r="H183" s="26"/>
    </row>
    <row r="184" customFormat="false" ht="15" hidden="false" customHeight="false" outlineLevel="0" collapsed="false">
      <c r="A184" s="7"/>
      <c r="B184" s="27" t="n">
        <v>77</v>
      </c>
      <c r="C184" s="28" t="n">
        <f aca="false">(ABS(C81-E81)/C81)*100</f>
        <v>99.7050147492625</v>
      </c>
      <c r="D184" s="29" t="n">
        <f aca="false">(ABS(D81-F81)/D81)*100</f>
        <v>1.50101188248206</v>
      </c>
      <c r="E184" s="24"/>
      <c r="F184" s="28" t="n">
        <f aca="false">(ABS(C81-G81)/C81)*100</f>
        <v>0</v>
      </c>
      <c r="G184" s="29" t="n">
        <f aca="false">(ABS(D81-H81)/D81)*100</f>
        <v>0</v>
      </c>
      <c r="H184" s="26"/>
    </row>
    <row r="185" customFormat="false" ht="15" hidden="false" customHeight="false" outlineLevel="0" collapsed="false">
      <c r="A185" s="7"/>
      <c r="B185" s="27" t="n">
        <v>78</v>
      </c>
      <c r="C185" s="28" t="n">
        <f aca="false">(ABS(C82-E82)/C82)*100</f>
        <v>99.2605480643758</v>
      </c>
      <c r="D185" s="29" t="n">
        <f aca="false">(ABS(D82-F82)/D82)*100</f>
        <v>1.44704218743064</v>
      </c>
      <c r="E185" s="24"/>
      <c r="F185" s="28" t="n">
        <f aca="false">(ABS(C82-G82)/C82)*100</f>
        <v>0.0869943453675511</v>
      </c>
      <c r="G185" s="29" t="n">
        <f aca="false">(ABS(D82-H82)/D82)*100</f>
        <v>0.00126822277601283</v>
      </c>
      <c r="H185" s="26"/>
    </row>
    <row r="186" customFormat="false" ht="15" hidden="false" customHeight="false" outlineLevel="0" collapsed="false">
      <c r="A186" s="7"/>
      <c r="B186" s="27" t="n">
        <v>79</v>
      </c>
      <c r="C186" s="28" t="n">
        <f aca="false">(ABS(C83-E83)/C83)*100</f>
        <v>91.5353444394417</v>
      </c>
      <c r="D186" s="29" t="n">
        <f aca="false">(ABS(D83-F83)/D83)*100</f>
        <v>1.2885111453362</v>
      </c>
      <c r="E186" s="24"/>
      <c r="F186" s="28" t="n">
        <f aca="false">(ABS(C83-G83)/C83)*100</f>
        <v>0.090049527239982</v>
      </c>
      <c r="G186" s="29" t="n">
        <f aca="false">(ABS(D83-H83)/D83)*100</f>
        <v>0.00126759581439862</v>
      </c>
      <c r="H186" s="26"/>
    </row>
    <row r="187" customFormat="false" ht="15" hidden="false" customHeight="false" outlineLevel="0" collapsed="false">
      <c r="A187" s="7"/>
      <c r="B187" s="27" t="n">
        <v>80</v>
      </c>
      <c r="C187" s="28" t="n">
        <f aca="false">(ABS(C84-E84)/C84)*100</f>
        <v>99.8132586367881</v>
      </c>
      <c r="D187" s="29" t="n">
        <f aca="false">(ABS(D84-F84)/D84)*100</f>
        <v>1.35438178616225</v>
      </c>
      <c r="E187" s="24"/>
      <c r="F187" s="28" t="n">
        <f aca="false">(ABS(C84-G84)/C84)*100</f>
        <v>0</v>
      </c>
      <c r="G187" s="29" t="n">
        <f aca="false">(ABS(D84-H84)/D84)*100</f>
        <v>0</v>
      </c>
      <c r="H187" s="26"/>
    </row>
    <row r="188" customFormat="false" ht="15" hidden="false" customHeight="false" outlineLevel="0" collapsed="false">
      <c r="A188" s="7"/>
      <c r="B188" s="27" t="n">
        <v>81</v>
      </c>
      <c r="C188" s="28" t="n">
        <f aca="false">(ABS(C85-E85)/C85)*100</f>
        <v>92.2135161606268</v>
      </c>
      <c r="D188" s="29" t="n">
        <f aca="false">(ABS(D85-F85)/D85)*100</f>
        <v>1.19208903632611</v>
      </c>
      <c r="E188" s="24"/>
      <c r="F188" s="28" t="n">
        <f aca="false">(ABS(C85-G85)/C85)*100</f>
        <v>0</v>
      </c>
      <c r="G188" s="29" t="n">
        <f aca="false">(ABS(D85-H85)/D85)*100</f>
        <v>0</v>
      </c>
      <c r="H188" s="26"/>
    </row>
    <row r="189" customFormat="false" ht="15" hidden="false" customHeight="false" outlineLevel="0" collapsed="false">
      <c r="A189" s="7"/>
      <c r="B189" s="27" t="n">
        <v>82</v>
      </c>
      <c r="C189" s="28" t="n">
        <f aca="false">(ABS(C86-E86)/C86)*100</f>
        <v>99.8452012383901</v>
      </c>
      <c r="D189" s="29" t="n">
        <f aca="false">(ABS(D86-F86)/D86)*100</f>
        <v>1.22420316078501</v>
      </c>
      <c r="E189" s="24"/>
      <c r="F189" s="28" t="n">
        <f aca="false">(ABS(C86-G86)/C86)*100</f>
        <v>0.0515995872033024</v>
      </c>
      <c r="G189" s="29" t="n">
        <f aca="false">(ABS(D86-H86)/D86)*100</f>
        <v>0.000632663132188635</v>
      </c>
      <c r="H189" s="26"/>
    </row>
    <row r="190" customFormat="false" ht="15" hidden="false" customHeight="false" outlineLevel="0" collapsed="false">
      <c r="A190" s="7"/>
      <c r="B190" s="27" t="n">
        <v>83</v>
      </c>
      <c r="C190" s="28" t="n">
        <f aca="false">(ABS(C87-E87)/C87)*100</f>
        <v>100</v>
      </c>
      <c r="D190" s="29" t="n">
        <f aca="false">(ABS(D87-F87)/D87)*100</f>
        <v>1.16018082382322</v>
      </c>
      <c r="E190" s="24"/>
      <c r="F190" s="28" t="n">
        <f aca="false">(ABS(C87-G87)/C87)*100</f>
        <v>0</v>
      </c>
      <c r="G190" s="29" t="n">
        <f aca="false">(ABS(D87-H87)/D87)*100</f>
        <v>0</v>
      </c>
      <c r="H190" s="26"/>
    </row>
    <row r="191" customFormat="false" ht="15" hidden="false" customHeight="false" outlineLevel="0" collapsed="false">
      <c r="A191" s="7"/>
      <c r="B191" s="27" t="n">
        <v>84</v>
      </c>
      <c r="C191" s="28" t="n">
        <f aca="false">(ABS(C88-E88)/C88)*100</f>
        <v>99.7659449970743</v>
      </c>
      <c r="D191" s="29" t="n">
        <f aca="false">(ABS(D88-F88)/D88)*100</f>
        <v>1.07713009583615</v>
      </c>
      <c r="E191" s="24"/>
      <c r="F191" s="28" t="n">
        <f aca="false">(ABS(C88-G88)/C88)*100</f>
        <v>0.0585137507314219</v>
      </c>
      <c r="G191" s="29" t="n">
        <f aca="false">(ABS(D88-H88)/D88)*100</f>
        <v>0.000631747856795396</v>
      </c>
      <c r="H191" s="26"/>
    </row>
    <row r="192" customFormat="false" ht="15" hidden="false" customHeight="false" outlineLevel="0" collapsed="false">
      <c r="A192" s="7"/>
      <c r="B192" s="27" t="n">
        <v>85</v>
      </c>
      <c r="C192" s="28" t="n">
        <f aca="false">(ABS(C89-E89)/C89)*100</f>
        <v>99.8104864181933</v>
      </c>
      <c r="D192" s="29" t="n">
        <f aca="false">(ABS(D89-F89)/D89)*100</f>
        <v>0.997367706748644</v>
      </c>
      <c r="E192" s="24"/>
      <c r="F192" s="28" t="n">
        <f aca="false">(ABS(C89-G89)/C89)*100</f>
        <v>0.0631711939355654</v>
      </c>
      <c r="G192" s="29" t="n">
        <f aca="false">(ABS(D89-H89)/D89)*100</f>
        <v>0.000631245384018129</v>
      </c>
      <c r="H192" s="26"/>
    </row>
    <row r="193" customFormat="false" ht="15" hidden="false" customHeight="false" outlineLevel="0" collapsed="false">
      <c r="A193" s="7"/>
      <c r="B193" s="27" t="n">
        <v>86</v>
      </c>
      <c r="C193" s="28" t="n">
        <f aca="false">(ABS(C90-E90)/C90)*100</f>
        <v>98.213058419244</v>
      </c>
      <c r="D193" s="29" t="n">
        <f aca="false">(ABS(D90-F90)/D90)*100</f>
        <v>0.901321391403072</v>
      </c>
      <c r="E193" s="24"/>
      <c r="F193" s="28" t="n">
        <f aca="false">(ABS(C90-G90)/C90)*100</f>
        <v>0.13745704467354</v>
      </c>
      <c r="G193" s="29" t="n">
        <f aca="false">(ABS(D90-H90)/D90)*100</f>
        <v>0.00126147150651235</v>
      </c>
      <c r="H193" s="26"/>
    </row>
    <row r="194" customFormat="false" ht="15" hidden="false" customHeight="false" outlineLevel="0" collapsed="false">
      <c r="A194" s="7"/>
      <c r="B194" s="27" t="n">
        <v>87</v>
      </c>
      <c r="C194" s="28" t="n">
        <f aca="false">(ABS(C91-E91)/C91)*100</f>
        <v>100</v>
      </c>
      <c r="D194" s="29" t="n">
        <f aca="false">(ABS(D91-F91)/D91)*100</f>
        <v>0.829321166595246</v>
      </c>
      <c r="E194" s="24"/>
      <c r="F194" s="28" t="n">
        <f aca="false">(ABS(C91-G91)/C91)*100</f>
        <v>0.379939209726444</v>
      </c>
      <c r="G194" s="29" t="n">
        <f aca="false">(ABS(D91-H91)/D91)*100</f>
        <v>0.0031509162864561</v>
      </c>
      <c r="H194" s="26"/>
    </row>
    <row r="195" customFormat="false" ht="15" hidden="false" customHeight="false" outlineLevel="0" collapsed="false">
      <c r="A195" s="7"/>
      <c r="B195" s="27" t="n">
        <v>88</v>
      </c>
      <c r="C195" s="28" t="n">
        <f aca="false">(ABS(C92-E92)/C92)*100</f>
        <v>97.2696245733789</v>
      </c>
      <c r="D195" s="29" t="n">
        <f aca="false">(ABS(D92-F92)/D92)*100</f>
        <v>0.717757574231244</v>
      </c>
      <c r="E195" s="24"/>
      <c r="F195" s="28" t="n">
        <f aca="false">(ABS(C92-G92)/C92)*100</f>
        <v>0</v>
      </c>
      <c r="G195" s="29" t="n">
        <f aca="false">(ABS(D92-H92)/D92)*100</f>
        <v>0</v>
      </c>
      <c r="H195" s="26"/>
    </row>
    <row r="196" customFormat="false" ht="15" hidden="false" customHeight="false" outlineLevel="0" collapsed="false">
      <c r="A196" s="7"/>
      <c r="B196" s="27" t="n">
        <v>89</v>
      </c>
      <c r="C196" s="28" t="n">
        <f aca="false">(ABS(C93-E93)/C93)*100</f>
        <v>100</v>
      </c>
      <c r="D196" s="29" t="n">
        <f aca="false">(ABS(D93-F93)/D93)*100</f>
        <v>0.644122383252818</v>
      </c>
      <c r="E196" s="24"/>
      <c r="F196" s="28" t="n">
        <f aca="false">(ABS(C93-G93)/C93)*100</f>
        <v>0</v>
      </c>
      <c r="G196" s="29" t="n">
        <f aca="false">(ABS(D93-H93)/D93)*100</f>
        <v>0</v>
      </c>
      <c r="H196" s="26"/>
    </row>
    <row r="197" customFormat="false" ht="15" hidden="false" customHeight="false" outlineLevel="0" collapsed="false">
      <c r="A197" s="7"/>
      <c r="B197" s="27" t="n">
        <v>90</v>
      </c>
      <c r="C197" s="28" t="n">
        <f aca="false">(ABS(C94-E94)/C94)*100</f>
        <v>87.0967741935484</v>
      </c>
      <c r="D197" s="29" t="n">
        <f aca="false">(ABS(D94-F94)/D94)*100</f>
        <v>0.475077294321695</v>
      </c>
      <c r="E197" s="24"/>
      <c r="F197" s="28" t="n">
        <f aca="false">(ABS(C94-G94)/C94)*100</f>
        <v>0</v>
      </c>
      <c r="G197" s="29" t="n">
        <f aca="false">(ABS(D94-H94)/D94)*100</f>
        <v>0</v>
      </c>
      <c r="H197" s="26"/>
    </row>
    <row r="198" customFormat="false" ht="15" hidden="false" customHeight="false" outlineLevel="0" collapsed="false">
      <c r="A198" s="7"/>
      <c r="B198" s="27" t="n">
        <v>91</v>
      </c>
      <c r="C198" s="28" t="n">
        <f aca="false">(ABS(C95-E95)/C95)*100</f>
        <v>99.1428571428571</v>
      </c>
      <c r="D198" s="29" t="n">
        <f aca="false">(ABS(D95-F95)/D95)*100</f>
        <v>0.435655994978029</v>
      </c>
      <c r="E198" s="24"/>
      <c r="F198" s="28" t="n">
        <f aca="false">(ABS(C95-G95)/C95)*100</f>
        <v>0.285714285714286</v>
      </c>
      <c r="G198" s="29" t="n">
        <f aca="false">(ABS(D95-H95)/D95)*100</f>
        <v>0.00125549278091651</v>
      </c>
      <c r="H198" s="26"/>
    </row>
    <row r="199" customFormat="false" ht="15" hidden="false" customHeight="false" outlineLevel="0" collapsed="false">
      <c r="A199" s="7"/>
      <c r="B199" s="27" t="n">
        <v>92</v>
      </c>
      <c r="C199" s="28" t="n">
        <f aca="false">(ABS(C96-E96)/C96)*100</f>
        <v>77.7358490566038</v>
      </c>
      <c r="D199" s="29" t="n">
        <f aca="false">(ABS(D96-F96)/D96)*100</f>
        <v>0.258355803599423</v>
      </c>
      <c r="E199" s="24"/>
      <c r="F199" s="28" t="n">
        <f aca="false">(ABS(C96-G96)/C96)*100</f>
        <v>0</v>
      </c>
      <c r="G199" s="29" t="n">
        <f aca="false">(ABS(D96-H96)/D96)*100</f>
        <v>0</v>
      </c>
      <c r="H199" s="26"/>
    </row>
    <row r="200" customFormat="false" ht="15" hidden="false" customHeight="false" outlineLevel="0" collapsed="false">
      <c r="A200" s="7"/>
      <c r="B200" s="27" t="n">
        <v>93</v>
      </c>
      <c r="C200" s="28" t="n">
        <f aca="false">(ABS(C97-E97)/C97)*100</f>
        <v>99.1404011461318</v>
      </c>
      <c r="D200" s="29" t="n">
        <f aca="false">(ABS(D97-F97)/D97)*100</f>
        <v>0.216722726447063</v>
      </c>
      <c r="E200" s="24"/>
      <c r="F200" s="28" t="n">
        <f aca="false">(ABS(C97-G97)/C97)*100</f>
        <v>0.573065902578797</v>
      </c>
      <c r="G200" s="29" t="n">
        <f aca="false">(ABS(D97-H97)/D97)*100</f>
        <v>0.00125273252281539</v>
      </c>
      <c r="H200" s="26"/>
    </row>
    <row r="201" customFormat="false" ht="15" hidden="false" customHeight="false" outlineLevel="0" collapsed="false">
      <c r="A201" s="7"/>
      <c r="B201" s="27" t="n">
        <v>94</v>
      </c>
      <c r="C201" s="28" t="n">
        <f aca="false">(ABS(C98-E98)/C98)*100</f>
        <v>100</v>
      </c>
      <c r="D201" s="29" t="n">
        <f aca="false">(ABS(D98-F98)/D98)*100</f>
        <v>0.101978890995201</v>
      </c>
      <c r="E201" s="30" t="s">
        <v>11</v>
      </c>
      <c r="F201" s="28" t="n">
        <f aca="false">(ABS(C98-G98)/C98)*100</f>
        <v>0.613496932515337</v>
      </c>
      <c r="G201" s="29" t="n">
        <f aca="false">(ABS(D98-H98)/D98)*100</f>
        <v>0.00062563736806872</v>
      </c>
      <c r="H201" s="30" t="s">
        <v>11</v>
      </c>
    </row>
    <row r="202" customFormat="false" ht="15" hidden="false" customHeight="false" outlineLevel="0" collapsed="false">
      <c r="A202" s="7"/>
      <c r="B202" s="14" t="s">
        <v>8</v>
      </c>
      <c r="C202" s="31" t="n">
        <f aca="false">(ABS(SUM(C4:C98)-SUM(E4:E98))/SUM(C4:C98))*100</f>
        <v>96.2463079130215</v>
      </c>
      <c r="D202" s="32" t="n">
        <f aca="false">(ABS(SUM(D4:D98)-SUM(F4:F98))/SUM(D4:D98))*100</f>
        <v>1.13879707141172</v>
      </c>
      <c r="E202" s="33" t="n">
        <f aca="false">SUM(C107:D201)/(95*2)</f>
        <v>48.1633115888686</v>
      </c>
      <c r="F202" s="31" t="n">
        <f aca="false">(ABS(SUM(C4:C98)-SUM(G4:G98))/SUM(C4:C98))*100</f>
        <v>0.0315058088835129</v>
      </c>
      <c r="G202" s="31" t="n">
        <f aca="false">(ABS(SUM(D4:D98)-SUM(H4:H98))/SUM(D4:D98))*100</f>
        <v>0.000372780251699895</v>
      </c>
      <c r="H202" s="33" t="n">
        <f aca="false">SUM(F107:G201)/(95*2)</f>
        <v>0.0519716837863344</v>
      </c>
    </row>
  </sheetData>
  <mergeCells count="11">
    <mergeCell ref="B1:B3"/>
    <mergeCell ref="C1:D2"/>
    <mergeCell ref="E1:H1"/>
    <mergeCell ref="E2:F2"/>
    <mergeCell ref="G2:H2"/>
    <mergeCell ref="A3:A99"/>
    <mergeCell ref="B104:B106"/>
    <mergeCell ref="C104:H104"/>
    <mergeCell ref="C105:E105"/>
    <mergeCell ref="F105:H105"/>
    <mergeCell ref="A106:A2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G185" colorId="64" zoomScale="100" zoomScaleNormal="100" zoomScalePageLayoutView="100" workbookViewId="0">
      <selection pane="topLeft" activeCell="G3" activeCellId="0" sqref="G3"/>
    </sheetView>
  </sheetViews>
  <sheetFormatPr defaultColWidth="8.6875" defaultRowHeight="15" zeroHeight="false" outlineLevelRow="0" outlineLevelCol="0"/>
  <cols>
    <col collapsed="false" customWidth="true" hidden="false" outlineLevel="0" max="8" min="8" style="0" width="11.12"/>
  </cols>
  <sheetData>
    <row r="1" customFormat="false" ht="15" hidden="false" customHeight="false" outlineLevel="0" collapsed="false">
      <c r="A1" s="2"/>
      <c r="B1" s="35" t="s">
        <v>0</v>
      </c>
      <c r="C1" s="3" t="s">
        <v>14</v>
      </c>
      <c r="D1" s="3"/>
      <c r="E1" s="36" t="s">
        <v>15</v>
      </c>
      <c r="F1" s="36"/>
      <c r="G1" s="36"/>
      <c r="H1" s="36"/>
      <c r="I1" s="37" t="s">
        <v>16</v>
      </c>
      <c r="J1" s="37"/>
      <c r="K1" s="37"/>
      <c r="L1" s="37"/>
    </row>
    <row r="2" customFormat="false" ht="15" hidden="false" customHeight="false" outlineLevel="0" collapsed="false">
      <c r="A2" s="2"/>
      <c r="B2" s="35"/>
      <c r="C2" s="35"/>
      <c r="D2" s="3"/>
      <c r="E2" s="5" t="s">
        <v>3</v>
      </c>
      <c r="F2" s="5"/>
      <c r="G2" s="38" t="s">
        <v>4</v>
      </c>
      <c r="H2" s="38"/>
      <c r="I2" s="39" t="s">
        <v>3</v>
      </c>
      <c r="J2" s="39"/>
      <c r="K2" s="6" t="s">
        <v>4</v>
      </c>
      <c r="L2" s="6"/>
    </row>
    <row r="3" customFormat="false" ht="15" hidden="false" customHeight="false" outlineLevel="0" collapsed="false">
      <c r="A3" s="7" t="s">
        <v>17</v>
      </c>
      <c r="B3" s="35"/>
      <c r="C3" s="40" t="s">
        <v>13</v>
      </c>
      <c r="D3" s="9" t="s">
        <v>7</v>
      </c>
      <c r="E3" s="8" t="s">
        <v>6</v>
      </c>
      <c r="F3" s="10" t="s">
        <v>7</v>
      </c>
      <c r="G3" s="8" t="s">
        <v>6</v>
      </c>
      <c r="H3" s="41" t="s">
        <v>7</v>
      </c>
      <c r="I3" s="40" t="s">
        <v>13</v>
      </c>
      <c r="J3" s="10" t="s">
        <v>7</v>
      </c>
      <c r="K3" s="34" t="s">
        <v>13</v>
      </c>
      <c r="L3" s="9" t="s">
        <v>7</v>
      </c>
    </row>
    <row r="4" customFormat="false" ht="15" hidden="false" customHeight="false" outlineLevel="0" collapsed="false">
      <c r="A4" s="7"/>
      <c r="B4" s="2" t="n">
        <v>0</v>
      </c>
      <c r="C4" s="11" t="n">
        <v>163</v>
      </c>
      <c r="D4" s="12" t="n">
        <v>159837</v>
      </c>
      <c r="E4" s="42" t="n">
        <f aca="false">'Color clustering'!E4</f>
        <v>163</v>
      </c>
      <c r="F4" s="13" t="n">
        <f aca="false">'Color clustering'!F4</f>
        <v>159837</v>
      </c>
      <c r="G4" s="42" t="n">
        <f aca="false">'Color clustering'!G4</f>
        <v>163</v>
      </c>
      <c r="H4" s="2" t="n">
        <f aca="false">'Color clustering'!H4</f>
        <v>159837</v>
      </c>
      <c r="I4" s="11" t="n">
        <f aca="false">'Color classification'!E4</f>
        <v>163</v>
      </c>
      <c r="J4" s="13" t="n">
        <f aca="false">'Color classification'!F4</f>
        <v>159837</v>
      </c>
      <c r="K4" s="2" t="n">
        <f aca="false">'Color classification'!G4</f>
        <v>163</v>
      </c>
      <c r="L4" s="12" t="n">
        <f aca="false">'Color classification'!H4</f>
        <v>159837</v>
      </c>
    </row>
    <row r="5" customFormat="false" ht="15" hidden="false" customHeight="false" outlineLevel="0" collapsed="false">
      <c r="A5" s="7"/>
      <c r="B5" s="2" t="n">
        <v>1</v>
      </c>
      <c r="C5" s="11" t="n">
        <v>350</v>
      </c>
      <c r="D5" s="12" t="n">
        <v>159650</v>
      </c>
      <c r="E5" s="42" t="n">
        <f aca="false">'Color clustering'!E5</f>
        <v>324</v>
      </c>
      <c r="F5" s="13" t="n">
        <f aca="false">'Color clustering'!F5</f>
        <v>159676</v>
      </c>
      <c r="G5" s="42" t="n">
        <f aca="false">'Color clustering'!G5</f>
        <v>346</v>
      </c>
      <c r="H5" s="2" t="n">
        <f aca="false">'Color clustering'!H5</f>
        <v>159654</v>
      </c>
      <c r="I5" s="11" t="n">
        <f aca="false">'Color classification'!E5</f>
        <v>9</v>
      </c>
      <c r="J5" s="13" t="n">
        <f aca="false">'Color classification'!F5</f>
        <v>159991</v>
      </c>
      <c r="K5" s="2" t="n">
        <f aca="false">'Color classification'!G5</f>
        <v>346</v>
      </c>
      <c r="L5" s="12" t="n">
        <f aca="false">'Color classification'!H5</f>
        <v>159654</v>
      </c>
    </row>
    <row r="6" customFormat="false" ht="15" hidden="false" customHeight="false" outlineLevel="0" collapsed="false">
      <c r="A6" s="7"/>
      <c r="B6" s="2" t="n">
        <v>2</v>
      </c>
      <c r="C6" s="11" t="n">
        <v>526</v>
      </c>
      <c r="D6" s="12" t="n">
        <v>159474</v>
      </c>
      <c r="E6" s="42" t="n">
        <f aca="false">'Color clustering'!E6</f>
        <v>525</v>
      </c>
      <c r="F6" s="13" t="n">
        <f aca="false">'Color clustering'!F6</f>
        <v>159475</v>
      </c>
      <c r="G6" s="42" t="n">
        <f aca="false">'Color clustering'!G6</f>
        <v>536</v>
      </c>
      <c r="H6" s="2" t="n">
        <f aca="false">'Color clustering'!H6</f>
        <v>159464</v>
      </c>
      <c r="I6" s="11" t="n">
        <f aca="false">'Color classification'!E6</f>
        <v>1</v>
      </c>
      <c r="J6" s="13" t="n">
        <f aca="false">'Color classification'!F6</f>
        <v>159999</v>
      </c>
      <c r="K6" s="2" t="n">
        <f aca="false">'Color classification'!G6</f>
        <v>532</v>
      </c>
      <c r="L6" s="12" t="n">
        <f aca="false">'Color classification'!H6</f>
        <v>159468</v>
      </c>
    </row>
    <row r="7" customFormat="false" ht="15" hidden="false" customHeight="false" outlineLevel="0" collapsed="false">
      <c r="A7" s="7"/>
      <c r="B7" s="2" t="n">
        <v>3</v>
      </c>
      <c r="C7" s="11" t="n">
        <v>700</v>
      </c>
      <c r="D7" s="12" t="n">
        <v>159300</v>
      </c>
      <c r="E7" s="42" t="n">
        <f aca="false">'Color clustering'!E7</f>
        <v>677</v>
      </c>
      <c r="F7" s="13" t="n">
        <f aca="false">'Color clustering'!F7</f>
        <v>159323</v>
      </c>
      <c r="G7" s="42" t="n">
        <f aca="false">'Color clustering'!G7</f>
        <v>695</v>
      </c>
      <c r="H7" s="2" t="n">
        <f aca="false">'Color clustering'!H7</f>
        <v>159305</v>
      </c>
      <c r="I7" s="11" t="n">
        <f aca="false">'Color classification'!E7</f>
        <v>94</v>
      </c>
      <c r="J7" s="13" t="n">
        <f aca="false">'Color classification'!F7</f>
        <v>159906</v>
      </c>
      <c r="K7" s="2" t="n">
        <f aca="false">'Color classification'!G7</f>
        <v>692</v>
      </c>
      <c r="L7" s="12" t="n">
        <f aca="false">'Color classification'!H7</f>
        <v>159308</v>
      </c>
    </row>
    <row r="8" customFormat="false" ht="15" hidden="false" customHeight="false" outlineLevel="0" collapsed="false">
      <c r="A8" s="7"/>
      <c r="B8" s="2" t="n">
        <v>4</v>
      </c>
      <c r="C8" s="11" t="n">
        <v>868</v>
      </c>
      <c r="D8" s="12" t="n">
        <v>159132</v>
      </c>
      <c r="E8" s="42" t="n">
        <f aca="false">'Color clustering'!E8</f>
        <v>832</v>
      </c>
      <c r="F8" s="13" t="n">
        <f aca="false">'Color clustering'!F8</f>
        <v>159168</v>
      </c>
      <c r="G8" s="42" t="n">
        <f aca="false">'Color clustering'!G8</f>
        <v>867</v>
      </c>
      <c r="H8" s="2" t="n">
        <f aca="false">'Color clustering'!H8</f>
        <v>159133</v>
      </c>
      <c r="I8" s="11" t="n">
        <f aca="false">'Color classification'!E8</f>
        <v>0</v>
      </c>
      <c r="J8" s="13" t="n">
        <f aca="false">'Color classification'!F8</f>
        <v>160000</v>
      </c>
      <c r="K8" s="2" t="n">
        <f aca="false">'Color classification'!G8</f>
        <v>868</v>
      </c>
      <c r="L8" s="12" t="n">
        <f aca="false">'Color classification'!H8</f>
        <v>159132</v>
      </c>
    </row>
    <row r="9" customFormat="false" ht="15" hidden="false" customHeight="false" outlineLevel="0" collapsed="false">
      <c r="A9" s="7"/>
      <c r="B9" s="2" t="n">
        <v>5</v>
      </c>
      <c r="C9" s="11" t="n">
        <v>1024</v>
      </c>
      <c r="D9" s="12" t="n">
        <v>158976</v>
      </c>
      <c r="E9" s="42" t="n">
        <f aca="false">'Color clustering'!E9</f>
        <v>989</v>
      </c>
      <c r="F9" s="13" t="n">
        <f aca="false">'Color clustering'!F9</f>
        <v>159011</v>
      </c>
      <c r="G9" s="42" t="n">
        <f aca="false">'Color clustering'!G9</f>
        <v>1028</v>
      </c>
      <c r="H9" s="2" t="n">
        <f aca="false">'Color clustering'!H9</f>
        <v>158972</v>
      </c>
      <c r="I9" s="11" t="n">
        <f aca="false">'Color classification'!E9</f>
        <v>21</v>
      </c>
      <c r="J9" s="13" t="n">
        <f aca="false">'Color classification'!F9</f>
        <v>159979</v>
      </c>
      <c r="K9" s="2" t="n">
        <f aca="false">'Color classification'!G9</f>
        <v>1027</v>
      </c>
      <c r="L9" s="12" t="n">
        <f aca="false">'Color classification'!H9</f>
        <v>158973</v>
      </c>
    </row>
    <row r="10" customFormat="false" ht="15" hidden="false" customHeight="false" outlineLevel="0" collapsed="false">
      <c r="A10" s="7"/>
      <c r="B10" s="2" t="n">
        <v>6</v>
      </c>
      <c r="C10" s="11" t="n">
        <v>1173</v>
      </c>
      <c r="D10" s="12" t="n">
        <v>158827</v>
      </c>
      <c r="E10" s="42" t="n">
        <f aca="false">'Color clustering'!E10</f>
        <v>1154</v>
      </c>
      <c r="F10" s="13" t="n">
        <f aca="false">'Color clustering'!F10</f>
        <v>158846</v>
      </c>
      <c r="G10" s="42" t="n">
        <f aca="false">'Color clustering'!G10</f>
        <v>1180</v>
      </c>
      <c r="H10" s="2" t="n">
        <f aca="false">'Color clustering'!H10</f>
        <v>158820</v>
      </c>
      <c r="I10" s="11" t="n">
        <f aca="false">'Color classification'!E10</f>
        <v>191</v>
      </c>
      <c r="J10" s="13" t="n">
        <f aca="false">'Color classification'!F10</f>
        <v>159809</v>
      </c>
      <c r="K10" s="2" t="n">
        <f aca="false">'Color classification'!G10</f>
        <v>1173</v>
      </c>
      <c r="L10" s="12" t="n">
        <f aca="false">'Color classification'!H10</f>
        <v>158827</v>
      </c>
    </row>
    <row r="11" customFormat="false" ht="15" hidden="false" customHeight="false" outlineLevel="0" collapsed="false">
      <c r="A11" s="7"/>
      <c r="B11" s="2" t="n">
        <v>7</v>
      </c>
      <c r="C11" s="11" t="n">
        <v>1320</v>
      </c>
      <c r="D11" s="12" t="n">
        <v>158680</v>
      </c>
      <c r="E11" s="42" t="n">
        <f aca="false">'Color clustering'!E11</f>
        <v>1307</v>
      </c>
      <c r="F11" s="13" t="n">
        <f aca="false">'Color clustering'!F11</f>
        <v>158693</v>
      </c>
      <c r="G11" s="42" t="n">
        <f aca="false">'Color clustering'!G11</f>
        <v>1318</v>
      </c>
      <c r="H11" s="2" t="n">
        <f aca="false">'Color clustering'!H11</f>
        <v>158682</v>
      </c>
      <c r="I11" s="11" t="n">
        <f aca="false">'Color classification'!E11</f>
        <v>0</v>
      </c>
      <c r="J11" s="13" t="n">
        <f aca="false">'Color classification'!F11</f>
        <v>160000</v>
      </c>
      <c r="K11" s="2" t="n">
        <f aca="false">'Color classification'!G11</f>
        <v>1320</v>
      </c>
      <c r="L11" s="12" t="n">
        <f aca="false">'Color classification'!H11</f>
        <v>158680</v>
      </c>
    </row>
    <row r="12" customFormat="false" ht="15" hidden="false" customHeight="false" outlineLevel="0" collapsed="false">
      <c r="A12" s="7"/>
      <c r="B12" s="2" t="n">
        <v>8</v>
      </c>
      <c r="C12" s="11" t="n">
        <v>1457</v>
      </c>
      <c r="D12" s="12" t="n">
        <v>158543</v>
      </c>
      <c r="E12" s="42" t="n">
        <f aca="false">'Color clustering'!E12</f>
        <v>1433</v>
      </c>
      <c r="F12" s="13" t="n">
        <f aca="false">'Color clustering'!F12</f>
        <v>158567</v>
      </c>
      <c r="G12" s="42" t="n">
        <f aca="false">'Color clustering'!G12</f>
        <v>1460</v>
      </c>
      <c r="H12" s="2" t="n">
        <f aca="false">'Color clustering'!H12</f>
        <v>158540</v>
      </c>
      <c r="I12" s="11" t="n">
        <f aca="false">'Color classification'!E12</f>
        <v>31</v>
      </c>
      <c r="J12" s="13" t="n">
        <f aca="false">'Color classification'!F12</f>
        <v>159969</v>
      </c>
      <c r="K12" s="2" t="n">
        <f aca="false">'Color classification'!G12</f>
        <v>1461</v>
      </c>
      <c r="L12" s="12" t="n">
        <f aca="false">'Color classification'!H12</f>
        <v>158539</v>
      </c>
    </row>
    <row r="13" customFormat="false" ht="15" hidden="false" customHeight="false" outlineLevel="0" collapsed="false">
      <c r="A13" s="7"/>
      <c r="B13" s="2" t="n">
        <v>9</v>
      </c>
      <c r="C13" s="11" t="n">
        <v>1587</v>
      </c>
      <c r="D13" s="12" t="n">
        <v>158413</v>
      </c>
      <c r="E13" s="42" t="n">
        <f aca="false">'Color clustering'!E13</f>
        <v>1558</v>
      </c>
      <c r="F13" s="13" t="n">
        <f aca="false">'Color clustering'!F13</f>
        <v>158442</v>
      </c>
      <c r="G13" s="42" t="n">
        <f aca="false">'Color clustering'!G13</f>
        <v>1583</v>
      </c>
      <c r="H13" s="2" t="n">
        <f aca="false">'Color clustering'!H13</f>
        <v>158417</v>
      </c>
      <c r="I13" s="11" t="n">
        <f aca="false">'Color classification'!E13</f>
        <v>0</v>
      </c>
      <c r="J13" s="13" t="n">
        <f aca="false">'Color classification'!F13</f>
        <v>160000</v>
      </c>
      <c r="K13" s="2" t="n">
        <f aca="false">'Color classification'!G13</f>
        <v>1583</v>
      </c>
      <c r="L13" s="12" t="n">
        <f aca="false">'Color classification'!H13</f>
        <v>158417</v>
      </c>
    </row>
    <row r="14" customFormat="false" ht="15" hidden="false" customHeight="false" outlineLevel="0" collapsed="false">
      <c r="A14" s="7"/>
      <c r="B14" s="2" t="n">
        <v>10</v>
      </c>
      <c r="C14" s="11" t="n">
        <v>1709</v>
      </c>
      <c r="D14" s="12" t="n">
        <v>158291</v>
      </c>
      <c r="E14" s="42" t="n">
        <f aca="false">'Color clustering'!E14</f>
        <v>1650</v>
      </c>
      <c r="F14" s="13" t="n">
        <f aca="false">'Color clustering'!F14</f>
        <v>158350</v>
      </c>
      <c r="G14" s="42" t="n">
        <f aca="false">'Color clustering'!G14</f>
        <v>1709</v>
      </c>
      <c r="H14" s="2" t="n">
        <f aca="false">'Color clustering'!H14</f>
        <v>158291</v>
      </c>
      <c r="I14" s="11" t="n">
        <f aca="false">'Color classification'!E14</f>
        <v>216</v>
      </c>
      <c r="J14" s="13" t="n">
        <f aca="false">'Color classification'!F14</f>
        <v>159784</v>
      </c>
      <c r="K14" s="2" t="n">
        <f aca="false">'Color classification'!G14</f>
        <v>1694</v>
      </c>
      <c r="L14" s="12" t="n">
        <f aca="false">'Color classification'!H14</f>
        <v>158306</v>
      </c>
    </row>
    <row r="15" customFormat="false" ht="15" hidden="false" customHeight="false" outlineLevel="0" collapsed="false">
      <c r="A15" s="7"/>
      <c r="B15" s="2" t="n">
        <v>11</v>
      </c>
      <c r="C15" s="11" t="n">
        <v>1833</v>
      </c>
      <c r="D15" s="12" t="n">
        <v>158167</v>
      </c>
      <c r="E15" s="42" t="n">
        <f aca="false">'Color clustering'!E15</f>
        <v>1804</v>
      </c>
      <c r="F15" s="13" t="n">
        <f aca="false">'Color clustering'!F15</f>
        <v>158196</v>
      </c>
      <c r="G15" s="42" t="n">
        <f aca="false">'Color clustering'!G15</f>
        <v>1831</v>
      </c>
      <c r="H15" s="2" t="n">
        <f aca="false">'Color clustering'!H15</f>
        <v>158169</v>
      </c>
      <c r="I15" s="11" t="n">
        <f aca="false">'Color classification'!E15</f>
        <v>233</v>
      </c>
      <c r="J15" s="13" t="n">
        <f aca="false">'Color classification'!F15</f>
        <v>159767</v>
      </c>
      <c r="K15" s="2" t="n">
        <f aca="false">'Color classification'!G15</f>
        <v>1834</v>
      </c>
      <c r="L15" s="12" t="n">
        <f aca="false">'Color classification'!H15</f>
        <v>158166</v>
      </c>
    </row>
    <row r="16" customFormat="false" ht="15" hidden="false" customHeight="false" outlineLevel="0" collapsed="false">
      <c r="A16" s="7"/>
      <c r="B16" s="2" t="n">
        <v>12</v>
      </c>
      <c r="C16" s="11" t="n">
        <v>1938</v>
      </c>
      <c r="D16" s="12" t="n">
        <v>158062</v>
      </c>
      <c r="E16" s="42" t="n">
        <f aca="false">'Color clustering'!E16</f>
        <v>1910</v>
      </c>
      <c r="F16" s="13" t="n">
        <f aca="false">'Color clustering'!F16</f>
        <v>158090</v>
      </c>
      <c r="G16" s="42" t="n">
        <f aca="false">'Color clustering'!G16</f>
        <v>1944</v>
      </c>
      <c r="H16" s="2" t="n">
        <f aca="false">'Color clustering'!H16</f>
        <v>158056</v>
      </c>
      <c r="I16" s="11" t="n">
        <f aca="false">'Color classification'!E16</f>
        <v>10</v>
      </c>
      <c r="J16" s="13" t="n">
        <f aca="false">'Color classification'!F16</f>
        <v>159990</v>
      </c>
      <c r="K16" s="2" t="n">
        <f aca="false">'Color classification'!G16</f>
        <v>1936</v>
      </c>
      <c r="L16" s="12" t="n">
        <f aca="false">'Color classification'!H16</f>
        <v>158064</v>
      </c>
    </row>
    <row r="17" customFormat="false" ht="15" hidden="false" customHeight="false" outlineLevel="0" collapsed="false">
      <c r="A17" s="7"/>
      <c r="B17" s="2" t="n">
        <v>13</v>
      </c>
      <c r="C17" s="11" t="n">
        <v>2042</v>
      </c>
      <c r="D17" s="12" t="n">
        <v>157958</v>
      </c>
      <c r="E17" s="42" t="n">
        <f aca="false">'Color clustering'!E17</f>
        <v>2006</v>
      </c>
      <c r="F17" s="13" t="n">
        <f aca="false">'Color clustering'!F17</f>
        <v>157994</v>
      </c>
      <c r="G17" s="42" t="n">
        <f aca="false">'Color clustering'!G17</f>
        <v>2046</v>
      </c>
      <c r="H17" s="2" t="n">
        <f aca="false">'Color clustering'!H17</f>
        <v>157954</v>
      </c>
      <c r="I17" s="11" t="n">
        <f aca="false">'Color classification'!E17</f>
        <v>83</v>
      </c>
      <c r="J17" s="13" t="n">
        <f aca="false">'Color classification'!F17</f>
        <v>159917</v>
      </c>
      <c r="K17" s="2" t="n">
        <f aca="false">'Color classification'!G17</f>
        <v>2044</v>
      </c>
      <c r="L17" s="12" t="n">
        <f aca="false">'Color classification'!H17</f>
        <v>157956</v>
      </c>
    </row>
    <row r="18" customFormat="false" ht="15" hidden="false" customHeight="false" outlineLevel="0" collapsed="false">
      <c r="A18" s="7"/>
      <c r="B18" s="2" t="n">
        <v>14</v>
      </c>
      <c r="C18" s="11" t="n">
        <v>2136</v>
      </c>
      <c r="D18" s="12" t="n">
        <v>157864</v>
      </c>
      <c r="E18" s="42" t="n">
        <f aca="false">'Color clustering'!E18</f>
        <v>2112</v>
      </c>
      <c r="F18" s="13" t="n">
        <f aca="false">'Color clustering'!F18</f>
        <v>157888</v>
      </c>
      <c r="G18" s="42" t="n">
        <f aca="false">'Color clustering'!G18</f>
        <v>2139</v>
      </c>
      <c r="H18" s="2" t="n">
        <f aca="false">'Color clustering'!H18</f>
        <v>157861</v>
      </c>
      <c r="I18" s="11" t="n">
        <f aca="false">'Color classification'!E18</f>
        <v>17</v>
      </c>
      <c r="J18" s="13" t="n">
        <f aca="false">'Color classification'!F18</f>
        <v>159983</v>
      </c>
      <c r="K18" s="2" t="n">
        <f aca="false">'Color classification'!G18</f>
        <v>2136</v>
      </c>
      <c r="L18" s="12" t="n">
        <f aca="false">'Color classification'!H18</f>
        <v>157864</v>
      </c>
    </row>
    <row r="19" customFormat="false" ht="15" hidden="false" customHeight="false" outlineLevel="0" collapsed="false">
      <c r="A19" s="7"/>
      <c r="B19" s="2" t="n">
        <v>15</v>
      </c>
      <c r="C19" s="11" t="n">
        <v>2221</v>
      </c>
      <c r="D19" s="12" t="n">
        <v>157779</v>
      </c>
      <c r="E19" s="42" t="n">
        <f aca="false">'Color clustering'!E19</f>
        <v>2193</v>
      </c>
      <c r="F19" s="13" t="n">
        <f aca="false">'Color clustering'!F19</f>
        <v>157807</v>
      </c>
      <c r="G19" s="42" t="n">
        <f aca="false">'Color clustering'!G19</f>
        <v>2229</v>
      </c>
      <c r="H19" s="2" t="n">
        <f aca="false">'Color clustering'!H19</f>
        <v>157771</v>
      </c>
      <c r="I19" s="11" t="n">
        <f aca="false">'Color classification'!E19</f>
        <v>112</v>
      </c>
      <c r="J19" s="13" t="n">
        <f aca="false">'Color classification'!F19</f>
        <v>159888</v>
      </c>
      <c r="K19" s="2" t="n">
        <f aca="false">'Color classification'!G19</f>
        <v>2215</v>
      </c>
      <c r="L19" s="12" t="n">
        <f aca="false">'Color classification'!H19</f>
        <v>157785</v>
      </c>
    </row>
    <row r="20" customFormat="false" ht="15" hidden="false" customHeight="false" outlineLevel="0" collapsed="false">
      <c r="A20" s="7"/>
      <c r="B20" s="2" t="n">
        <v>16</v>
      </c>
      <c r="C20" s="11" t="n">
        <v>2298</v>
      </c>
      <c r="D20" s="12" t="n">
        <v>157702</v>
      </c>
      <c r="E20" s="42" t="n">
        <f aca="false">'Color clustering'!E20</f>
        <v>2253</v>
      </c>
      <c r="F20" s="13" t="n">
        <f aca="false">'Color clustering'!F20</f>
        <v>157747</v>
      </c>
      <c r="G20" s="42" t="n">
        <f aca="false">'Color clustering'!G20</f>
        <v>2294</v>
      </c>
      <c r="H20" s="2" t="n">
        <f aca="false">'Color clustering'!H20</f>
        <v>157706</v>
      </c>
      <c r="I20" s="11" t="n">
        <f aca="false">'Color classification'!E20</f>
        <v>31</v>
      </c>
      <c r="J20" s="13" t="n">
        <f aca="false">'Color classification'!F20</f>
        <v>159969</v>
      </c>
      <c r="K20" s="2" t="n">
        <f aca="false">'Color classification'!G20</f>
        <v>2294</v>
      </c>
      <c r="L20" s="12" t="n">
        <f aca="false">'Color classification'!H20</f>
        <v>157706</v>
      </c>
    </row>
    <row r="21" customFormat="false" ht="15" hidden="false" customHeight="false" outlineLevel="0" collapsed="false">
      <c r="A21" s="7"/>
      <c r="B21" s="2" t="n">
        <v>17</v>
      </c>
      <c r="C21" s="11" t="n">
        <v>2369</v>
      </c>
      <c r="D21" s="12" t="n">
        <v>157631</v>
      </c>
      <c r="E21" s="42" t="n">
        <f aca="false">'Color clustering'!E21</f>
        <v>2366</v>
      </c>
      <c r="F21" s="13" t="n">
        <f aca="false">'Color clustering'!F21</f>
        <v>157634</v>
      </c>
      <c r="G21" s="42" t="n">
        <f aca="false">'Color clustering'!G21</f>
        <v>2366</v>
      </c>
      <c r="H21" s="2" t="n">
        <f aca="false">'Color clustering'!H21</f>
        <v>157634</v>
      </c>
      <c r="I21" s="11" t="n">
        <f aca="false">'Color classification'!E21</f>
        <v>0</v>
      </c>
      <c r="J21" s="13" t="n">
        <f aca="false">'Color classification'!F21</f>
        <v>160000</v>
      </c>
      <c r="K21" s="2" t="n">
        <f aca="false">'Color classification'!G21</f>
        <v>2367</v>
      </c>
      <c r="L21" s="12" t="n">
        <f aca="false">'Color classification'!H21</f>
        <v>157633</v>
      </c>
    </row>
    <row r="22" customFormat="false" ht="15" hidden="false" customHeight="false" outlineLevel="0" collapsed="false">
      <c r="A22" s="7"/>
      <c r="B22" s="2" t="n">
        <v>18</v>
      </c>
      <c r="C22" s="11" t="n">
        <v>2436</v>
      </c>
      <c r="D22" s="12" t="n">
        <v>157564</v>
      </c>
      <c r="E22" s="42" t="n">
        <f aca="false">'Color clustering'!E22</f>
        <v>2409</v>
      </c>
      <c r="F22" s="13" t="n">
        <f aca="false">'Color clustering'!F22</f>
        <v>157591</v>
      </c>
      <c r="G22" s="42" t="n">
        <f aca="false">'Color clustering'!G22</f>
        <v>2437</v>
      </c>
      <c r="H22" s="2" t="n">
        <f aca="false">'Color clustering'!H22</f>
        <v>157563</v>
      </c>
      <c r="I22" s="11" t="n">
        <f aca="false">'Color classification'!E22</f>
        <v>398</v>
      </c>
      <c r="J22" s="13" t="n">
        <f aca="false">'Color classification'!F22</f>
        <v>159602</v>
      </c>
      <c r="K22" s="2" t="n">
        <f aca="false">'Color classification'!G22</f>
        <v>2432</v>
      </c>
      <c r="L22" s="12" t="n">
        <f aca="false">'Color classification'!H22</f>
        <v>157568</v>
      </c>
    </row>
    <row r="23" customFormat="false" ht="15" hidden="false" customHeight="false" outlineLevel="0" collapsed="false">
      <c r="A23" s="7"/>
      <c r="B23" s="2" t="n">
        <v>19</v>
      </c>
      <c r="C23" s="11" t="n">
        <v>2488</v>
      </c>
      <c r="D23" s="12" t="n">
        <v>157512</v>
      </c>
      <c r="E23" s="42" t="n">
        <f aca="false">'Color clustering'!E23</f>
        <v>2439</v>
      </c>
      <c r="F23" s="13" t="n">
        <f aca="false">'Color clustering'!F23</f>
        <v>157561</v>
      </c>
      <c r="G23" s="42" t="n">
        <f aca="false">'Color clustering'!G23</f>
        <v>2497</v>
      </c>
      <c r="H23" s="2" t="n">
        <f aca="false">'Color clustering'!H23</f>
        <v>157503</v>
      </c>
      <c r="I23" s="11" t="n">
        <f aca="false">'Color classification'!E23</f>
        <v>255</v>
      </c>
      <c r="J23" s="13" t="n">
        <f aca="false">'Color classification'!F23</f>
        <v>159745</v>
      </c>
      <c r="K23" s="2" t="n">
        <f aca="false">'Color classification'!G23</f>
        <v>2491</v>
      </c>
      <c r="L23" s="12" t="n">
        <f aca="false">'Color classification'!H23</f>
        <v>157509</v>
      </c>
    </row>
    <row r="24" customFormat="false" ht="15" hidden="false" customHeight="false" outlineLevel="0" collapsed="false">
      <c r="A24" s="7"/>
      <c r="B24" s="2" t="n">
        <v>20</v>
      </c>
      <c r="C24" s="11" t="n">
        <v>2528</v>
      </c>
      <c r="D24" s="12" t="n">
        <v>157472</v>
      </c>
      <c r="E24" s="42" t="n">
        <f aca="false">'Color clustering'!E24</f>
        <v>2508</v>
      </c>
      <c r="F24" s="13" t="n">
        <f aca="false">'Color clustering'!F24</f>
        <v>157492</v>
      </c>
      <c r="G24" s="42" t="n">
        <f aca="false">'Color clustering'!G24</f>
        <v>2539</v>
      </c>
      <c r="H24" s="2" t="n">
        <f aca="false">'Color clustering'!H24</f>
        <v>157461</v>
      </c>
      <c r="I24" s="11" t="n">
        <f aca="false">'Color classification'!E24</f>
        <v>10</v>
      </c>
      <c r="J24" s="13" t="n">
        <f aca="false">'Color classification'!F24</f>
        <v>159990</v>
      </c>
      <c r="K24" s="2" t="n">
        <f aca="false">'Color classification'!G24</f>
        <v>2532</v>
      </c>
      <c r="L24" s="12" t="n">
        <f aca="false">'Color classification'!H24</f>
        <v>157468</v>
      </c>
    </row>
    <row r="25" customFormat="false" ht="15" hidden="false" customHeight="false" outlineLevel="0" collapsed="false">
      <c r="A25" s="7"/>
      <c r="B25" s="2" t="n">
        <v>21</v>
      </c>
      <c r="C25" s="11" t="n">
        <v>2564</v>
      </c>
      <c r="D25" s="12" t="n">
        <v>157436</v>
      </c>
      <c r="E25" s="42" t="n">
        <f aca="false">'Color clustering'!E25</f>
        <v>2540</v>
      </c>
      <c r="F25" s="13" t="n">
        <f aca="false">'Color clustering'!F25</f>
        <v>157460</v>
      </c>
      <c r="G25" s="42" t="n">
        <f aca="false">'Color clustering'!G25</f>
        <v>2570</v>
      </c>
      <c r="H25" s="2" t="n">
        <f aca="false">'Color clustering'!H25</f>
        <v>157430</v>
      </c>
      <c r="I25" s="11" t="n">
        <f aca="false">'Color classification'!E25</f>
        <v>33</v>
      </c>
      <c r="J25" s="13" t="n">
        <f aca="false">'Color classification'!F25</f>
        <v>159967</v>
      </c>
      <c r="K25" s="2" t="n">
        <f aca="false">'Color classification'!G25</f>
        <v>2565</v>
      </c>
      <c r="L25" s="12" t="n">
        <f aca="false">'Color classification'!H25</f>
        <v>157435</v>
      </c>
    </row>
    <row r="26" customFormat="false" ht="15" hidden="false" customHeight="false" outlineLevel="0" collapsed="false">
      <c r="A26" s="7"/>
      <c r="B26" s="2" t="n">
        <v>22</v>
      </c>
      <c r="C26" s="11" t="n">
        <v>2600</v>
      </c>
      <c r="D26" s="12" t="n">
        <v>157400</v>
      </c>
      <c r="E26" s="42" t="n">
        <f aca="false">'Color clustering'!E26</f>
        <v>2549</v>
      </c>
      <c r="F26" s="13" t="n">
        <f aca="false">'Color clustering'!F26</f>
        <v>157451</v>
      </c>
      <c r="G26" s="42" t="n">
        <f aca="false">'Color clustering'!G26</f>
        <v>2604</v>
      </c>
      <c r="H26" s="2" t="n">
        <f aca="false">'Color clustering'!H26</f>
        <v>157396</v>
      </c>
      <c r="I26" s="11" t="n">
        <f aca="false">'Color classification'!E26</f>
        <v>221</v>
      </c>
      <c r="J26" s="13" t="n">
        <f aca="false">'Color classification'!F26</f>
        <v>159779</v>
      </c>
      <c r="K26" s="2" t="n">
        <f aca="false">'Color classification'!G26</f>
        <v>2598</v>
      </c>
      <c r="L26" s="12" t="n">
        <f aca="false">'Color classification'!H26</f>
        <v>157402</v>
      </c>
    </row>
    <row r="27" customFormat="false" ht="15" hidden="false" customHeight="false" outlineLevel="0" collapsed="false">
      <c r="A27" s="7"/>
      <c r="B27" s="2" t="n">
        <v>23</v>
      </c>
      <c r="C27" s="11" t="n">
        <v>2609</v>
      </c>
      <c r="D27" s="12" t="n">
        <v>157391</v>
      </c>
      <c r="E27" s="42" t="n">
        <f aca="false">'Color clustering'!E27</f>
        <v>2578</v>
      </c>
      <c r="F27" s="13" t="n">
        <f aca="false">'Color clustering'!F27</f>
        <v>157422</v>
      </c>
      <c r="G27" s="42" t="n">
        <f aca="false">'Color clustering'!G27</f>
        <v>2608</v>
      </c>
      <c r="H27" s="2" t="n">
        <f aca="false">'Color clustering'!H27</f>
        <v>157392</v>
      </c>
      <c r="I27" s="11" t="n">
        <f aca="false">'Color classification'!E27</f>
        <v>11</v>
      </c>
      <c r="J27" s="13" t="n">
        <f aca="false">'Color classification'!F27</f>
        <v>159989</v>
      </c>
      <c r="K27" s="2" t="n">
        <f aca="false">'Color classification'!G27</f>
        <v>2609</v>
      </c>
      <c r="L27" s="12" t="n">
        <f aca="false">'Color classification'!H27</f>
        <v>157391</v>
      </c>
    </row>
    <row r="28" customFormat="false" ht="15" hidden="false" customHeight="false" outlineLevel="0" collapsed="false">
      <c r="A28" s="7"/>
      <c r="B28" s="2" t="n">
        <v>24</v>
      </c>
      <c r="C28" s="11" t="n">
        <v>2618</v>
      </c>
      <c r="D28" s="12" t="n">
        <v>157382</v>
      </c>
      <c r="E28" s="42" t="n">
        <f aca="false">'Color clustering'!E28</f>
        <v>2576</v>
      </c>
      <c r="F28" s="13" t="n">
        <f aca="false">'Color clustering'!F28</f>
        <v>157424</v>
      </c>
      <c r="G28" s="42" t="n">
        <f aca="false">'Color clustering'!G28</f>
        <v>2618</v>
      </c>
      <c r="H28" s="2" t="n">
        <f aca="false">'Color clustering'!H28</f>
        <v>157382</v>
      </c>
      <c r="I28" s="11" t="n">
        <f aca="false">'Color classification'!E28</f>
        <v>29</v>
      </c>
      <c r="J28" s="13" t="n">
        <f aca="false">'Color classification'!F28</f>
        <v>159971</v>
      </c>
      <c r="K28" s="2" t="n">
        <f aca="false">'Color classification'!G28</f>
        <v>2616</v>
      </c>
      <c r="L28" s="12" t="n">
        <f aca="false">'Color classification'!H28</f>
        <v>157384</v>
      </c>
    </row>
    <row r="29" customFormat="false" ht="15" hidden="false" customHeight="false" outlineLevel="0" collapsed="false">
      <c r="A29" s="7"/>
      <c r="B29" s="2" t="n">
        <v>25</v>
      </c>
      <c r="C29" s="11" t="n">
        <v>2611</v>
      </c>
      <c r="D29" s="12" t="n">
        <v>157389</v>
      </c>
      <c r="E29" s="42" t="n">
        <f aca="false">'Color clustering'!E29</f>
        <v>2591</v>
      </c>
      <c r="F29" s="13" t="n">
        <f aca="false">'Color clustering'!F29</f>
        <v>157409</v>
      </c>
      <c r="G29" s="42" t="n">
        <f aca="false">'Color clustering'!G29</f>
        <v>2619</v>
      </c>
      <c r="H29" s="2" t="n">
        <f aca="false">'Color clustering'!H29</f>
        <v>157381</v>
      </c>
      <c r="I29" s="11" t="n">
        <f aca="false">'Color classification'!E29</f>
        <v>230</v>
      </c>
      <c r="J29" s="13" t="n">
        <f aca="false">'Color classification'!F29</f>
        <v>159770</v>
      </c>
      <c r="K29" s="2" t="n">
        <f aca="false">'Color classification'!G29</f>
        <v>2615</v>
      </c>
      <c r="L29" s="12" t="n">
        <f aca="false">'Color classification'!H29</f>
        <v>157385</v>
      </c>
    </row>
    <row r="30" customFormat="false" ht="15" hidden="false" customHeight="false" outlineLevel="0" collapsed="false">
      <c r="A30" s="7"/>
      <c r="B30" s="2" t="n">
        <v>26</v>
      </c>
      <c r="C30" s="11" t="n">
        <v>2589</v>
      </c>
      <c r="D30" s="12" t="n">
        <v>157411</v>
      </c>
      <c r="E30" s="42" t="n">
        <f aca="false">'Color clustering'!E30</f>
        <v>2562</v>
      </c>
      <c r="F30" s="13" t="n">
        <f aca="false">'Color clustering'!F30</f>
        <v>157438</v>
      </c>
      <c r="G30" s="42" t="n">
        <f aca="false">'Color clustering'!G30</f>
        <v>2590</v>
      </c>
      <c r="H30" s="2" t="n">
        <f aca="false">'Color clustering'!H30</f>
        <v>157410</v>
      </c>
      <c r="I30" s="11" t="n">
        <f aca="false">'Color classification'!E30</f>
        <v>34</v>
      </c>
      <c r="J30" s="13" t="n">
        <f aca="false">'Color classification'!F30</f>
        <v>159966</v>
      </c>
      <c r="K30" s="2" t="n">
        <f aca="false">'Color classification'!G30</f>
        <v>2589</v>
      </c>
      <c r="L30" s="12" t="n">
        <f aca="false">'Color classification'!H30</f>
        <v>157411</v>
      </c>
    </row>
    <row r="31" customFormat="false" ht="15" hidden="false" customHeight="false" outlineLevel="0" collapsed="false">
      <c r="A31" s="7"/>
      <c r="B31" s="2" t="n">
        <v>27</v>
      </c>
      <c r="C31" s="11" t="n">
        <v>2539</v>
      </c>
      <c r="D31" s="12" t="n">
        <v>157461</v>
      </c>
      <c r="E31" s="42" t="n">
        <f aca="false">'Color clustering'!E31</f>
        <v>2480</v>
      </c>
      <c r="F31" s="13" t="n">
        <f aca="false">'Color clustering'!F31</f>
        <v>157520</v>
      </c>
      <c r="G31" s="42" t="n">
        <f aca="false">'Color clustering'!G31</f>
        <v>2533</v>
      </c>
      <c r="H31" s="2" t="n">
        <f aca="false">'Color clustering'!H31</f>
        <v>157467</v>
      </c>
      <c r="I31" s="11" t="n">
        <f aca="false">'Color classification'!E31</f>
        <v>27</v>
      </c>
      <c r="J31" s="13" t="n">
        <f aca="false">'Color classification'!F31</f>
        <v>159973</v>
      </c>
      <c r="K31" s="2" t="n">
        <f aca="false">'Color classification'!G31</f>
        <v>2537</v>
      </c>
      <c r="L31" s="12" t="n">
        <f aca="false">'Color classification'!H31</f>
        <v>157463</v>
      </c>
    </row>
    <row r="32" customFormat="false" ht="15" hidden="false" customHeight="false" outlineLevel="0" collapsed="false">
      <c r="A32" s="7"/>
      <c r="B32" s="2" t="n">
        <v>28</v>
      </c>
      <c r="C32" s="11" t="n">
        <v>2482</v>
      </c>
      <c r="D32" s="12" t="n">
        <v>157518</v>
      </c>
      <c r="E32" s="42" t="n">
        <f aca="false">'Color clustering'!E32</f>
        <v>2417</v>
      </c>
      <c r="F32" s="13" t="n">
        <f aca="false">'Color clustering'!F32</f>
        <v>157583</v>
      </c>
      <c r="G32" s="42" t="n">
        <f aca="false">'Color clustering'!G32</f>
        <v>2478</v>
      </c>
      <c r="H32" s="2" t="n">
        <f aca="false">'Color clustering'!H32</f>
        <v>157522</v>
      </c>
      <c r="I32" s="11" t="n">
        <f aca="false">'Color classification'!E32</f>
        <v>76</v>
      </c>
      <c r="J32" s="13" t="n">
        <f aca="false">'Color classification'!F32</f>
        <v>159924</v>
      </c>
      <c r="K32" s="2" t="n">
        <f aca="false">'Color classification'!G32</f>
        <v>2473</v>
      </c>
      <c r="L32" s="12" t="n">
        <f aca="false">'Color classification'!H32</f>
        <v>157527</v>
      </c>
    </row>
    <row r="33" customFormat="false" ht="15" hidden="false" customHeight="false" outlineLevel="0" collapsed="false">
      <c r="A33" s="7"/>
      <c r="B33" s="2" t="n">
        <v>29</v>
      </c>
      <c r="C33" s="11" t="n">
        <v>2359</v>
      </c>
      <c r="D33" s="12" t="n">
        <v>157641</v>
      </c>
      <c r="E33" s="42" t="n">
        <f aca="false">'Color clustering'!E33</f>
        <v>2304</v>
      </c>
      <c r="F33" s="13" t="n">
        <f aca="false">'Color clustering'!F33</f>
        <v>157696</v>
      </c>
      <c r="G33" s="42" t="n">
        <f aca="false">'Color clustering'!G33</f>
        <v>2357</v>
      </c>
      <c r="H33" s="2" t="n">
        <f aca="false">'Color clustering'!H33</f>
        <v>157643</v>
      </c>
      <c r="I33" s="11" t="n">
        <f aca="false">'Color classification'!E33</f>
        <v>20</v>
      </c>
      <c r="J33" s="13" t="n">
        <f aca="false">'Color classification'!F33</f>
        <v>159980</v>
      </c>
      <c r="K33" s="2" t="n">
        <f aca="false">'Color classification'!G33</f>
        <v>2355</v>
      </c>
      <c r="L33" s="12" t="n">
        <f aca="false">'Color classification'!H33</f>
        <v>157645</v>
      </c>
    </row>
    <row r="34" customFormat="false" ht="15" hidden="false" customHeight="false" outlineLevel="0" collapsed="false">
      <c r="A34" s="7"/>
      <c r="B34" s="2" t="n">
        <v>30</v>
      </c>
      <c r="C34" s="11" t="n">
        <v>2196</v>
      </c>
      <c r="D34" s="12" t="n">
        <v>157804</v>
      </c>
      <c r="E34" s="42" t="n">
        <f aca="false">'Color clustering'!E34</f>
        <v>2167</v>
      </c>
      <c r="F34" s="13" t="n">
        <f aca="false">'Color clustering'!F34</f>
        <v>157833</v>
      </c>
      <c r="G34" s="42" t="n">
        <f aca="false">'Color clustering'!G34</f>
        <v>2196</v>
      </c>
      <c r="H34" s="2" t="n">
        <f aca="false">'Color clustering'!H34</f>
        <v>157804</v>
      </c>
      <c r="I34" s="11" t="n">
        <f aca="false">'Color classification'!E34</f>
        <v>33</v>
      </c>
      <c r="J34" s="13" t="n">
        <f aca="false">'Color classification'!F34</f>
        <v>159967</v>
      </c>
      <c r="K34" s="2" t="n">
        <f aca="false">'Color classification'!G34</f>
        <v>2195</v>
      </c>
      <c r="L34" s="12" t="n">
        <f aca="false">'Color classification'!H34</f>
        <v>157805</v>
      </c>
    </row>
    <row r="35" customFormat="false" ht="15" hidden="false" customHeight="false" outlineLevel="0" collapsed="false">
      <c r="A35" s="7"/>
      <c r="B35" s="2" t="n">
        <v>31</v>
      </c>
      <c r="C35" s="11" t="n">
        <v>2103</v>
      </c>
      <c r="D35" s="12" t="n">
        <v>157897</v>
      </c>
      <c r="E35" s="42" t="n">
        <f aca="false">'Color clustering'!E35</f>
        <v>2068</v>
      </c>
      <c r="F35" s="13" t="n">
        <f aca="false">'Color clustering'!F35</f>
        <v>157932</v>
      </c>
      <c r="G35" s="42" t="n">
        <f aca="false">'Color clustering'!G35</f>
        <v>2107</v>
      </c>
      <c r="H35" s="2" t="n">
        <f aca="false">'Color clustering'!H35</f>
        <v>157893</v>
      </c>
      <c r="I35" s="11" t="n">
        <f aca="false">'Color classification'!E35</f>
        <v>0</v>
      </c>
      <c r="J35" s="13" t="n">
        <f aca="false">'Color classification'!F35</f>
        <v>160000</v>
      </c>
      <c r="K35" s="2" t="n">
        <f aca="false">'Color classification'!G35</f>
        <v>2104</v>
      </c>
      <c r="L35" s="12" t="n">
        <f aca="false">'Color classification'!H35</f>
        <v>157896</v>
      </c>
    </row>
    <row r="36" customFormat="false" ht="15" hidden="false" customHeight="false" outlineLevel="0" collapsed="false">
      <c r="A36" s="7"/>
      <c r="B36" s="2" t="n">
        <v>32</v>
      </c>
      <c r="C36" s="11" t="n">
        <v>2037</v>
      </c>
      <c r="D36" s="12" t="n">
        <v>157963</v>
      </c>
      <c r="E36" s="42" t="n">
        <f aca="false">'Color clustering'!E36</f>
        <v>2027</v>
      </c>
      <c r="F36" s="13" t="n">
        <f aca="false">'Color clustering'!F36</f>
        <v>157973</v>
      </c>
      <c r="G36" s="42" t="n">
        <f aca="false">'Color clustering'!G36</f>
        <v>2050</v>
      </c>
      <c r="H36" s="2" t="n">
        <f aca="false">'Color clustering'!H36</f>
        <v>157950</v>
      </c>
      <c r="I36" s="11" t="n">
        <f aca="false">'Color classification'!E36</f>
        <v>3</v>
      </c>
      <c r="J36" s="13" t="n">
        <f aca="false">'Color classification'!F36</f>
        <v>159997</v>
      </c>
      <c r="K36" s="2" t="n">
        <f aca="false">'Color classification'!G36</f>
        <v>2045</v>
      </c>
      <c r="L36" s="12" t="n">
        <f aca="false">'Color classification'!H36</f>
        <v>157955</v>
      </c>
    </row>
    <row r="37" customFormat="false" ht="15" hidden="false" customHeight="false" outlineLevel="0" collapsed="false">
      <c r="A37" s="7"/>
      <c r="B37" s="2" t="n">
        <v>33</v>
      </c>
      <c r="C37" s="11" t="n">
        <v>1985</v>
      </c>
      <c r="D37" s="12" t="n">
        <v>158015</v>
      </c>
      <c r="E37" s="42" t="n">
        <f aca="false">'Color clustering'!E37</f>
        <v>1946</v>
      </c>
      <c r="F37" s="13" t="n">
        <f aca="false">'Color clustering'!F37</f>
        <v>158054</v>
      </c>
      <c r="G37" s="42" t="n">
        <f aca="false">'Color clustering'!G37</f>
        <v>1989</v>
      </c>
      <c r="H37" s="2" t="n">
        <f aca="false">'Color clustering'!H37</f>
        <v>158011</v>
      </c>
      <c r="I37" s="11" t="n">
        <f aca="false">'Color classification'!E37</f>
        <v>7</v>
      </c>
      <c r="J37" s="13" t="n">
        <f aca="false">'Color classification'!F37</f>
        <v>159993</v>
      </c>
      <c r="K37" s="2" t="n">
        <f aca="false">'Color classification'!G37</f>
        <v>1985</v>
      </c>
      <c r="L37" s="12" t="n">
        <f aca="false">'Color classification'!H37</f>
        <v>158015</v>
      </c>
    </row>
    <row r="38" customFormat="false" ht="15" hidden="false" customHeight="false" outlineLevel="0" collapsed="false">
      <c r="A38" s="7"/>
      <c r="B38" s="2" t="n">
        <v>34</v>
      </c>
      <c r="C38" s="11" t="n">
        <v>1947</v>
      </c>
      <c r="D38" s="12" t="n">
        <v>158053</v>
      </c>
      <c r="E38" s="42" t="n">
        <f aca="false">'Color clustering'!E38</f>
        <v>1918</v>
      </c>
      <c r="F38" s="13" t="n">
        <f aca="false">'Color clustering'!F38</f>
        <v>158082</v>
      </c>
      <c r="G38" s="42" t="n">
        <f aca="false">'Color clustering'!G38</f>
        <v>1951</v>
      </c>
      <c r="H38" s="2" t="n">
        <f aca="false">'Color clustering'!H38</f>
        <v>158049</v>
      </c>
      <c r="I38" s="11" t="n">
        <f aca="false">'Color classification'!E38</f>
        <v>59</v>
      </c>
      <c r="J38" s="13" t="n">
        <f aca="false">'Color classification'!F38</f>
        <v>159941</v>
      </c>
      <c r="K38" s="2" t="n">
        <f aca="false">'Color classification'!G38</f>
        <v>1947</v>
      </c>
      <c r="L38" s="12" t="n">
        <f aca="false">'Color classification'!H38</f>
        <v>158053</v>
      </c>
    </row>
    <row r="39" customFormat="false" ht="15" hidden="false" customHeight="false" outlineLevel="0" collapsed="false">
      <c r="A39" s="7"/>
      <c r="B39" s="2" t="n">
        <v>35</v>
      </c>
      <c r="C39" s="11" t="n">
        <v>1905</v>
      </c>
      <c r="D39" s="12" t="n">
        <v>158095</v>
      </c>
      <c r="E39" s="42" t="n">
        <f aca="false">'Color clustering'!E39</f>
        <v>1886</v>
      </c>
      <c r="F39" s="13" t="n">
        <f aca="false">'Color clustering'!F39</f>
        <v>158114</v>
      </c>
      <c r="G39" s="42" t="n">
        <f aca="false">'Color clustering'!G39</f>
        <v>1905</v>
      </c>
      <c r="H39" s="2" t="n">
        <f aca="false">'Color clustering'!H39</f>
        <v>158095</v>
      </c>
      <c r="I39" s="11" t="n">
        <f aca="false">'Color classification'!E39</f>
        <v>142</v>
      </c>
      <c r="J39" s="13" t="n">
        <f aca="false">'Color classification'!F39</f>
        <v>159858</v>
      </c>
      <c r="K39" s="2" t="n">
        <f aca="false">'Color classification'!G39</f>
        <v>1906</v>
      </c>
      <c r="L39" s="12" t="n">
        <f aca="false">'Color classification'!H39</f>
        <v>158094</v>
      </c>
    </row>
    <row r="40" customFormat="false" ht="15" hidden="false" customHeight="false" outlineLevel="0" collapsed="false">
      <c r="A40" s="7"/>
      <c r="B40" s="2" t="n">
        <v>36</v>
      </c>
      <c r="C40" s="11" t="n">
        <v>1880</v>
      </c>
      <c r="D40" s="12" t="n">
        <v>158120</v>
      </c>
      <c r="E40" s="42" t="n">
        <f aca="false">'Color clustering'!E40</f>
        <v>1869</v>
      </c>
      <c r="F40" s="13" t="n">
        <f aca="false">'Color clustering'!F40</f>
        <v>158131</v>
      </c>
      <c r="G40" s="42" t="n">
        <f aca="false">'Color clustering'!G40</f>
        <v>1880</v>
      </c>
      <c r="H40" s="2" t="n">
        <f aca="false">'Color clustering'!H40</f>
        <v>158120</v>
      </c>
      <c r="I40" s="11" t="n">
        <f aca="false">'Color classification'!E40</f>
        <v>9</v>
      </c>
      <c r="J40" s="13" t="n">
        <f aca="false">'Color classification'!F40</f>
        <v>159991</v>
      </c>
      <c r="K40" s="2" t="n">
        <f aca="false">'Color classification'!G40</f>
        <v>1878</v>
      </c>
      <c r="L40" s="12" t="n">
        <f aca="false">'Color classification'!H40</f>
        <v>158122</v>
      </c>
    </row>
    <row r="41" customFormat="false" ht="15" hidden="false" customHeight="false" outlineLevel="0" collapsed="false">
      <c r="A41" s="7"/>
      <c r="B41" s="2" t="n">
        <v>37</v>
      </c>
      <c r="C41" s="11" t="n">
        <v>1844</v>
      </c>
      <c r="D41" s="12" t="n">
        <v>158156</v>
      </c>
      <c r="E41" s="42" t="n">
        <f aca="false">'Color clustering'!E41</f>
        <v>1817</v>
      </c>
      <c r="F41" s="13" t="n">
        <f aca="false">'Color clustering'!F41</f>
        <v>158183</v>
      </c>
      <c r="G41" s="42" t="n">
        <f aca="false">'Color clustering'!G41</f>
        <v>1853</v>
      </c>
      <c r="H41" s="2" t="n">
        <f aca="false">'Color clustering'!H41</f>
        <v>158147</v>
      </c>
      <c r="I41" s="11" t="n">
        <f aca="false">'Color classification'!E41</f>
        <v>173</v>
      </c>
      <c r="J41" s="13" t="n">
        <f aca="false">'Color classification'!F41</f>
        <v>159827</v>
      </c>
      <c r="K41" s="2" t="n">
        <f aca="false">'Color classification'!G41</f>
        <v>1844</v>
      </c>
      <c r="L41" s="12" t="n">
        <f aca="false">'Color classification'!H41</f>
        <v>158156</v>
      </c>
    </row>
    <row r="42" customFormat="false" ht="15" hidden="false" customHeight="false" outlineLevel="0" collapsed="false">
      <c r="A42" s="7"/>
      <c r="B42" s="2" t="n">
        <v>38</v>
      </c>
      <c r="C42" s="11" t="n">
        <v>1826</v>
      </c>
      <c r="D42" s="12" t="n">
        <v>158174</v>
      </c>
      <c r="E42" s="42" t="n">
        <f aca="false">'Color clustering'!E42</f>
        <v>1792</v>
      </c>
      <c r="F42" s="13" t="n">
        <f aca="false">'Color clustering'!F42</f>
        <v>158208</v>
      </c>
      <c r="G42" s="42" t="n">
        <f aca="false">'Color clustering'!G42</f>
        <v>1825</v>
      </c>
      <c r="H42" s="2" t="n">
        <f aca="false">'Color clustering'!H42</f>
        <v>158175</v>
      </c>
      <c r="I42" s="11" t="n">
        <f aca="false">'Color classification'!E42</f>
        <v>230</v>
      </c>
      <c r="J42" s="13" t="n">
        <f aca="false">'Color classification'!F42</f>
        <v>159770</v>
      </c>
      <c r="K42" s="2" t="n">
        <f aca="false">'Color classification'!G42</f>
        <v>1827</v>
      </c>
      <c r="L42" s="12" t="n">
        <f aca="false">'Color classification'!H42</f>
        <v>158173</v>
      </c>
    </row>
    <row r="43" customFormat="false" ht="15" hidden="false" customHeight="false" outlineLevel="0" collapsed="false">
      <c r="A43" s="7"/>
      <c r="B43" s="2" t="n">
        <v>39</v>
      </c>
      <c r="C43" s="11" t="n">
        <v>1807</v>
      </c>
      <c r="D43" s="12" t="n">
        <v>158193</v>
      </c>
      <c r="E43" s="42" t="n">
        <f aca="false">'Color clustering'!E43</f>
        <v>1786</v>
      </c>
      <c r="F43" s="13" t="n">
        <f aca="false">'Color clustering'!F43</f>
        <v>158214</v>
      </c>
      <c r="G43" s="42" t="n">
        <f aca="false">'Color clustering'!G43</f>
        <v>1816</v>
      </c>
      <c r="H43" s="2" t="n">
        <f aca="false">'Color clustering'!H43</f>
        <v>158184</v>
      </c>
      <c r="I43" s="11" t="n">
        <f aca="false">'Color classification'!E43</f>
        <v>23</v>
      </c>
      <c r="J43" s="13" t="n">
        <f aca="false">'Color classification'!F43</f>
        <v>159977</v>
      </c>
      <c r="K43" s="2" t="n">
        <f aca="false">'Color classification'!G43</f>
        <v>1806</v>
      </c>
      <c r="L43" s="12" t="n">
        <f aca="false">'Color classification'!H43</f>
        <v>158194</v>
      </c>
    </row>
    <row r="44" customFormat="false" ht="15" hidden="false" customHeight="false" outlineLevel="0" collapsed="false">
      <c r="A44" s="7"/>
      <c r="B44" s="2" t="n">
        <v>40</v>
      </c>
      <c r="C44" s="11" t="n">
        <v>1788</v>
      </c>
      <c r="D44" s="12" t="n">
        <v>158212</v>
      </c>
      <c r="E44" s="42" t="n">
        <f aca="false">'Color clustering'!E44</f>
        <v>1779</v>
      </c>
      <c r="F44" s="13" t="n">
        <f aca="false">'Color clustering'!F44</f>
        <v>158221</v>
      </c>
      <c r="G44" s="42" t="n">
        <f aca="false">'Color clustering'!G44</f>
        <v>1791</v>
      </c>
      <c r="H44" s="2" t="n">
        <f aca="false">'Color clustering'!H44</f>
        <v>158209</v>
      </c>
      <c r="I44" s="11" t="n">
        <f aca="false">'Color classification'!E44</f>
        <v>4</v>
      </c>
      <c r="J44" s="13" t="n">
        <f aca="false">'Color classification'!F44</f>
        <v>159996</v>
      </c>
      <c r="K44" s="2" t="n">
        <f aca="false">'Color classification'!G44</f>
        <v>1786</v>
      </c>
      <c r="L44" s="12" t="n">
        <f aca="false">'Color classification'!H44</f>
        <v>158214</v>
      </c>
    </row>
    <row r="45" customFormat="false" ht="15" hidden="false" customHeight="false" outlineLevel="0" collapsed="false">
      <c r="A45" s="7"/>
      <c r="B45" s="2" t="n">
        <v>41</v>
      </c>
      <c r="C45" s="11" t="n">
        <v>1774</v>
      </c>
      <c r="D45" s="12" t="n">
        <v>158226</v>
      </c>
      <c r="E45" s="42" t="n">
        <f aca="false">'Color clustering'!E45</f>
        <v>1753</v>
      </c>
      <c r="F45" s="13" t="n">
        <f aca="false">'Color clustering'!F45</f>
        <v>158247</v>
      </c>
      <c r="G45" s="42" t="n">
        <f aca="false">'Color clustering'!G45</f>
        <v>1769</v>
      </c>
      <c r="H45" s="2" t="n">
        <f aca="false">'Color clustering'!H45</f>
        <v>158231</v>
      </c>
      <c r="I45" s="11" t="n">
        <f aca="false">'Color classification'!E45</f>
        <v>24</v>
      </c>
      <c r="J45" s="13" t="n">
        <f aca="false">'Color classification'!F45</f>
        <v>159976</v>
      </c>
      <c r="K45" s="2" t="n">
        <f aca="false">'Color classification'!G45</f>
        <v>1773</v>
      </c>
      <c r="L45" s="12" t="n">
        <f aca="false">'Color classification'!H45</f>
        <v>158227</v>
      </c>
    </row>
    <row r="46" customFormat="false" ht="15" hidden="false" customHeight="false" outlineLevel="0" collapsed="false">
      <c r="A46" s="7"/>
      <c r="B46" s="2" t="n">
        <v>42</v>
      </c>
      <c r="C46" s="11" t="n">
        <v>1761</v>
      </c>
      <c r="D46" s="12" t="n">
        <v>158239</v>
      </c>
      <c r="E46" s="42" t="n">
        <f aca="false">'Color clustering'!E46</f>
        <v>1722</v>
      </c>
      <c r="F46" s="13" t="n">
        <f aca="false">'Color clustering'!F46</f>
        <v>158278</v>
      </c>
      <c r="G46" s="42" t="n">
        <f aca="false">'Color clustering'!G46</f>
        <v>1768</v>
      </c>
      <c r="H46" s="2" t="n">
        <f aca="false">'Color clustering'!H46</f>
        <v>158232</v>
      </c>
      <c r="I46" s="11" t="n">
        <f aca="false">'Color classification'!E46</f>
        <v>191</v>
      </c>
      <c r="J46" s="13" t="n">
        <f aca="false">'Color classification'!F46</f>
        <v>159809</v>
      </c>
      <c r="K46" s="2" t="n">
        <f aca="false">'Color classification'!G46</f>
        <v>1766</v>
      </c>
      <c r="L46" s="12" t="n">
        <f aca="false">'Color classification'!H46</f>
        <v>158234</v>
      </c>
    </row>
    <row r="47" customFormat="false" ht="15" hidden="false" customHeight="false" outlineLevel="0" collapsed="false">
      <c r="A47" s="7"/>
      <c r="B47" s="2" t="n">
        <v>43</v>
      </c>
      <c r="C47" s="11" t="n">
        <v>1756</v>
      </c>
      <c r="D47" s="12" t="n">
        <v>158244</v>
      </c>
      <c r="E47" s="42" t="n">
        <f aca="false">'Color clustering'!E47</f>
        <v>1725</v>
      </c>
      <c r="F47" s="13" t="n">
        <f aca="false">'Color clustering'!F47</f>
        <v>158275</v>
      </c>
      <c r="G47" s="42" t="n">
        <f aca="false">'Color clustering'!G47</f>
        <v>1754</v>
      </c>
      <c r="H47" s="2" t="n">
        <f aca="false">'Color clustering'!H47</f>
        <v>158246</v>
      </c>
      <c r="I47" s="11" t="n">
        <f aca="false">'Color classification'!E47</f>
        <v>23</v>
      </c>
      <c r="J47" s="13" t="n">
        <f aca="false">'Color classification'!F47</f>
        <v>159977</v>
      </c>
      <c r="K47" s="2" t="n">
        <f aca="false">'Color classification'!G47</f>
        <v>1752</v>
      </c>
      <c r="L47" s="12" t="n">
        <f aca="false">'Color classification'!H47</f>
        <v>158248</v>
      </c>
    </row>
    <row r="48" customFormat="false" ht="15" hidden="false" customHeight="false" outlineLevel="0" collapsed="false">
      <c r="A48" s="7"/>
      <c r="B48" s="2" t="n">
        <v>44</v>
      </c>
      <c r="C48" s="11" t="n">
        <v>1747</v>
      </c>
      <c r="D48" s="12" t="n">
        <v>158253</v>
      </c>
      <c r="E48" s="42" t="n">
        <f aca="false">'Color clustering'!E48</f>
        <v>1733</v>
      </c>
      <c r="F48" s="13" t="n">
        <f aca="false">'Color clustering'!F48</f>
        <v>158267</v>
      </c>
      <c r="G48" s="42" t="n">
        <f aca="false">'Color clustering'!G48</f>
        <v>1755</v>
      </c>
      <c r="H48" s="2" t="n">
        <f aca="false">'Color clustering'!H48</f>
        <v>158245</v>
      </c>
      <c r="I48" s="11" t="n">
        <f aca="false">'Color classification'!E48</f>
        <v>2</v>
      </c>
      <c r="J48" s="13" t="n">
        <f aca="false">'Color classification'!F48</f>
        <v>159998</v>
      </c>
      <c r="K48" s="2" t="n">
        <f aca="false">'Color classification'!G48</f>
        <v>1747</v>
      </c>
      <c r="L48" s="12" t="n">
        <f aca="false">'Color classification'!H48</f>
        <v>158253</v>
      </c>
    </row>
    <row r="49" customFormat="false" ht="15" hidden="false" customHeight="false" outlineLevel="0" collapsed="false">
      <c r="A49" s="7"/>
      <c r="B49" s="2" t="n">
        <v>45</v>
      </c>
      <c r="C49" s="11" t="n">
        <v>1752</v>
      </c>
      <c r="D49" s="12" t="n">
        <v>158248</v>
      </c>
      <c r="E49" s="42" t="n">
        <f aca="false">'Color clustering'!E49</f>
        <v>1725</v>
      </c>
      <c r="F49" s="13" t="n">
        <f aca="false">'Color clustering'!F49</f>
        <v>158275</v>
      </c>
      <c r="G49" s="42" t="n">
        <f aca="false">'Color clustering'!G49</f>
        <v>1753</v>
      </c>
      <c r="H49" s="2" t="n">
        <f aca="false">'Color clustering'!H49</f>
        <v>158247</v>
      </c>
      <c r="I49" s="11" t="n">
        <f aca="false">'Color classification'!E49</f>
        <v>125</v>
      </c>
      <c r="J49" s="13" t="n">
        <f aca="false">'Color classification'!F49</f>
        <v>159875</v>
      </c>
      <c r="K49" s="2" t="n">
        <f aca="false">'Color classification'!G49</f>
        <v>1748</v>
      </c>
      <c r="L49" s="12" t="n">
        <f aca="false">'Color classification'!H49</f>
        <v>158252</v>
      </c>
    </row>
    <row r="50" customFormat="false" ht="15" hidden="false" customHeight="false" outlineLevel="0" collapsed="false">
      <c r="A50" s="7"/>
      <c r="B50" s="2" t="n">
        <v>46</v>
      </c>
      <c r="C50" s="11" t="n">
        <v>1739</v>
      </c>
      <c r="D50" s="12" t="n">
        <v>158261</v>
      </c>
      <c r="E50" s="42" t="n">
        <f aca="false">'Color clustering'!E50</f>
        <v>1735</v>
      </c>
      <c r="F50" s="13" t="n">
        <f aca="false">'Color clustering'!F50</f>
        <v>158265</v>
      </c>
      <c r="G50" s="42" t="n">
        <f aca="false">'Color clustering'!G50</f>
        <v>1742</v>
      </c>
      <c r="H50" s="2" t="n">
        <f aca="false">'Color clustering'!H50</f>
        <v>158258</v>
      </c>
      <c r="I50" s="11" t="n">
        <f aca="false">'Color classification'!E50</f>
        <v>314</v>
      </c>
      <c r="J50" s="13" t="n">
        <f aca="false">'Color classification'!F50</f>
        <v>159686</v>
      </c>
      <c r="K50" s="2" t="n">
        <f aca="false">'Color classification'!G50</f>
        <v>1735</v>
      </c>
      <c r="L50" s="12" t="n">
        <f aca="false">'Color classification'!H50</f>
        <v>158265</v>
      </c>
    </row>
    <row r="51" customFormat="false" ht="15" hidden="false" customHeight="false" outlineLevel="0" collapsed="false">
      <c r="A51" s="7"/>
      <c r="B51" s="2" t="n">
        <v>47</v>
      </c>
      <c r="C51" s="11" t="n">
        <v>1730</v>
      </c>
      <c r="D51" s="12" t="n">
        <v>158270</v>
      </c>
      <c r="E51" s="42" t="n">
        <f aca="false">'Color clustering'!E51</f>
        <v>1719</v>
      </c>
      <c r="F51" s="13" t="n">
        <f aca="false">'Color clustering'!F51</f>
        <v>158281</v>
      </c>
      <c r="G51" s="42" t="n">
        <f aca="false">'Color clustering'!G51</f>
        <v>1739</v>
      </c>
      <c r="H51" s="2" t="n">
        <f aca="false">'Color clustering'!H51</f>
        <v>158261</v>
      </c>
      <c r="I51" s="11" t="n">
        <f aca="false">'Color classification'!E51</f>
        <v>62</v>
      </c>
      <c r="J51" s="13" t="n">
        <f aca="false">'Color classification'!F51</f>
        <v>159938</v>
      </c>
      <c r="K51" s="2" t="n">
        <f aca="false">'Color classification'!G51</f>
        <v>1732</v>
      </c>
      <c r="L51" s="12" t="n">
        <f aca="false">'Color classification'!H51</f>
        <v>158268</v>
      </c>
    </row>
    <row r="52" customFormat="false" ht="15" hidden="false" customHeight="false" outlineLevel="0" collapsed="false">
      <c r="A52" s="7"/>
      <c r="B52" s="2" t="n">
        <v>48</v>
      </c>
      <c r="C52" s="11" t="n">
        <v>1739</v>
      </c>
      <c r="D52" s="12" t="n">
        <v>158261</v>
      </c>
      <c r="E52" s="42" t="n">
        <f aca="false">'Color clustering'!E52</f>
        <v>1737</v>
      </c>
      <c r="F52" s="13" t="n">
        <f aca="false">'Color clustering'!F52</f>
        <v>158263</v>
      </c>
      <c r="G52" s="42" t="n">
        <f aca="false">'Color clustering'!G52</f>
        <v>1742</v>
      </c>
      <c r="H52" s="2" t="n">
        <f aca="false">'Color clustering'!H52</f>
        <v>158258</v>
      </c>
      <c r="I52" s="11" t="n">
        <f aca="false">'Color classification'!E52</f>
        <v>19</v>
      </c>
      <c r="J52" s="13" t="n">
        <f aca="false">'Color classification'!F52</f>
        <v>159981</v>
      </c>
      <c r="K52" s="2" t="n">
        <f aca="false">'Color classification'!G52</f>
        <v>1741</v>
      </c>
      <c r="L52" s="12" t="n">
        <f aca="false">'Color classification'!H52</f>
        <v>158259</v>
      </c>
    </row>
    <row r="53" customFormat="false" ht="15" hidden="false" customHeight="false" outlineLevel="0" collapsed="false">
      <c r="A53" s="7"/>
      <c r="B53" s="2" t="n">
        <v>49</v>
      </c>
      <c r="C53" s="11" t="n">
        <v>1752</v>
      </c>
      <c r="D53" s="12" t="n">
        <v>158248</v>
      </c>
      <c r="E53" s="42" t="n">
        <f aca="false">'Color clustering'!E53</f>
        <v>1708</v>
      </c>
      <c r="F53" s="13" t="n">
        <f aca="false">'Color clustering'!F53</f>
        <v>158292</v>
      </c>
      <c r="G53" s="42" t="n">
        <f aca="false">'Color clustering'!G53</f>
        <v>1753</v>
      </c>
      <c r="H53" s="2" t="n">
        <f aca="false">'Color clustering'!H53</f>
        <v>158247</v>
      </c>
      <c r="I53" s="11" t="n">
        <f aca="false">'Color classification'!E53</f>
        <v>0</v>
      </c>
      <c r="J53" s="13" t="n">
        <f aca="false">'Color classification'!F53</f>
        <v>160000</v>
      </c>
      <c r="K53" s="2" t="n">
        <f aca="false">'Color classification'!G53</f>
        <v>1749</v>
      </c>
      <c r="L53" s="12" t="n">
        <f aca="false">'Color classification'!H53</f>
        <v>158251</v>
      </c>
    </row>
    <row r="54" customFormat="false" ht="15" hidden="false" customHeight="false" outlineLevel="0" collapsed="false">
      <c r="A54" s="7"/>
      <c r="B54" s="2" t="n">
        <v>50</v>
      </c>
      <c r="C54" s="11" t="n">
        <v>1747</v>
      </c>
      <c r="D54" s="12" t="n">
        <v>158253</v>
      </c>
      <c r="E54" s="42" t="n">
        <f aca="false">'Color clustering'!E54</f>
        <v>1709</v>
      </c>
      <c r="F54" s="13" t="n">
        <f aca="false">'Color clustering'!F54</f>
        <v>158291</v>
      </c>
      <c r="G54" s="42" t="n">
        <f aca="false">'Color clustering'!G54</f>
        <v>1749</v>
      </c>
      <c r="H54" s="2" t="n">
        <f aca="false">'Color clustering'!H54</f>
        <v>158251</v>
      </c>
      <c r="I54" s="11" t="n">
        <f aca="false">'Color classification'!E54</f>
        <v>53</v>
      </c>
      <c r="J54" s="13" t="n">
        <f aca="false">'Color classification'!F54</f>
        <v>159947</v>
      </c>
      <c r="K54" s="2" t="n">
        <f aca="false">'Color classification'!G54</f>
        <v>1741</v>
      </c>
      <c r="L54" s="12" t="n">
        <f aca="false">'Color classification'!H54</f>
        <v>158259</v>
      </c>
    </row>
    <row r="55" customFormat="false" ht="15" hidden="false" customHeight="false" outlineLevel="0" collapsed="false">
      <c r="A55" s="7"/>
      <c r="B55" s="2" t="n">
        <v>51</v>
      </c>
      <c r="C55" s="11" t="n">
        <v>1756</v>
      </c>
      <c r="D55" s="12" t="n">
        <v>158244</v>
      </c>
      <c r="E55" s="42" t="n">
        <f aca="false">'Color clustering'!E55</f>
        <v>1749</v>
      </c>
      <c r="F55" s="13" t="n">
        <f aca="false">'Color clustering'!F55</f>
        <v>158251</v>
      </c>
      <c r="G55" s="42" t="n">
        <f aca="false">'Color clustering'!G55</f>
        <v>1755</v>
      </c>
      <c r="H55" s="2" t="n">
        <f aca="false">'Color clustering'!H55</f>
        <v>158245</v>
      </c>
      <c r="I55" s="11" t="n">
        <f aca="false">'Color classification'!E55</f>
        <v>0</v>
      </c>
      <c r="J55" s="13" t="n">
        <f aca="false">'Color classification'!F55</f>
        <v>160000</v>
      </c>
      <c r="K55" s="2" t="n">
        <f aca="false">'Color classification'!G55</f>
        <v>1755</v>
      </c>
      <c r="L55" s="12" t="n">
        <f aca="false">'Color classification'!H55</f>
        <v>158245</v>
      </c>
    </row>
    <row r="56" customFormat="false" ht="15" hidden="false" customHeight="false" outlineLevel="0" collapsed="false">
      <c r="A56" s="7"/>
      <c r="B56" s="2" t="n">
        <v>52</v>
      </c>
      <c r="C56" s="11" t="n">
        <v>1761</v>
      </c>
      <c r="D56" s="12" t="n">
        <v>158239</v>
      </c>
      <c r="E56" s="42" t="n">
        <f aca="false">'Color clustering'!E56</f>
        <v>1719</v>
      </c>
      <c r="F56" s="13" t="n">
        <f aca="false">'Color clustering'!F56</f>
        <v>158281</v>
      </c>
      <c r="G56" s="42" t="n">
        <f aca="false">'Color clustering'!G56</f>
        <v>1766</v>
      </c>
      <c r="H56" s="2" t="n">
        <f aca="false">'Color clustering'!H56</f>
        <v>158234</v>
      </c>
      <c r="I56" s="11" t="n">
        <f aca="false">'Color classification'!E56</f>
        <v>93</v>
      </c>
      <c r="J56" s="13" t="n">
        <f aca="false">'Color classification'!F56</f>
        <v>159907</v>
      </c>
      <c r="K56" s="2" t="n">
        <f aca="false">'Color classification'!G56</f>
        <v>1763</v>
      </c>
      <c r="L56" s="12" t="n">
        <f aca="false">'Color classification'!H56</f>
        <v>158237</v>
      </c>
    </row>
    <row r="57" customFormat="false" ht="15" hidden="false" customHeight="false" outlineLevel="0" collapsed="false">
      <c r="A57" s="7"/>
      <c r="B57" s="2" t="n">
        <v>53</v>
      </c>
      <c r="C57" s="11" t="n">
        <v>1774</v>
      </c>
      <c r="D57" s="12" t="n">
        <v>158226</v>
      </c>
      <c r="E57" s="42" t="n">
        <f aca="false">'Color clustering'!E57</f>
        <v>1738</v>
      </c>
      <c r="F57" s="13" t="n">
        <f aca="false">'Color clustering'!F57</f>
        <v>158262</v>
      </c>
      <c r="G57" s="42" t="n">
        <f aca="false">'Color clustering'!G57</f>
        <v>1780</v>
      </c>
      <c r="H57" s="2" t="n">
        <f aca="false">'Color clustering'!H57</f>
        <v>158220</v>
      </c>
      <c r="I57" s="11" t="n">
        <f aca="false">'Color classification'!E57</f>
        <v>19</v>
      </c>
      <c r="J57" s="13" t="n">
        <f aca="false">'Color classification'!F57</f>
        <v>159981</v>
      </c>
      <c r="K57" s="2" t="n">
        <f aca="false">'Color classification'!G57</f>
        <v>1779</v>
      </c>
      <c r="L57" s="12" t="n">
        <f aca="false">'Color classification'!H57</f>
        <v>158221</v>
      </c>
    </row>
    <row r="58" customFormat="false" ht="15" hidden="false" customHeight="false" outlineLevel="0" collapsed="false">
      <c r="A58" s="7"/>
      <c r="B58" s="2" t="n">
        <v>54</v>
      </c>
      <c r="C58" s="11" t="n">
        <v>1788</v>
      </c>
      <c r="D58" s="12" t="n">
        <v>158212</v>
      </c>
      <c r="E58" s="42" t="n">
        <f aca="false">'Color clustering'!E58</f>
        <v>1782</v>
      </c>
      <c r="F58" s="13" t="n">
        <f aca="false">'Color clustering'!F58</f>
        <v>158218</v>
      </c>
      <c r="G58" s="42" t="n">
        <f aca="false">'Color clustering'!G58</f>
        <v>1789</v>
      </c>
      <c r="H58" s="2" t="n">
        <f aca="false">'Color clustering'!H58</f>
        <v>158211</v>
      </c>
      <c r="I58" s="11" t="n">
        <f aca="false">'Color classification'!E58</f>
        <v>191</v>
      </c>
      <c r="J58" s="13" t="n">
        <f aca="false">'Color classification'!F58</f>
        <v>159809</v>
      </c>
      <c r="K58" s="2" t="n">
        <f aca="false">'Color classification'!G58</f>
        <v>1792</v>
      </c>
      <c r="L58" s="12" t="n">
        <f aca="false">'Color classification'!H58</f>
        <v>158208</v>
      </c>
    </row>
    <row r="59" customFormat="false" ht="15" hidden="false" customHeight="false" outlineLevel="0" collapsed="false">
      <c r="A59" s="7"/>
      <c r="B59" s="2" t="n">
        <v>55</v>
      </c>
      <c r="C59" s="11" t="n">
        <v>1807</v>
      </c>
      <c r="D59" s="12" t="n">
        <v>158193</v>
      </c>
      <c r="E59" s="42" t="n">
        <f aca="false">'Color clustering'!E59</f>
        <v>1792</v>
      </c>
      <c r="F59" s="13" t="n">
        <f aca="false">'Color clustering'!F59</f>
        <v>158208</v>
      </c>
      <c r="G59" s="42" t="n">
        <f aca="false">'Color clustering'!G59</f>
        <v>1811</v>
      </c>
      <c r="H59" s="2" t="n">
        <f aca="false">'Color clustering'!H59</f>
        <v>158189</v>
      </c>
      <c r="I59" s="11" t="n">
        <f aca="false">'Color classification'!E59</f>
        <v>11</v>
      </c>
      <c r="J59" s="13" t="n">
        <f aca="false">'Color classification'!F59</f>
        <v>159989</v>
      </c>
      <c r="K59" s="2" t="n">
        <f aca="false">'Color classification'!G59</f>
        <v>1803</v>
      </c>
      <c r="L59" s="12" t="n">
        <f aca="false">'Color classification'!H59</f>
        <v>158197</v>
      </c>
    </row>
    <row r="60" customFormat="false" ht="15" hidden="false" customHeight="false" outlineLevel="0" collapsed="false">
      <c r="A60" s="7"/>
      <c r="B60" s="2" t="n">
        <v>56</v>
      </c>
      <c r="C60" s="11" t="n">
        <v>1826</v>
      </c>
      <c r="D60" s="12" t="n">
        <v>158174</v>
      </c>
      <c r="E60" s="42" t="n">
        <f aca="false">'Color clustering'!E60</f>
        <v>1762</v>
      </c>
      <c r="F60" s="13" t="n">
        <f aca="false">'Color clustering'!F60</f>
        <v>158238</v>
      </c>
      <c r="G60" s="42" t="n">
        <f aca="false">'Color clustering'!G60</f>
        <v>1834</v>
      </c>
      <c r="H60" s="2" t="n">
        <f aca="false">'Color clustering'!H60</f>
        <v>158166</v>
      </c>
      <c r="I60" s="11" t="n">
        <f aca="false">'Color classification'!E60</f>
        <v>10</v>
      </c>
      <c r="J60" s="13" t="n">
        <f aca="false">'Color classification'!F60</f>
        <v>159990</v>
      </c>
      <c r="K60" s="2" t="n">
        <f aca="false">'Color classification'!G60</f>
        <v>1829</v>
      </c>
      <c r="L60" s="12" t="n">
        <f aca="false">'Color classification'!H60</f>
        <v>158171</v>
      </c>
    </row>
    <row r="61" customFormat="false" ht="15" hidden="false" customHeight="false" outlineLevel="0" collapsed="false">
      <c r="A61" s="7"/>
      <c r="B61" s="2" t="n">
        <v>57</v>
      </c>
      <c r="C61" s="11" t="n">
        <v>1844</v>
      </c>
      <c r="D61" s="12" t="n">
        <v>158156</v>
      </c>
      <c r="E61" s="42" t="n">
        <f aca="false">'Color clustering'!E61</f>
        <v>1824</v>
      </c>
      <c r="F61" s="13" t="n">
        <f aca="false">'Color clustering'!F61</f>
        <v>158176</v>
      </c>
      <c r="G61" s="42" t="n">
        <f aca="false">'Color clustering'!G61</f>
        <v>1848</v>
      </c>
      <c r="H61" s="2" t="n">
        <f aca="false">'Color clustering'!H61</f>
        <v>158152</v>
      </c>
      <c r="I61" s="11" t="n">
        <f aca="false">'Color classification'!E61</f>
        <v>0</v>
      </c>
      <c r="J61" s="13" t="n">
        <f aca="false">'Color classification'!F61</f>
        <v>160000</v>
      </c>
      <c r="K61" s="2" t="n">
        <f aca="false">'Color classification'!G61</f>
        <v>1844</v>
      </c>
      <c r="L61" s="12" t="n">
        <f aca="false">'Color classification'!H61</f>
        <v>158156</v>
      </c>
    </row>
    <row r="62" customFormat="false" ht="15" hidden="false" customHeight="false" outlineLevel="0" collapsed="false">
      <c r="A62" s="7"/>
      <c r="B62" s="2" t="n">
        <v>58</v>
      </c>
      <c r="C62" s="11" t="n">
        <v>1880</v>
      </c>
      <c r="D62" s="12" t="n">
        <v>158120</v>
      </c>
      <c r="E62" s="42" t="n">
        <f aca="false">'Color clustering'!E62</f>
        <v>1855</v>
      </c>
      <c r="F62" s="13" t="n">
        <f aca="false">'Color clustering'!F62</f>
        <v>158145</v>
      </c>
      <c r="G62" s="42" t="n">
        <f aca="false">'Color clustering'!G62</f>
        <v>1881</v>
      </c>
      <c r="H62" s="2" t="n">
        <f aca="false">'Color clustering'!H62</f>
        <v>158119</v>
      </c>
      <c r="I62" s="11" t="n">
        <f aca="false">'Color classification'!E62</f>
        <v>48</v>
      </c>
      <c r="J62" s="13" t="n">
        <f aca="false">'Color classification'!F62</f>
        <v>159952</v>
      </c>
      <c r="K62" s="2" t="n">
        <f aca="false">'Color classification'!G62</f>
        <v>1873</v>
      </c>
      <c r="L62" s="12" t="n">
        <f aca="false">'Color classification'!H62</f>
        <v>158127</v>
      </c>
    </row>
    <row r="63" customFormat="false" ht="15" hidden="false" customHeight="false" outlineLevel="0" collapsed="false">
      <c r="A63" s="7"/>
      <c r="B63" s="2" t="n">
        <v>59</v>
      </c>
      <c r="C63" s="11" t="n">
        <v>1905</v>
      </c>
      <c r="D63" s="12" t="n">
        <v>158095</v>
      </c>
      <c r="E63" s="42" t="n">
        <f aca="false">'Color clustering'!E63</f>
        <v>1836</v>
      </c>
      <c r="F63" s="13" t="n">
        <f aca="false">'Color clustering'!F63</f>
        <v>158164</v>
      </c>
      <c r="G63" s="42" t="n">
        <f aca="false">'Color clustering'!G63</f>
        <v>1913</v>
      </c>
      <c r="H63" s="2" t="n">
        <f aca="false">'Color clustering'!H63</f>
        <v>158087</v>
      </c>
      <c r="I63" s="11" t="n">
        <f aca="false">'Color classification'!E63</f>
        <v>14</v>
      </c>
      <c r="J63" s="13" t="n">
        <f aca="false">'Color classification'!F63</f>
        <v>159986</v>
      </c>
      <c r="K63" s="2" t="n">
        <f aca="false">'Color classification'!G63</f>
        <v>1906</v>
      </c>
      <c r="L63" s="12" t="n">
        <f aca="false">'Color classification'!H63</f>
        <v>158094</v>
      </c>
    </row>
    <row r="64" customFormat="false" ht="15" hidden="false" customHeight="false" outlineLevel="0" collapsed="false">
      <c r="A64" s="7"/>
      <c r="B64" s="2" t="n">
        <v>60</v>
      </c>
      <c r="C64" s="11" t="n">
        <v>1947</v>
      </c>
      <c r="D64" s="12" t="n">
        <v>158053</v>
      </c>
      <c r="E64" s="42" t="n">
        <f aca="false">'Color clustering'!E64</f>
        <v>1914</v>
      </c>
      <c r="F64" s="13" t="n">
        <f aca="false">'Color clustering'!F64</f>
        <v>158086</v>
      </c>
      <c r="G64" s="42" t="n">
        <f aca="false">'Color clustering'!G64</f>
        <v>1957</v>
      </c>
      <c r="H64" s="2" t="n">
        <f aca="false">'Color clustering'!H64</f>
        <v>158043</v>
      </c>
      <c r="I64" s="11" t="n">
        <f aca="false">'Color classification'!E64</f>
        <v>0</v>
      </c>
      <c r="J64" s="13" t="n">
        <f aca="false">'Color classification'!F64</f>
        <v>160000</v>
      </c>
      <c r="K64" s="2" t="n">
        <f aca="false">'Color classification'!G64</f>
        <v>1954</v>
      </c>
      <c r="L64" s="12" t="n">
        <f aca="false">'Color classification'!H64</f>
        <v>158046</v>
      </c>
    </row>
    <row r="65" customFormat="false" ht="15" hidden="false" customHeight="false" outlineLevel="0" collapsed="false">
      <c r="A65" s="7"/>
      <c r="B65" s="2" t="n">
        <v>61</v>
      </c>
      <c r="C65" s="11" t="n">
        <v>1985</v>
      </c>
      <c r="D65" s="12" t="n">
        <v>158015</v>
      </c>
      <c r="E65" s="42" t="n">
        <f aca="false">'Color clustering'!E65</f>
        <v>1930</v>
      </c>
      <c r="F65" s="13" t="n">
        <f aca="false">'Color clustering'!F65</f>
        <v>158070</v>
      </c>
      <c r="G65" s="42" t="n">
        <f aca="false">'Color clustering'!G65</f>
        <v>1987</v>
      </c>
      <c r="H65" s="2" t="n">
        <f aca="false">'Color clustering'!H65</f>
        <v>158013</v>
      </c>
      <c r="I65" s="11" t="n">
        <f aca="false">'Color classification'!E65</f>
        <v>66</v>
      </c>
      <c r="J65" s="13" t="n">
        <f aca="false">'Color classification'!F65</f>
        <v>159934</v>
      </c>
      <c r="K65" s="2" t="n">
        <f aca="false">'Color classification'!G65</f>
        <v>1985</v>
      </c>
      <c r="L65" s="12" t="n">
        <f aca="false">'Color classification'!H65</f>
        <v>158015</v>
      </c>
    </row>
    <row r="66" customFormat="false" ht="15" hidden="false" customHeight="false" outlineLevel="0" collapsed="false">
      <c r="A66" s="7"/>
      <c r="B66" s="2" t="n">
        <v>62</v>
      </c>
      <c r="C66" s="11" t="n">
        <v>2037</v>
      </c>
      <c r="D66" s="12" t="n">
        <v>157963</v>
      </c>
      <c r="E66" s="42" t="n">
        <f aca="false">'Color clustering'!E66</f>
        <v>2008</v>
      </c>
      <c r="F66" s="13" t="n">
        <f aca="false">'Color clustering'!F66</f>
        <v>157992</v>
      </c>
      <c r="G66" s="42" t="n">
        <f aca="false">'Color clustering'!G66</f>
        <v>2040</v>
      </c>
      <c r="H66" s="2" t="n">
        <f aca="false">'Color clustering'!H66</f>
        <v>157960</v>
      </c>
      <c r="I66" s="11" t="n">
        <f aca="false">'Color classification'!E66</f>
        <v>32</v>
      </c>
      <c r="J66" s="13" t="n">
        <f aca="false">'Color classification'!F66</f>
        <v>159968</v>
      </c>
      <c r="K66" s="2" t="n">
        <f aca="false">'Color classification'!G66</f>
        <v>2037</v>
      </c>
      <c r="L66" s="12" t="n">
        <f aca="false">'Color classification'!H66</f>
        <v>157963</v>
      </c>
    </row>
    <row r="67" customFormat="false" ht="15" hidden="false" customHeight="false" outlineLevel="0" collapsed="false">
      <c r="A67" s="7"/>
      <c r="B67" s="2" t="n">
        <v>63</v>
      </c>
      <c r="C67" s="11" t="n">
        <v>2103</v>
      </c>
      <c r="D67" s="12" t="n">
        <v>157897</v>
      </c>
      <c r="E67" s="42" t="n">
        <f aca="false">'Color clustering'!E67</f>
        <v>2064</v>
      </c>
      <c r="F67" s="13" t="n">
        <f aca="false">'Color clustering'!F67</f>
        <v>157936</v>
      </c>
      <c r="G67" s="42" t="n">
        <f aca="false">'Color clustering'!G67</f>
        <v>2114</v>
      </c>
      <c r="H67" s="2" t="n">
        <f aca="false">'Color clustering'!H67</f>
        <v>157886</v>
      </c>
      <c r="I67" s="11" t="n">
        <f aca="false">'Color classification'!E67</f>
        <v>521</v>
      </c>
      <c r="J67" s="13" t="n">
        <f aca="false">'Color classification'!F67</f>
        <v>159479</v>
      </c>
      <c r="K67" s="2" t="n">
        <f aca="false">'Color classification'!G67</f>
        <v>2098</v>
      </c>
      <c r="L67" s="12" t="n">
        <f aca="false">'Color classification'!H67</f>
        <v>157902</v>
      </c>
    </row>
    <row r="68" customFormat="false" ht="15" hidden="false" customHeight="false" outlineLevel="0" collapsed="false">
      <c r="A68" s="7"/>
      <c r="B68" s="2" t="n">
        <v>64</v>
      </c>
      <c r="C68" s="11" t="n">
        <v>2196</v>
      </c>
      <c r="D68" s="12" t="n">
        <v>157804</v>
      </c>
      <c r="E68" s="42" t="n">
        <f aca="false">'Color clustering'!E68</f>
        <v>2184</v>
      </c>
      <c r="F68" s="13" t="n">
        <f aca="false">'Color clustering'!F68</f>
        <v>157816</v>
      </c>
      <c r="G68" s="42" t="n">
        <f aca="false">'Color clustering'!G68</f>
        <v>2202</v>
      </c>
      <c r="H68" s="2" t="n">
        <f aca="false">'Color clustering'!H68</f>
        <v>157798</v>
      </c>
      <c r="I68" s="11" t="n">
        <f aca="false">'Color classification'!E68</f>
        <v>32</v>
      </c>
      <c r="J68" s="13" t="n">
        <f aca="false">'Color classification'!F68</f>
        <v>159968</v>
      </c>
      <c r="K68" s="2" t="n">
        <f aca="false">'Color classification'!G68</f>
        <v>2207</v>
      </c>
      <c r="L68" s="12" t="n">
        <f aca="false">'Color classification'!H68</f>
        <v>157793</v>
      </c>
    </row>
    <row r="69" customFormat="false" ht="15" hidden="false" customHeight="false" outlineLevel="0" collapsed="false">
      <c r="A69" s="7"/>
      <c r="B69" s="2" t="n">
        <v>65</v>
      </c>
      <c r="C69" s="11" t="n">
        <v>2359</v>
      </c>
      <c r="D69" s="12" t="n">
        <v>157641</v>
      </c>
      <c r="E69" s="42" t="n">
        <f aca="false">'Color clustering'!E69</f>
        <v>2335</v>
      </c>
      <c r="F69" s="13" t="n">
        <f aca="false">'Color clustering'!F69</f>
        <v>157665</v>
      </c>
      <c r="G69" s="42" t="n">
        <f aca="false">'Color clustering'!G69</f>
        <v>2367</v>
      </c>
      <c r="H69" s="2" t="n">
        <f aca="false">'Color clustering'!H69</f>
        <v>157633</v>
      </c>
      <c r="I69" s="11" t="n">
        <f aca="false">'Color classification'!E69</f>
        <v>43</v>
      </c>
      <c r="J69" s="13" t="n">
        <f aca="false">'Color classification'!F69</f>
        <v>159957</v>
      </c>
      <c r="K69" s="2" t="n">
        <f aca="false">'Color classification'!G69</f>
        <v>2366</v>
      </c>
      <c r="L69" s="12" t="n">
        <f aca="false">'Color classification'!H69</f>
        <v>157634</v>
      </c>
    </row>
    <row r="70" customFormat="false" ht="15" hidden="false" customHeight="false" outlineLevel="0" collapsed="false">
      <c r="A70" s="7"/>
      <c r="B70" s="2" t="n">
        <v>66</v>
      </c>
      <c r="C70" s="11" t="n">
        <v>2482</v>
      </c>
      <c r="D70" s="12" t="n">
        <v>157518</v>
      </c>
      <c r="E70" s="42" t="n">
        <f aca="false">'Color clustering'!E70</f>
        <v>2454</v>
      </c>
      <c r="F70" s="13" t="n">
        <f aca="false">'Color clustering'!F70</f>
        <v>157546</v>
      </c>
      <c r="G70" s="42" t="n">
        <f aca="false">'Color clustering'!G70</f>
        <v>2485</v>
      </c>
      <c r="H70" s="2" t="n">
        <f aca="false">'Color clustering'!H70</f>
        <v>157515</v>
      </c>
      <c r="I70" s="11" t="n">
        <f aca="false">'Color classification'!E70</f>
        <v>43</v>
      </c>
      <c r="J70" s="13" t="n">
        <f aca="false">'Color classification'!F70</f>
        <v>159957</v>
      </c>
      <c r="K70" s="2" t="n">
        <f aca="false">'Color classification'!G70</f>
        <v>2489</v>
      </c>
      <c r="L70" s="12" t="n">
        <f aca="false">'Color classification'!H70</f>
        <v>157511</v>
      </c>
    </row>
    <row r="71" customFormat="false" ht="15" hidden="false" customHeight="false" outlineLevel="0" collapsed="false">
      <c r="A71" s="7"/>
      <c r="B71" s="2" t="n">
        <v>67</v>
      </c>
      <c r="C71" s="11" t="n">
        <v>2539</v>
      </c>
      <c r="D71" s="12" t="n">
        <v>157461</v>
      </c>
      <c r="E71" s="42" t="n">
        <f aca="false">'Color clustering'!E71</f>
        <v>2496</v>
      </c>
      <c r="F71" s="13" t="n">
        <f aca="false">'Color clustering'!F71</f>
        <v>157504</v>
      </c>
      <c r="G71" s="42" t="n">
        <f aca="false">'Color clustering'!G71</f>
        <v>2546</v>
      </c>
      <c r="H71" s="2" t="n">
        <f aca="false">'Color clustering'!H71</f>
        <v>157454</v>
      </c>
      <c r="I71" s="11" t="n">
        <f aca="false">'Color classification'!E71</f>
        <v>31</v>
      </c>
      <c r="J71" s="13" t="n">
        <f aca="false">'Color classification'!F71</f>
        <v>159969</v>
      </c>
      <c r="K71" s="2" t="n">
        <f aca="false">'Color classification'!G71</f>
        <v>2543</v>
      </c>
      <c r="L71" s="12" t="n">
        <f aca="false">'Color classification'!H71</f>
        <v>157457</v>
      </c>
    </row>
    <row r="72" customFormat="false" ht="15" hidden="false" customHeight="false" outlineLevel="0" collapsed="false">
      <c r="A72" s="7"/>
      <c r="B72" s="2" t="n">
        <v>68</v>
      </c>
      <c r="C72" s="11" t="n">
        <v>2589</v>
      </c>
      <c r="D72" s="12" t="n">
        <v>157411</v>
      </c>
      <c r="E72" s="42" t="n">
        <f aca="false">'Color clustering'!E72</f>
        <v>2530</v>
      </c>
      <c r="F72" s="13" t="n">
        <f aca="false">'Color clustering'!F72</f>
        <v>157470</v>
      </c>
      <c r="G72" s="42" t="n">
        <f aca="false">'Color clustering'!G72</f>
        <v>2587</v>
      </c>
      <c r="H72" s="2" t="n">
        <f aca="false">'Color clustering'!H72</f>
        <v>157413</v>
      </c>
      <c r="I72" s="11" t="n">
        <f aca="false">'Color classification'!E72</f>
        <v>299</v>
      </c>
      <c r="J72" s="13" t="n">
        <f aca="false">'Color classification'!F72</f>
        <v>159701</v>
      </c>
      <c r="K72" s="2" t="n">
        <f aca="false">'Color classification'!G72</f>
        <v>2590</v>
      </c>
      <c r="L72" s="12" t="n">
        <f aca="false">'Color classification'!H72</f>
        <v>157410</v>
      </c>
    </row>
    <row r="73" customFormat="false" ht="15" hidden="false" customHeight="false" outlineLevel="0" collapsed="false">
      <c r="A73" s="7"/>
      <c r="B73" s="2" t="n">
        <v>69</v>
      </c>
      <c r="C73" s="11" t="n">
        <v>2611</v>
      </c>
      <c r="D73" s="12" t="n">
        <v>157389</v>
      </c>
      <c r="E73" s="42" t="n">
        <f aca="false">'Color clustering'!E73</f>
        <v>2596</v>
      </c>
      <c r="F73" s="13" t="n">
        <f aca="false">'Color clustering'!F73</f>
        <v>157404</v>
      </c>
      <c r="G73" s="42" t="n">
        <f aca="false">'Color clustering'!G73</f>
        <v>2621</v>
      </c>
      <c r="H73" s="2" t="n">
        <f aca="false">'Color clustering'!H73</f>
        <v>157379</v>
      </c>
      <c r="I73" s="11" t="n">
        <f aca="false">'Color classification'!E73</f>
        <v>15</v>
      </c>
      <c r="J73" s="13" t="n">
        <f aca="false">'Color classification'!F73</f>
        <v>159985</v>
      </c>
      <c r="K73" s="2" t="n">
        <f aca="false">'Color classification'!G73</f>
        <v>2611</v>
      </c>
      <c r="L73" s="12" t="n">
        <f aca="false">'Color classification'!H73</f>
        <v>157389</v>
      </c>
    </row>
    <row r="74" customFormat="false" ht="15" hidden="false" customHeight="false" outlineLevel="0" collapsed="false">
      <c r="A74" s="7"/>
      <c r="B74" s="2" t="n">
        <v>70</v>
      </c>
      <c r="C74" s="11" t="n">
        <v>2618</v>
      </c>
      <c r="D74" s="12" t="n">
        <v>157382</v>
      </c>
      <c r="E74" s="42" t="n">
        <f aca="false">'Color clustering'!E74</f>
        <v>2581</v>
      </c>
      <c r="F74" s="13" t="n">
        <f aca="false">'Color clustering'!F74</f>
        <v>157419</v>
      </c>
      <c r="G74" s="42" t="n">
        <f aca="false">'Color clustering'!G74</f>
        <v>2624</v>
      </c>
      <c r="H74" s="2" t="n">
        <f aca="false">'Color clustering'!H74</f>
        <v>157376</v>
      </c>
      <c r="I74" s="11" t="n">
        <f aca="false">'Color classification'!E74</f>
        <v>221</v>
      </c>
      <c r="J74" s="13" t="n">
        <f aca="false">'Color classification'!F74</f>
        <v>159779</v>
      </c>
      <c r="K74" s="2" t="n">
        <f aca="false">'Color classification'!G74</f>
        <v>2620</v>
      </c>
      <c r="L74" s="12" t="n">
        <f aca="false">'Color classification'!H74</f>
        <v>157380</v>
      </c>
    </row>
    <row r="75" customFormat="false" ht="15" hidden="false" customHeight="false" outlineLevel="0" collapsed="false">
      <c r="A75" s="7"/>
      <c r="B75" s="2" t="n">
        <v>71</v>
      </c>
      <c r="C75" s="11" t="n">
        <v>2609</v>
      </c>
      <c r="D75" s="12" t="n">
        <v>157391</v>
      </c>
      <c r="E75" s="42" t="n">
        <f aca="false">'Color clustering'!E75</f>
        <v>2516</v>
      </c>
      <c r="F75" s="13" t="n">
        <f aca="false">'Color clustering'!F75</f>
        <v>157484</v>
      </c>
      <c r="G75" s="42" t="n">
        <f aca="false">'Color clustering'!G75</f>
        <v>2608</v>
      </c>
      <c r="H75" s="2" t="n">
        <f aca="false">'Color clustering'!H75</f>
        <v>157392</v>
      </c>
      <c r="I75" s="11" t="n">
        <f aca="false">'Color classification'!E75</f>
        <v>33</v>
      </c>
      <c r="J75" s="13" t="n">
        <f aca="false">'Color classification'!F75</f>
        <v>159967</v>
      </c>
      <c r="K75" s="2" t="n">
        <f aca="false">'Color classification'!G75</f>
        <v>2606</v>
      </c>
      <c r="L75" s="12" t="n">
        <f aca="false">'Color classification'!H75</f>
        <v>157394</v>
      </c>
    </row>
    <row r="76" customFormat="false" ht="15" hidden="false" customHeight="false" outlineLevel="0" collapsed="false">
      <c r="A76" s="7"/>
      <c r="B76" s="2" t="n">
        <v>72</v>
      </c>
      <c r="C76" s="11" t="n">
        <v>2600</v>
      </c>
      <c r="D76" s="12" t="n">
        <v>157400</v>
      </c>
      <c r="E76" s="42" t="n">
        <f aca="false">'Color clustering'!E76</f>
        <v>2562</v>
      </c>
      <c r="F76" s="13" t="n">
        <f aca="false">'Color clustering'!F76</f>
        <v>157438</v>
      </c>
      <c r="G76" s="42" t="n">
        <f aca="false">'Color clustering'!G76</f>
        <v>2606</v>
      </c>
      <c r="H76" s="2" t="n">
        <f aca="false">'Color clustering'!H76</f>
        <v>157394</v>
      </c>
      <c r="I76" s="11" t="n">
        <f aca="false">'Color classification'!E76</f>
        <v>139</v>
      </c>
      <c r="J76" s="13" t="n">
        <f aca="false">'Color classification'!F76</f>
        <v>159861</v>
      </c>
      <c r="K76" s="2" t="n">
        <f aca="false">'Color classification'!G76</f>
        <v>2605</v>
      </c>
      <c r="L76" s="12" t="n">
        <f aca="false">'Color classification'!H76</f>
        <v>157395</v>
      </c>
    </row>
    <row r="77" customFormat="false" ht="15" hidden="false" customHeight="false" outlineLevel="0" collapsed="false">
      <c r="A77" s="7"/>
      <c r="B77" s="2" t="n">
        <v>73</v>
      </c>
      <c r="C77" s="11" t="n">
        <v>2564</v>
      </c>
      <c r="D77" s="12" t="n">
        <v>157436</v>
      </c>
      <c r="E77" s="42" t="n">
        <f aca="false">'Color clustering'!E77</f>
        <v>2563</v>
      </c>
      <c r="F77" s="13" t="n">
        <f aca="false">'Color clustering'!F77</f>
        <v>157437</v>
      </c>
      <c r="G77" s="42" t="n">
        <f aca="false">'Color clustering'!G77</f>
        <v>2569</v>
      </c>
      <c r="H77" s="2" t="n">
        <f aca="false">'Color clustering'!H77</f>
        <v>157431</v>
      </c>
      <c r="I77" s="11" t="n">
        <f aca="false">'Color classification'!E77</f>
        <v>4</v>
      </c>
      <c r="J77" s="13" t="n">
        <f aca="false">'Color classification'!F77</f>
        <v>159996</v>
      </c>
      <c r="K77" s="2" t="n">
        <f aca="false">'Color classification'!G77</f>
        <v>2563</v>
      </c>
      <c r="L77" s="12" t="n">
        <f aca="false">'Color classification'!H77</f>
        <v>157437</v>
      </c>
    </row>
    <row r="78" customFormat="false" ht="15" hidden="false" customHeight="false" outlineLevel="0" collapsed="false">
      <c r="A78" s="7"/>
      <c r="B78" s="2" t="n">
        <v>74</v>
      </c>
      <c r="C78" s="11" t="n">
        <v>2528</v>
      </c>
      <c r="D78" s="12" t="n">
        <v>157472</v>
      </c>
      <c r="E78" s="42" t="n">
        <f aca="false">'Color clustering'!E78</f>
        <v>2513</v>
      </c>
      <c r="F78" s="13" t="n">
        <f aca="false">'Color clustering'!F78</f>
        <v>157487</v>
      </c>
      <c r="G78" s="42" t="n">
        <f aca="false">'Color clustering'!G78</f>
        <v>2529</v>
      </c>
      <c r="H78" s="2" t="n">
        <f aca="false">'Color clustering'!H78</f>
        <v>157471</v>
      </c>
      <c r="I78" s="11" t="n">
        <f aca="false">'Color classification'!E78</f>
        <v>15</v>
      </c>
      <c r="J78" s="13" t="n">
        <f aca="false">'Color classification'!F78</f>
        <v>159985</v>
      </c>
      <c r="K78" s="2" t="n">
        <f aca="false">'Color classification'!G78</f>
        <v>2532</v>
      </c>
      <c r="L78" s="12" t="n">
        <f aca="false">'Color classification'!H78</f>
        <v>157468</v>
      </c>
    </row>
    <row r="79" customFormat="false" ht="15" hidden="false" customHeight="false" outlineLevel="0" collapsed="false">
      <c r="A79" s="7"/>
      <c r="B79" s="2" t="n">
        <v>75</v>
      </c>
      <c r="C79" s="11" t="n">
        <v>2488</v>
      </c>
      <c r="D79" s="12" t="n">
        <v>157512</v>
      </c>
      <c r="E79" s="42" t="n">
        <f aca="false">'Color clustering'!E79</f>
        <v>2441</v>
      </c>
      <c r="F79" s="13" t="n">
        <f aca="false">'Color clustering'!F79</f>
        <v>157559</v>
      </c>
      <c r="G79" s="42" t="n">
        <f aca="false">'Color clustering'!G79</f>
        <v>2482</v>
      </c>
      <c r="H79" s="2" t="n">
        <f aca="false">'Color clustering'!H79</f>
        <v>157518</v>
      </c>
      <c r="I79" s="11" t="n">
        <f aca="false">'Color classification'!E79</f>
        <v>56</v>
      </c>
      <c r="J79" s="13" t="n">
        <f aca="false">'Color classification'!F79</f>
        <v>159944</v>
      </c>
      <c r="K79" s="2" t="n">
        <f aca="false">'Color classification'!G79</f>
        <v>2488</v>
      </c>
      <c r="L79" s="12" t="n">
        <f aca="false">'Color classification'!H79</f>
        <v>157512</v>
      </c>
    </row>
    <row r="80" customFormat="false" ht="15" hidden="false" customHeight="false" outlineLevel="0" collapsed="false">
      <c r="A80" s="7"/>
      <c r="B80" s="2" t="n">
        <v>76</v>
      </c>
      <c r="C80" s="11" t="n">
        <v>2436</v>
      </c>
      <c r="D80" s="12" t="n">
        <v>157564</v>
      </c>
      <c r="E80" s="42" t="n">
        <f aca="false">'Color clustering'!E80</f>
        <v>2402</v>
      </c>
      <c r="F80" s="13" t="n">
        <f aca="false">'Color clustering'!F80</f>
        <v>157598</v>
      </c>
      <c r="G80" s="42" t="n">
        <f aca="false">'Color clustering'!G80</f>
        <v>2435</v>
      </c>
      <c r="H80" s="2" t="n">
        <f aca="false">'Color clustering'!H80</f>
        <v>157565</v>
      </c>
      <c r="I80" s="11" t="n">
        <f aca="false">'Color classification'!E80</f>
        <v>2</v>
      </c>
      <c r="J80" s="13" t="n">
        <f aca="false">'Color classification'!F80</f>
        <v>159998</v>
      </c>
      <c r="K80" s="2" t="n">
        <f aca="false">'Color classification'!G80</f>
        <v>2433</v>
      </c>
      <c r="L80" s="12" t="n">
        <f aca="false">'Color classification'!H80</f>
        <v>157567</v>
      </c>
    </row>
    <row r="81" customFormat="false" ht="15" hidden="false" customHeight="false" outlineLevel="0" collapsed="false">
      <c r="A81" s="7"/>
      <c r="B81" s="2" t="n">
        <v>77</v>
      </c>
      <c r="C81" s="11" t="n">
        <v>2369</v>
      </c>
      <c r="D81" s="12" t="n">
        <v>157631</v>
      </c>
      <c r="E81" s="42" t="n">
        <f aca="false">'Color clustering'!E81</f>
        <v>2370</v>
      </c>
      <c r="F81" s="13" t="n">
        <f aca="false">'Color clustering'!F81</f>
        <v>157630</v>
      </c>
      <c r="G81" s="42" t="n">
        <f aca="false">'Color clustering'!G81</f>
        <v>2377</v>
      </c>
      <c r="H81" s="2" t="n">
        <f aca="false">'Color clustering'!H81</f>
        <v>157623</v>
      </c>
      <c r="I81" s="11" t="n">
        <f aca="false">'Color classification'!E81</f>
        <v>7</v>
      </c>
      <c r="J81" s="13" t="n">
        <f aca="false">'Color classification'!F81</f>
        <v>159993</v>
      </c>
      <c r="K81" s="2" t="n">
        <f aca="false">'Color classification'!G81</f>
        <v>2373</v>
      </c>
      <c r="L81" s="12" t="n">
        <f aca="false">'Color classification'!H81</f>
        <v>157627</v>
      </c>
    </row>
    <row r="82" customFormat="false" ht="15" hidden="false" customHeight="false" outlineLevel="0" collapsed="false">
      <c r="A82" s="7"/>
      <c r="B82" s="2" t="n">
        <v>78</v>
      </c>
      <c r="C82" s="11" t="n">
        <v>2298</v>
      </c>
      <c r="D82" s="12" t="n">
        <v>157702</v>
      </c>
      <c r="E82" s="42" t="n">
        <f aca="false">'Color clustering'!E82</f>
        <v>2293</v>
      </c>
      <c r="F82" s="13" t="n">
        <f aca="false">'Color clustering'!F82</f>
        <v>157707</v>
      </c>
      <c r="G82" s="42" t="n">
        <f aca="false">'Color clustering'!G82</f>
        <v>2301</v>
      </c>
      <c r="H82" s="2" t="n">
        <f aca="false">'Color clustering'!H82</f>
        <v>157699</v>
      </c>
      <c r="I82" s="11" t="n">
        <f aca="false">'Color classification'!E82</f>
        <v>17</v>
      </c>
      <c r="J82" s="13" t="n">
        <f aca="false">'Color classification'!F82</f>
        <v>159983</v>
      </c>
      <c r="K82" s="2" t="n">
        <f aca="false">'Color classification'!G82</f>
        <v>2301</v>
      </c>
      <c r="L82" s="12" t="n">
        <f aca="false">'Color classification'!H82</f>
        <v>157699</v>
      </c>
    </row>
    <row r="83" customFormat="false" ht="15" hidden="false" customHeight="false" outlineLevel="0" collapsed="false">
      <c r="A83" s="7"/>
      <c r="B83" s="2" t="n">
        <v>79</v>
      </c>
      <c r="C83" s="11" t="n">
        <v>2221</v>
      </c>
      <c r="D83" s="12" t="n">
        <v>157779</v>
      </c>
      <c r="E83" s="42" t="n">
        <f aca="false">'Color clustering'!E83</f>
        <v>2196</v>
      </c>
      <c r="F83" s="13" t="n">
        <f aca="false">'Color clustering'!F83</f>
        <v>157804</v>
      </c>
      <c r="G83" s="42" t="n">
        <f aca="false">'Color clustering'!G83</f>
        <v>2226</v>
      </c>
      <c r="H83" s="2" t="n">
        <f aca="false">'Color clustering'!H83</f>
        <v>157774</v>
      </c>
      <c r="I83" s="11" t="n">
        <f aca="false">'Color classification'!E83</f>
        <v>188</v>
      </c>
      <c r="J83" s="13" t="n">
        <f aca="false">'Color classification'!F83</f>
        <v>159812</v>
      </c>
      <c r="K83" s="2" t="n">
        <f aca="false">'Color classification'!G83</f>
        <v>2219</v>
      </c>
      <c r="L83" s="12" t="n">
        <f aca="false">'Color classification'!H83</f>
        <v>157781</v>
      </c>
    </row>
    <row r="84" customFormat="false" ht="15" hidden="false" customHeight="false" outlineLevel="0" collapsed="false">
      <c r="A84" s="7"/>
      <c r="B84" s="2" t="n">
        <v>80</v>
      </c>
      <c r="C84" s="11" t="n">
        <v>2136</v>
      </c>
      <c r="D84" s="12" t="n">
        <v>157864</v>
      </c>
      <c r="E84" s="42" t="n">
        <f aca="false">'Color clustering'!E84</f>
        <v>2094</v>
      </c>
      <c r="F84" s="13" t="n">
        <f aca="false">'Color clustering'!F84</f>
        <v>157906</v>
      </c>
      <c r="G84" s="42" t="n">
        <f aca="false">'Color clustering'!G84</f>
        <v>2144</v>
      </c>
      <c r="H84" s="2" t="n">
        <f aca="false">'Color clustering'!H84</f>
        <v>157856</v>
      </c>
      <c r="I84" s="11" t="n">
        <f aca="false">'Color classification'!E84</f>
        <v>4</v>
      </c>
      <c r="J84" s="13" t="n">
        <f aca="false">'Color classification'!F84</f>
        <v>159996</v>
      </c>
      <c r="K84" s="2" t="n">
        <f aca="false">'Color classification'!G84</f>
        <v>2142</v>
      </c>
      <c r="L84" s="12" t="n">
        <f aca="false">'Color classification'!H84</f>
        <v>157858</v>
      </c>
    </row>
    <row r="85" customFormat="false" ht="15" hidden="false" customHeight="false" outlineLevel="0" collapsed="false">
      <c r="A85" s="7"/>
      <c r="B85" s="2" t="n">
        <v>81</v>
      </c>
      <c r="C85" s="11" t="n">
        <v>2042</v>
      </c>
      <c r="D85" s="12" t="n">
        <v>157958</v>
      </c>
      <c r="E85" s="42" t="n">
        <f aca="false">'Color clustering'!E85</f>
        <v>2017</v>
      </c>
      <c r="F85" s="13" t="n">
        <f aca="false">'Color clustering'!F85</f>
        <v>157983</v>
      </c>
      <c r="G85" s="42" t="n">
        <f aca="false">'Color clustering'!G85</f>
        <v>2045</v>
      </c>
      <c r="H85" s="2" t="n">
        <f aca="false">'Color clustering'!H85</f>
        <v>157955</v>
      </c>
      <c r="I85" s="11" t="n">
        <f aca="false">'Color classification'!E85</f>
        <v>159</v>
      </c>
      <c r="J85" s="13" t="n">
        <f aca="false">'Color classification'!F85</f>
        <v>159841</v>
      </c>
      <c r="K85" s="2" t="n">
        <f aca="false">'Color classification'!G85</f>
        <v>2042</v>
      </c>
      <c r="L85" s="12" t="n">
        <f aca="false">'Color classification'!H85</f>
        <v>157958</v>
      </c>
    </row>
    <row r="86" customFormat="false" ht="15" hidden="false" customHeight="false" outlineLevel="0" collapsed="false">
      <c r="A86" s="7"/>
      <c r="B86" s="2" t="n">
        <v>82</v>
      </c>
      <c r="C86" s="11" t="n">
        <v>1938</v>
      </c>
      <c r="D86" s="12" t="n">
        <v>158062</v>
      </c>
      <c r="E86" s="42" t="n">
        <f aca="false">'Color clustering'!E86</f>
        <v>1925</v>
      </c>
      <c r="F86" s="13" t="n">
        <f aca="false">'Color clustering'!F86</f>
        <v>158075</v>
      </c>
      <c r="G86" s="42" t="n">
        <f aca="false">'Color clustering'!G86</f>
        <v>1943</v>
      </c>
      <c r="H86" s="2" t="n">
        <f aca="false">'Color clustering'!H86</f>
        <v>158057</v>
      </c>
      <c r="I86" s="11" t="n">
        <f aca="false">'Color classification'!E86</f>
        <v>3</v>
      </c>
      <c r="J86" s="13" t="n">
        <f aca="false">'Color classification'!F86</f>
        <v>159997</v>
      </c>
      <c r="K86" s="2" t="n">
        <f aca="false">'Color classification'!G86</f>
        <v>1939</v>
      </c>
      <c r="L86" s="12" t="n">
        <f aca="false">'Color classification'!H86</f>
        <v>158061</v>
      </c>
    </row>
    <row r="87" customFormat="false" ht="15" hidden="false" customHeight="false" outlineLevel="0" collapsed="false">
      <c r="A87" s="7"/>
      <c r="B87" s="2" t="n">
        <v>83</v>
      </c>
      <c r="C87" s="11" t="n">
        <v>1833</v>
      </c>
      <c r="D87" s="12" t="n">
        <v>158167</v>
      </c>
      <c r="E87" s="42" t="n">
        <f aca="false">'Color clustering'!E87</f>
        <v>1828</v>
      </c>
      <c r="F87" s="13" t="n">
        <f aca="false">'Color clustering'!F87</f>
        <v>158172</v>
      </c>
      <c r="G87" s="42" t="n">
        <f aca="false">'Color clustering'!G87</f>
        <v>1836</v>
      </c>
      <c r="H87" s="2" t="n">
        <f aca="false">'Color clustering'!H87</f>
        <v>158164</v>
      </c>
      <c r="I87" s="11" t="n">
        <f aca="false">'Color classification'!E87</f>
        <v>0</v>
      </c>
      <c r="J87" s="13" t="n">
        <f aca="false">'Color classification'!F87</f>
        <v>160000</v>
      </c>
      <c r="K87" s="2" t="n">
        <f aca="false">'Color classification'!G87</f>
        <v>1835</v>
      </c>
      <c r="L87" s="12" t="n">
        <f aca="false">'Color classification'!H87</f>
        <v>158165</v>
      </c>
    </row>
    <row r="88" customFormat="false" ht="15" hidden="false" customHeight="false" outlineLevel="0" collapsed="false">
      <c r="A88" s="7"/>
      <c r="B88" s="2" t="n">
        <v>84</v>
      </c>
      <c r="C88" s="11" t="n">
        <v>1709</v>
      </c>
      <c r="D88" s="12" t="n">
        <v>158291</v>
      </c>
      <c r="E88" s="42" t="n">
        <f aca="false">'Color clustering'!E88</f>
        <v>1663</v>
      </c>
      <c r="F88" s="13" t="n">
        <f aca="false">'Color clustering'!F88</f>
        <v>158337</v>
      </c>
      <c r="G88" s="42" t="n">
        <f aca="false">'Color clustering'!G88</f>
        <v>1713</v>
      </c>
      <c r="H88" s="2" t="n">
        <f aca="false">'Color clustering'!H88</f>
        <v>158287</v>
      </c>
      <c r="I88" s="11" t="n">
        <f aca="false">'Color classification'!E88</f>
        <v>4</v>
      </c>
      <c r="J88" s="13" t="n">
        <f aca="false">'Color classification'!F88</f>
        <v>159996</v>
      </c>
      <c r="K88" s="2" t="n">
        <f aca="false">'Color classification'!G88</f>
        <v>1710</v>
      </c>
      <c r="L88" s="12" t="n">
        <f aca="false">'Color classification'!H88</f>
        <v>158290</v>
      </c>
    </row>
    <row r="89" customFormat="false" ht="15" hidden="false" customHeight="false" outlineLevel="0" collapsed="false">
      <c r="A89" s="7"/>
      <c r="B89" s="2" t="n">
        <v>85</v>
      </c>
      <c r="C89" s="11" t="n">
        <v>1587</v>
      </c>
      <c r="D89" s="12" t="n">
        <v>158413</v>
      </c>
      <c r="E89" s="42" t="n">
        <f aca="false">'Color clustering'!E89</f>
        <v>1560</v>
      </c>
      <c r="F89" s="13" t="n">
        <f aca="false">'Color clustering'!F89</f>
        <v>158440</v>
      </c>
      <c r="G89" s="42" t="n">
        <f aca="false">'Color clustering'!G89</f>
        <v>1584</v>
      </c>
      <c r="H89" s="2" t="n">
        <f aca="false">'Color clustering'!H89</f>
        <v>158416</v>
      </c>
      <c r="I89" s="11" t="n">
        <f aca="false">'Color classification'!E89</f>
        <v>3</v>
      </c>
      <c r="J89" s="13" t="n">
        <f aca="false">'Color classification'!F89</f>
        <v>159997</v>
      </c>
      <c r="K89" s="2" t="n">
        <f aca="false">'Color classification'!G89</f>
        <v>1584</v>
      </c>
      <c r="L89" s="12" t="n">
        <f aca="false">'Color classification'!H89</f>
        <v>158416</v>
      </c>
    </row>
    <row r="90" customFormat="false" ht="15" hidden="false" customHeight="false" outlineLevel="0" collapsed="false">
      <c r="A90" s="7"/>
      <c r="B90" s="2" t="n">
        <v>86</v>
      </c>
      <c r="C90" s="11" t="n">
        <v>1457</v>
      </c>
      <c r="D90" s="12" t="n">
        <v>158543</v>
      </c>
      <c r="E90" s="42" t="n">
        <f aca="false">'Color clustering'!E90</f>
        <v>1434</v>
      </c>
      <c r="F90" s="13" t="n">
        <f aca="false">'Color clustering'!F90</f>
        <v>158566</v>
      </c>
      <c r="G90" s="42" t="n">
        <f aca="false">'Color clustering'!G90</f>
        <v>1453</v>
      </c>
      <c r="H90" s="2" t="n">
        <f aca="false">'Color clustering'!H90</f>
        <v>158547</v>
      </c>
      <c r="I90" s="11" t="n">
        <f aca="false">'Color classification'!E90</f>
        <v>26</v>
      </c>
      <c r="J90" s="13" t="n">
        <f aca="false">'Color classification'!F90</f>
        <v>159974</v>
      </c>
      <c r="K90" s="2" t="n">
        <f aca="false">'Color classification'!G90</f>
        <v>1457</v>
      </c>
      <c r="L90" s="12" t="n">
        <f aca="false">'Color classification'!H90</f>
        <v>158543</v>
      </c>
    </row>
    <row r="91" customFormat="false" ht="15" hidden="false" customHeight="false" outlineLevel="0" collapsed="false">
      <c r="A91" s="7"/>
      <c r="B91" s="2" t="n">
        <v>87</v>
      </c>
      <c r="C91" s="11" t="n">
        <v>1320</v>
      </c>
      <c r="D91" s="12" t="n">
        <v>158680</v>
      </c>
      <c r="E91" s="42" t="n">
        <f aca="false">'Color clustering'!E91</f>
        <v>1304</v>
      </c>
      <c r="F91" s="13" t="n">
        <f aca="false">'Color clustering'!F91</f>
        <v>158696</v>
      </c>
      <c r="G91" s="42" t="n">
        <f aca="false">'Color clustering'!G91</f>
        <v>1318</v>
      </c>
      <c r="H91" s="2" t="n">
        <f aca="false">'Color clustering'!H91</f>
        <v>158682</v>
      </c>
      <c r="I91" s="11" t="n">
        <f aca="false">'Color classification'!E91</f>
        <v>0</v>
      </c>
      <c r="J91" s="13" t="n">
        <f aca="false">'Color classification'!F91</f>
        <v>160000</v>
      </c>
      <c r="K91" s="2" t="n">
        <f aca="false">'Color classification'!G91</f>
        <v>1311</v>
      </c>
      <c r="L91" s="12" t="n">
        <f aca="false">'Color classification'!H91</f>
        <v>158689</v>
      </c>
    </row>
    <row r="92" customFormat="false" ht="15" hidden="false" customHeight="false" outlineLevel="0" collapsed="false">
      <c r="A92" s="7"/>
      <c r="B92" s="2" t="n">
        <v>88</v>
      </c>
      <c r="C92" s="11" t="n">
        <v>1173</v>
      </c>
      <c r="D92" s="12" t="n">
        <v>158827</v>
      </c>
      <c r="E92" s="42" t="n">
        <f aca="false">'Color clustering'!E92</f>
        <v>1161</v>
      </c>
      <c r="F92" s="13" t="n">
        <f aca="false">'Color clustering'!F92</f>
        <v>158839</v>
      </c>
      <c r="G92" s="42" t="n">
        <f aca="false">'Color clustering'!G92</f>
        <v>1175</v>
      </c>
      <c r="H92" s="2" t="n">
        <f aca="false">'Color clustering'!H92</f>
        <v>158825</v>
      </c>
      <c r="I92" s="11" t="n">
        <f aca="false">'Color classification'!E92</f>
        <v>32</v>
      </c>
      <c r="J92" s="13" t="n">
        <f aca="false">'Color classification'!F92</f>
        <v>159968</v>
      </c>
      <c r="K92" s="2" t="n">
        <f aca="false">'Color classification'!G92</f>
        <v>1172</v>
      </c>
      <c r="L92" s="12" t="n">
        <f aca="false">'Color classification'!H92</f>
        <v>158828</v>
      </c>
    </row>
    <row r="93" customFormat="false" ht="15" hidden="false" customHeight="false" outlineLevel="0" collapsed="false">
      <c r="A93" s="7"/>
      <c r="B93" s="2" t="n">
        <v>89</v>
      </c>
      <c r="C93" s="11" t="n">
        <v>1024</v>
      </c>
      <c r="D93" s="12" t="n">
        <v>158976</v>
      </c>
      <c r="E93" s="42" t="n">
        <f aca="false">'Color clustering'!E93</f>
        <v>1025</v>
      </c>
      <c r="F93" s="13" t="n">
        <f aca="false">'Color clustering'!F93</f>
        <v>158975</v>
      </c>
      <c r="G93" s="42" t="n">
        <f aca="false">'Color clustering'!G93</f>
        <v>1017</v>
      </c>
      <c r="H93" s="2" t="n">
        <f aca="false">'Color clustering'!H93</f>
        <v>158983</v>
      </c>
      <c r="I93" s="11" t="n">
        <f aca="false">'Color classification'!E93</f>
        <v>0</v>
      </c>
      <c r="J93" s="13" t="n">
        <f aca="false">'Color classification'!F93</f>
        <v>160000</v>
      </c>
      <c r="K93" s="2" t="n">
        <f aca="false">'Color classification'!G93</f>
        <v>1024</v>
      </c>
      <c r="L93" s="12" t="n">
        <f aca="false">'Color classification'!H93</f>
        <v>158976</v>
      </c>
    </row>
    <row r="94" customFormat="false" ht="15" hidden="false" customHeight="false" outlineLevel="0" collapsed="false">
      <c r="A94" s="7"/>
      <c r="B94" s="2" t="n">
        <v>90</v>
      </c>
      <c r="C94" s="11" t="n">
        <v>868</v>
      </c>
      <c r="D94" s="12" t="n">
        <v>159132</v>
      </c>
      <c r="E94" s="42" t="n">
        <f aca="false">'Color clustering'!E94</f>
        <v>865</v>
      </c>
      <c r="F94" s="13" t="n">
        <f aca="false">'Color clustering'!F94</f>
        <v>159135</v>
      </c>
      <c r="G94" s="42" t="n">
        <f aca="false">'Color clustering'!G94</f>
        <v>871</v>
      </c>
      <c r="H94" s="2" t="n">
        <f aca="false">'Color clustering'!H94</f>
        <v>159129</v>
      </c>
      <c r="I94" s="11" t="n">
        <f aca="false">'Color classification'!E94</f>
        <v>112</v>
      </c>
      <c r="J94" s="13" t="n">
        <f aca="false">'Color classification'!F94</f>
        <v>159888</v>
      </c>
      <c r="K94" s="2" t="n">
        <f aca="false">'Color classification'!G94</f>
        <v>868</v>
      </c>
      <c r="L94" s="12" t="n">
        <f aca="false">'Color classification'!H94</f>
        <v>159132</v>
      </c>
    </row>
    <row r="95" customFormat="false" ht="15" hidden="false" customHeight="false" outlineLevel="0" collapsed="false">
      <c r="A95" s="7"/>
      <c r="B95" s="2" t="n">
        <v>91</v>
      </c>
      <c r="C95" s="11" t="n">
        <v>700</v>
      </c>
      <c r="D95" s="12" t="n">
        <v>159300</v>
      </c>
      <c r="E95" s="42" t="n">
        <f aca="false">'Color clustering'!E95</f>
        <v>691</v>
      </c>
      <c r="F95" s="13" t="n">
        <f aca="false">'Color clustering'!F95</f>
        <v>159309</v>
      </c>
      <c r="G95" s="42" t="n">
        <f aca="false">'Color clustering'!G95</f>
        <v>695</v>
      </c>
      <c r="H95" s="2" t="n">
        <f aca="false">'Color clustering'!H95</f>
        <v>159305</v>
      </c>
      <c r="I95" s="11" t="n">
        <f aca="false">'Color classification'!E95</f>
        <v>6</v>
      </c>
      <c r="J95" s="13" t="n">
        <f aca="false">'Color classification'!F95</f>
        <v>159994</v>
      </c>
      <c r="K95" s="2" t="n">
        <f aca="false">'Color classification'!G95</f>
        <v>698</v>
      </c>
      <c r="L95" s="12" t="n">
        <f aca="false">'Color classification'!H95</f>
        <v>159302</v>
      </c>
    </row>
    <row r="96" customFormat="false" ht="15" hidden="false" customHeight="false" outlineLevel="0" collapsed="false">
      <c r="A96" s="7"/>
      <c r="B96" s="2" t="n">
        <v>92</v>
      </c>
      <c r="C96" s="11" t="n">
        <v>526</v>
      </c>
      <c r="D96" s="12" t="n">
        <v>159474</v>
      </c>
      <c r="E96" s="42" t="n">
        <f aca="false">'Color clustering'!E96</f>
        <v>525</v>
      </c>
      <c r="F96" s="13" t="n">
        <f aca="false">'Color clustering'!F96</f>
        <v>159475</v>
      </c>
      <c r="G96" s="42" t="n">
        <f aca="false">'Color clustering'!G96</f>
        <v>528</v>
      </c>
      <c r="H96" s="2" t="n">
        <f aca="false">'Color clustering'!H96</f>
        <v>159472</v>
      </c>
      <c r="I96" s="11" t="n">
        <f aca="false">'Color classification'!E96</f>
        <v>118</v>
      </c>
      <c r="J96" s="13" t="n">
        <f aca="false">'Color classification'!F96</f>
        <v>159882</v>
      </c>
      <c r="K96" s="2" t="n">
        <f aca="false">'Color classification'!G96</f>
        <v>530</v>
      </c>
      <c r="L96" s="12" t="n">
        <f aca="false">'Color classification'!H96</f>
        <v>159470</v>
      </c>
    </row>
    <row r="97" customFormat="false" ht="15" hidden="false" customHeight="false" outlineLevel="0" collapsed="false">
      <c r="A97" s="7"/>
      <c r="B97" s="2" t="n">
        <v>93</v>
      </c>
      <c r="C97" s="11" t="n">
        <v>350</v>
      </c>
      <c r="D97" s="12" t="n">
        <v>159650</v>
      </c>
      <c r="E97" s="42" t="n">
        <f aca="false">'Color clustering'!E97</f>
        <v>338</v>
      </c>
      <c r="F97" s="13" t="n">
        <f aca="false">'Color clustering'!F97</f>
        <v>159662</v>
      </c>
      <c r="G97" s="42" t="n">
        <f aca="false">'Color clustering'!G97</f>
        <v>350</v>
      </c>
      <c r="H97" s="2" t="n">
        <f aca="false">'Color clustering'!H97</f>
        <v>159650</v>
      </c>
      <c r="I97" s="11" t="n">
        <f aca="false">'Color classification'!E97</f>
        <v>3</v>
      </c>
      <c r="J97" s="13" t="n">
        <f aca="false">'Color classification'!F97</f>
        <v>159997</v>
      </c>
      <c r="K97" s="2" t="n">
        <f aca="false">'Color classification'!G97</f>
        <v>347</v>
      </c>
      <c r="L97" s="12" t="n">
        <f aca="false">'Color classification'!H97</f>
        <v>159653</v>
      </c>
    </row>
    <row r="98" customFormat="false" ht="15" hidden="false" customHeight="false" outlineLevel="0" collapsed="false">
      <c r="A98" s="7"/>
      <c r="B98" s="2" t="n">
        <v>94</v>
      </c>
      <c r="C98" s="11" t="n">
        <v>163</v>
      </c>
      <c r="D98" s="12" t="n">
        <v>159837</v>
      </c>
      <c r="E98" s="42" t="n">
        <f aca="false">'Color clustering'!E98</f>
        <v>159</v>
      </c>
      <c r="F98" s="13" t="n">
        <f aca="false">'Color clustering'!F98</f>
        <v>159841</v>
      </c>
      <c r="G98" s="42" t="n">
        <f aca="false">'Color clustering'!G98</f>
        <v>164</v>
      </c>
      <c r="H98" s="2" t="n">
        <f aca="false">'Color clustering'!H98</f>
        <v>159836</v>
      </c>
      <c r="I98" s="11" t="n">
        <f aca="false">'Color classification'!E98</f>
        <v>0</v>
      </c>
      <c r="J98" s="13" t="n">
        <f aca="false">'Color classification'!F98</f>
        <v>160000</v>
      </c>
      <c r="K98" s="2" t="n">
        <f aca="false">'Color classification'!G98</f>
        <v>162</v>
      </c>
      <c r="L98" s="12" t="n">
        <f aca="false">'Color classification'!H98</f>
        <v>159838</v>
      </c>
    </row>
    <row r="99" customFormat="false" ht="15" hidden="false" customHeight="false" outlineLevel="0" collapsed="false">
      <c r="A99" s="7"/>
      <c r="B99" s="14" t="s">
        <v>8</v>
      </c>
      <c r="C99" s="15" t="n">
        <f aca="false">SUM(C4:C98)</f>
        <v>177698</v>
      </c>
      <c r="D99" s="16" t="n">
        <f aca="false">SUM(D4:D98)</f>
        <v>15022302</v>
      </c>
      <c r="E99" s="43" t="n">
        <f aca="false">SUM(E4:E98)</f>
        <v>175124</v>
      </c>
      <c r="F99" s="18" t="n">
        <f aca="false">SUM(F4:F98)</f>
        <v>15024876</v>
      </c>
      <c r="G99" s="43" t="n">
        <f aca="false">SUM(G4:G98)</f>
        <v>177947</v>
      </c>
      <c r="H99" s="17" t="n">
        <f aca="false">SUM(H4:H98)</f>
        <v>15022053</v>
      </c>
      <c r="I99" s="15" t="n">
        <f aca="false">SUM(I4:I98)</f>
        <v>6672</v>
      </c>
      <c r="J99" s="18" t="n">
        <f aca="false">SUM(J4:J98)</f>
        <v>15193328</v>
      </c>
      <c r="K99" s="17" t="n">
        <f aca="false">SUM(K4:K98)</f>
        <v>177689</v>
      </c>
      <c r="L99" s="16" t="n">
        <f aca="false">SUM(L4:L98)</f>
        <v>15022311</v>
      </c>
    </row>
    <row r="100" customFormat="false" ht="15" hidden="false" customHeight="false" outlineLevel="0" collapsed="false">
      <c r="D100" s="1"/>
      <c r="F100" s="1"/>
      <c r="H100" s="1"/>
      <c r="J100" s="1"/>
      <c r="L100" s="1"/>
    </row>
    <row r="101" customFormat="false" ht="15" hidden="false" customHeight="false" outlineLevel="0" collapsed="false">
      <c r="D101" s="1"/>
      <c r="F101" s="1"/>
      <c r="H101" s="1"/>
      <c r="J101" s="1"/>
      <c r="L101" s="1"/>
    </row>
    <row r="102" customFormat="false" ht="15" hidden="false" customHeight="false" outlineLevel="0" collapsed="false">
      <c r="D102" s="1"/>
      <c r="F102" s="1"/>
      <c r="H102" s="1"/>
      <c r="J102" s="1"/>
      <c r="L102" s="1"/>
    </row>
    <row r="103" customFormat="false" ht="15" hidden="false" customHeight="false" outlineLevel="0" collapsed="false">
      <c r="D103" s="1"/>
      <c r="F103" s="1"/>
      <c r="H103" s="1"/>
      <c r="J103" s="1"/>
      <c r="L103" s="1"/>
    </row>
    <row r="104" customFormat="false" ht="15" hidden="false" customHeight="false" outlineLevel="0" collapsed="false">
      <c r="A104" s="44"/>
      <c r="B104" s="45" t="s">
        <v>0</v>
      </c>
      <c r="C104" s="21" t="s">
        <v>18</v>
      </c>
      <c r="D104" s="21"/>
      <c r="E104" s="21"/>
      <c r="F104" s="21"/>
      <c r="G104" s="21"/>
      <c r="H104" s="21"/>
      <c r="I104" s="19" t="s">
        <v>19</v>
      </c>
      <c r="J104" s="19"/>
      <c r="K104" s="19"/>
      <c r="L104" s="19"/>
      <c r="M104" s="19"/>
      <c r="N104" s="19"/>
    </row>
    <row r="105" customFormat="false" ht="15" hidden="false" customHeight="false" outlineLevel="0" collapsed="false">
      <c r="A105" s="44"/>
      <c r="B105" s="45"/>
      <c r="C105" s="46" t="s">
        <v>3</v>
      </c>
      <c r="D105" s="46"/>
      <c r="E105" s="46"/>
      <c r="F105" s="47" t="s">
        <v>4</v>
      </c>
      <c r="G105" s="47"/>
      <c r="H105" s="47"/>
      <c r="I105" s="48" t="s">
        <v>3</v>
      </c>
      <c r="J105" s="48"/>
      <c r="K105" s="48"/>
      <c r="L105" s="19" t="s">
        <v>4</v>
      </c>
      <c r="M105" s="19"/>
      <c r="N105" s="19"/>
    </row>
    <row r="106" customFormat="false" ht="15" hidden="false" customHeight="false" outlineLevel="0" collapsed="false">
      <c r="A106" s="49" t="s">
        <v>20</v>
      </c>
      <c r="B106" s="45"/>
      <c r="C106" s="50" t="str">
        <f aca="false">E3</f>
        <v>#e65c4d</v>
      </c>
      <c r="D106" s="23" t="str">
        <f aca="false">F3</f>
        <v>#ffffff</v>
      </c>
      <c r="E106" s="24"/>
      <c r="F106" s="25" t="str">
        <f aca="false">G3</f>
        <v>#e65c4d</v>
      </c>
      <c r="G106" s="23" t="str">
        <f aca="false">H3</f>
        <v>#ffffff</v>
      </c>
      <c r="H106" s="24"/>
      <c r="I106" s="51" t="str">
        <f aca="false">I3</f>
        <v>#e65a49</v>
      </c>
      <c r="J106" s="52" t="str">
        <f aca="false">J3</f>
        <v>#ffffff</v>
      </c>
      <c r="K106" s="53"/>
      <c r="L106" s="54" t="str">
        <f aca="false">K3</f>
        <v>#e65a49</v>
      </c>
      <c r="M106" s="52" t="str">
        <f aca="false">L3</f>
        <v>#ffffff</v>
      </c>
      <c r="N106" s="53"/>
    </row>
    <row r="107" customFormat="false" ht="15" hidden="false" customHeight="false" outlineLevel="0" collapsed="false">
      <c r="A107" s="49"/>
      <c r="B107" s="55" t="n">
        <v>0</v>
      </c>
      <c r="C107" s="56" t="n">
        <f aca="false">(ABS(C4-E4)/C4)*100</f>
        <v>0</v>
      </c>
      <c r="D107" s="29" t="n">
        <f aca="false">(ABS(D4-F4)/D4)*100</f>
        <v>0</v>
      </c>
      <c r="E107" s="57"/>
      <c r="F107" s="56" t="n">
        <f aca="false">(ABS(C4-G4)/C4)*100</f>
        <v>0</v>
      </c>
      <c r="G107" s="29" t="n">
        <f aca="false">(ABS(D4-H4)/D4)*100</f>
        <v>0</v>
      </c>
      <c r="H107" s="57"/>
      <c r="I107" s="58" t="n">
        <f aca="false">(ABS(C4-I4)/C4)*100</f>
        <v>0</v>
      </c>
      <c r="J107" s="29" t="n">
        <f aca="false">(ABS(D4-J4)/D4)*100</f>
        <v>0</v>
      </c>
      <c r="K107" s="53"/>
      <c r="L107" s="58" t="n">
        <f aca="false">(ABS(C4-K4)/C4)*100</f>
        <v>0</v>
      </c>
      <c r="M107" s="29" t="n">
        <f aca="false">(ABS(D4-L4)/D4)*100</f>
        <v>0</v>
      </c>
      <c r="N107" s="53"/>
    </row>
    <row r="108" customFormat="false" ht="15" hidden="false" customHeight="false" outlineLevel="0" collapsed="false">
      <c r="A108" s="49"/>
      <c r="B108" s="55" t="n">
        <v>1</v>
      </c>
      <c r="C108" s="56" t="n">
        <f aca="false">(ABS(C5-E5)/C5)*100</f>
        <v>7.42857142857143</v>
      </c>
      <c r="D108" s="29" t="n">
        <f aca="false">(ABS(D5-F5)/D5)*100</f>
        <v>0.0162856248042593</v>
      </c>
      <c r="E108" s="57"/>
      <c r="F108" s="56" t="n">
        <f aca="false">(ABS(C5-G5)/C5)*100</f>
        <v>1.14285714285714</v>
      </c>
      <c r="G108" s="29" t="n">
        <f aca="false">(ABS(D5-H5)/D5)*100</f>
        <v>0.00250548073911682</v>
      </c>
      <c r="H108" s="57"/>
      <c r="I108" s="58" t="n">
        <f aca="false">(ABS(C5-I5)/C5)*100</f>
        <v>97.4285714285714</v>
      </c>
      <c r="J108" s="29" t="n">
        <f aca="false">(ABS(D5-J5)/D5)*100</f>
        <v>0.213592233009709</v>
      </c>
      <c r="K108" s="53"/>
      <c r="L108" s="58" t="n">
        <f aca="false">(ABS(C5-K5)/C5)*100</f>
        <v>1.14285714285714</v>
      </c>
      <c r="M108" s="29" t="n">
        <f aca="false">(ABS(D5-L5)/D5)*100</f>
        <v>0.00250548073911682</v>
      </c>
      <c r="N108" s="53"/>
    </row>
    <row r="109" customFormat="false" ht="15" hidden="false" customHeight="false" outlineLevel="0" collapsed="false">
      <c r="A109" s="49"/>
      <c r="B109" s="55" t="n">
        <v>2</v>
      </c>
      <c r="C109" s="56" t="n">
        <f aca="false">(ABS(C6-E6)/C6)*100</f>
        <v>0.190114068441065</v>
      </c>
      <c r="D109" s="29" t="n">
        <f aca="false">(ABS(D6-F6)/D6)*100</f>
        <v>0.000627061464564757</v>
      </c>
      <c r="E109" s="57"/>
      <c r="F109" s="56" t="n">
        <f aca="false">(ABS(C6-G6)/C6)*100</f>
        <v>1.90114068441065</v>
      </c>
      <c r="G109" s="29" t="n">
        <f aca="false">(ABS(D6-H6)/D6)*100</f>
        <v>0.00627061464564757</v>
      </c>
      <c r="H109" s="57"/>
      <c r="I109" s="58" t="n">
        <f aca="false">(ABS(C6-I6)/C6)*100</f>
        <v>99.8098859315589</v>
      </c>
      <c r="J109" s="29" t="n">
        <f aca="false">(ABS(D6-J6)/D6)*100</f>
        <v>0.329207268896497</v>
      </c>
      <c r="K109" s="53"/>
      <c r="L109" s="58" t="n">
        <f aca="false">(ABS(C6-K6)/C6)*100</f>
        <v>1.14068441064639</v>
      </c>
      <c r="M109" s="29" t="n">
        <f aca="false">(ABS(D6-L6)/D6)*100</f>
        <v>0.00376236878738854</v>
      </c>
      <c r="N109" s="53"/>
    </row>
    <row r="110" customFormat="false" ht="15" hidden="false" customHeight="false" outlineLevel="0" collapsed="false">
      <c r="A110" s="49"/>
      <c r="B110" s="55" t="n">
        <v>3</v>
      </c>
      <c r="C110" s="56" t="n">
        <f aca="false">(ABS(C7-E7)/C7)*100</f>
        <v>3.28571428571429</v>
      </c>
      <c r="D110" s="29" t="n">
        <f aca="false">(ABS(D7-F7)/D7)*100</f>
        <v>0.0144381669805399</v>
      </c>
      <c r="E110" s="57"/>
      <c r="F110" s="56" t="n">
        <f aca="false">(ABS(C7-G7)/C7)*100</f>
        <v>0.714285714285714</v>
      </c>
      <c r="G110" s="29" t="n">
        <f aca="false">(ABS(D7-H7)/D7)*100</f>
        <v>0.00313873195229127</v>
      </c>
      <c r="H110" s="57"/>
      <c r="I110" s="58" t="n">
        <f aca="false">(ABS(C7-I7)/C7)*100</f>
        <v>86.5714285714286</v>
      </c>
      <c r="J110" s="29" t="n">
        <f aca="false">(ABS(D7-J7)/D7)*100</f>
        <v>0.380414312617702</v>
      </c>
      <c r="K110" s="53"/>
      <c r="L110" s="58" t="n">
        <f aca="false">(ABS(C7-K7)/C7)*100</f>
        <v>1.14285714285714</v>
      </c>
      <c r="M110" s="29" t="n">
        <f aca="false">(ABS(D7-L7)/D7)*100</f>
        <v>0.00502197112366604</v>
      </c>
      <c r="N110" s="53"/>
    </row>
    <row r="111" customFormat="false" ht="15" hidden="false" customHeight="false" outlineLevel="0" collapsed="false">
      <c r="A111" s="49"/>
      <c r="B111" s="55" t="n">
        <v>4</v>
      </c>
      <c r="C111" s="56" t="n">
        <f aca="false">(ABS(C8-E8)/C8)*100</f>
        <v>4.14746543778802</v>
      </c>
      <c r="D111" s="29" t="n">
        <f aca="false">(ABS(D8-F8)/D8)*100</f>
        <v>0.0226227283010331</v>
      </c>
      <c r="E111" s="57"/>
      <c r="F111" s="56" t="n">
        <f aca="false">(ABS(C8-G8)/C8)*100</f>
        <v>0.115207373271889</v>
      </c>
      <c r="G111" s="29" t="n">
        <f aca="false">(ABS(D8-H8)/D8)*100</f>
        <v>0.000628409119473142</v>
      </c>
      <c r="H111" s="57"/>
      <c r="I111" s="58" t="n">
        <f aca="false">(ABS(C8-I8)/C8)*100</f>
        <v>100</v>
      </c>
      <c r="J111" s="29" t="n">
        <f aca="false">(ABS(D8-J8)/D8)*100</f>
        <v>0.545459115702687</v>
      </c>
      <c r="K111" s="53"/>
      <c r="L111" s="58" t="n">
        <f aca="false">(ABS(C8-K8)/C8)*100</f>
        <v>0</v>
      </c>
      <c r="M111" s="29" t="n">
        <f aca="false">(ABS(D8-L8)/D8)*100</f>
        <v>0</v>
      </c>
      <c r="N111" s="53"/>
    </row>
    <row r="112" customFormat="false" ht="15" hidden="false" customHeight="false" outlineLevel="0" collapsed="false">
      <c r="A112" s="49"/>
      <c r="B112" s="55" t="n">
        <v>5</v>
      </c>
      <c r="C112" s="56" t="n">
        <f aca="false">(ABS(C9-E9)/C9)*100</f>
        <v>3.41796875</v>
      </c>
      <c r="D112" s="29" t="n">
        <f aca="false">(ABS(D9-F9)/D9)*100</f>
        <v>0.0220159017713366</v>
      </c>
      <c r="E112" s="57"/>
      <c r="F112" s="56" t="n">
        <f aca="false">(ABS(C9-G9)/C9)*100</f>
        <v>0.390625</v>
      </c>
      <c r="G112" s="29" t="n">
        <f aca="false">(ABS(D9-H9)/D9)*100</f>
        <v>0.00251610305958132</v>
      </c>
      <c r="H112" s="57"/>
      <c r="I112" s="58" t="n">
        <f aca="false">(ABS(C9-I9)/C9)*100</f>
        <v>97.94921875</v>
      </c>
      <c r="J112" s="29" t="n">
        <f aca="false">(ABS(D9-J9)/D9)*100</f>
        <v>0.630912842190016</v>
      </c>
      <c r="K112" s="53"/>
      <c r="L112" s="58" t="n">
        <f aca="false">(ABS(C9-K9)/C9)*100</f>
        <v>0.29296875</v>
      </c>
      <c r="M112" s="29" t="n">
        <f aca="false">(ABS(D9-L9)/D9)*100</f>
        <v>0.00188707729468599</v>
      </c>
      <c r="N112" s="53"/>
    </row>
    <row r="113" customFormat="false" ht="15" hidden="false" customHeight="false" outlineLevel="0" collapsed="false">
      <c r="A113" s="49"/>
      <c r="B113" s="55" t="n">
        <v>6</v>
      </c>
      <c r="C113" s="56" t="n">
        <f aca="false">(ABS(C10-E10)/C10)*100</f>
        <v>1.61977834612106</v>
      </c>
      <c r="D113" s="29" t="n">
        <f aca="false">(ABS(D10-F10)/D10)*100</f>
        <v>0.0119627015557808</v>
      </c>
      <c r="E113" s="57"/>
      <c r="F113" s="56" t="n">
        <f aca="false">(ABS(C10-G10)/C10)*100</f>
        <v>0.596760443307758</v>
      </c>
      <c r="G113" s="29" t="n">
        <f aca="false">(ABS(D10-H10)/D10)*100</f>
        <v>0.0044073110994982</v>
      </c>
      <c r="H113" s="57"/>
      <c r="I113" s="58" t="n">
        <f aca="false">(ABS(C10-I10)/C10)*100</f>
        <v>83.7169650468883</v>
      </c>
      <c r="J113" s="29" t="n">
        <f aca="false">(ABS(D10-J10)/D10)*100</f>
        <v>0.618282785672461</v>
      </c>
      <c r="K113" s="53"/>
      <c r="L113" s="58" t="n">
        <f aca="false">(ABS(C10-K10)/C10)*100</f>
        <v>0</v>
      </c>
      <c r="M113" s="29" t="n">
        <f aca="false">(ABS(D10-L10)/D10)*100</f>
        <v>0</v>
      </c>
      <c r="N113" s="53"/>
    </row>
    <row r="114" customFormat="false" ht="15" hidden="false" customHeight="false" outlineLevel="0" collapsed="false">
      <c r="A114" s="49"/>
      <c r="B114" s="55" t="n">
        <v>7</v>
      </c>
      <c r="C114" s="56" t="n">
        <f aca="false">(ABS(C11-E11)/C11)*100</f>
        <v>0.984848484848485</v>
      </c>
      <c r="D114" s="29" t="n">
        <f aca="false">(ABS(D11-F11)/D11)*100</f>
        <v>0.00819258885807915</v>
      </c>
      <c r="E114" s="57"/>
      <c r="F114" s="56" t="n">
        <f aca="false">(ABS(C11-G11)/C11)*100</f>
        <v>0.151515151515152</v>
      </c>
      <c r="G114" s="29" t="n">
        <f aca="false">(ABS(D11-H11)/D11)*100</f>
        <v>0.00126039828585833</v>
      </c>
      <c r="H114" s="57"/>
      <c r="I114" s="58" t="n">
        <f aca="false">(ABS(C11-I11)/C11)*100</f>
        <v>100</v>
      </c>
      <c r="J114" s="29" t="n">
        <f aca="false">(ABS(D11-J11)/D11)*100</f>
        <v>0.831862868666499</v>
      </c>
      <c r="K114" s="53"/>
      <c r="L114" s="58" t="n">
        <f aca="false">(ABS(C11-K11)/C11)*100</f>
        <v>0</v>
      </c>
      <c r="M114" s="29" t="n">
        <f aca="false">(ABS(D11-L11)/D11)*100</f>
        <v>0</v>
      </c>
      <c r="N114" s="53"/>
    </row>
    <row r="115" customFormat="false" ht="15" hidden="false" customHeight="false" outlineLevel="0" collapsed="false">
      <c r="A115" s="49"/>
      <c r="B115" s="55" t="n">
        <v>8</v>
      </c>
      <c r="C115" s="56" t="n">
        <f aca="false">(ABS(C12-E12)/C12)*100</f>
        <v>1.64722031571723</v>
      </c>
      <c r="D115" s="29" t="n">
        <f aca="false">(ABS(D12-F12)/D12)*100</f>
        <v>0.0151378490378005</v>
      </c>
      <c r="E115" s="57"/>
      <c r="F115" s="56" t="n">
        <f aca="false">(ABS(C12-G12)/C12)*100</f>
        <v>0.205902539464653</v>
      </c>
      <c r="G115" s="29" t="n">
        <f aca="false">(ABS(D12-H12)/D12)*100</f>
        <v>0.00189223112972506</v>
      </c>
      <c r="H115" s="57"/>
      <c r="I115" s="58" t="n">
        <f aca="false">(ABS(C12-I12)/C12)*100</f>
        <v>97.8723404255319</v>
      </c>
      <c r="J115" s="29" t="n">
        <f aca="false">(ABS(D12-J12)/D12)*100</f>
        <v>0.899440530329311</v>
      </c>
      <c r="K115" s="53"/>
      <c r="L115" s="58" t="n">
        <f aca="false">(ABS(C12-K12)/C12)*100</f>
        <v>0.274536719286205</v>
      </c>
      <c r="M115" s="29" t="n">
        <f aca="false">(ABS(D12-L12)/D12)*100</f>
        <v>0.00252297483963341</v>
      </c>
      <c r="N115" s="53"/>
    </row>
    <row r="116" customFormat="false" ht="15" hidden="false" customHeight="false" outlineLevel="0" collapsed="false">
      <c r="A116" s="49"/>
      <c r="B116" s="55" t="n">
        <v>9</v>
      </c>
      <c r="C116" s="56" t="n">
        <f aca="false">(ABS(C13-E13)/C13)*100</f>
        <v>1.82734719596723</v>
      </c>
      <c r="D116" s="29" t="n">
        <f aca="false">(ABS(D13-F13)/D13)*100</f>
        <v>0.0183065783742496</v>
      </c>
      <c r="E116" s="57"/>
      <c r="F116" s="56" t="n">
        <f aca="false">(ABS(C13-G13)/C13)*100</f>
        <v>0.252047889098929</v>
      </c>
      <c r="G116" s="29" t="n">
        <f aca="false">(ABS(D13-H13)/D13)*100</f>
        <v>0.00252504529299994</v>
      </c>
      <c r="H116" s="57"/>
      <c r="I116" s="58" t="n">
        <f aca="false">(ABS(C13-I13)/C13)*100</f>
        <v>100</v>
      </c>
      <c r="J116" s="29" t="n">
        <f aca="false">(ABS(D13-J13)/D13)*100</f>
        <v>1.00181171999773</v>
      </c>
      <c r="K116" s="53"/>
      <c r="L116" s="58" t="n">
        <f aca="false">(ABS(C13-K13)/C13)*100</f>
        <v>0.252047889098929</v>
      </c>
      <c r="M116" s="29" t="n">
        <f aca="false">(ABS(D13-L13)/D13)*100</f>
        <v>0.00252504529299994</v>
      </c>
      <c r="N116" s="53"/>
    </row>
    <row r="117" customFormat="false" ht="15" hidden="false" customHeight="false" outlineLevel="0" collapsed="false">
      <c r="A117" s="49"/>
      <c r="B117" s="55" t="n">
        <v>10</v>
      </c>
      <c r="C117" s="56" t="n">
        <f aca="false">(ABS(C14-E14)/C14)*100</f>
        <v>3.45231129315389</v>
      </c>
      <c r="D117" s="29" t="n">
        <f aca="false">(ABS(D14-F14)/D14)*100</f>
        <v>0.0372731235509284</v>
      </c>
      <c r="E117" s="57"/>
      <c r="F117" s="56" t="n">
        <f aca="false">(ABS(C14-G14)/C14)*100</f>
        <v>0</v>
      </c>
      <c r="G117" s="29" t="n">
        <f aca="false">(ABS(D14-H14)/D14)*100</f>
        <v>0</v>
      </c>
      <c r="H117" s="57"/>
      <c r="I117" s="58" t="n">
        <f aca="false">(ABS(C14-I14)/C14)*100</f>
        <v>87.3610298420129</v>
      </c>
      <c r="J117" s="29" t="n">
        <f aca="false">(ABS(D14-J14)/D14)*100</f>
        <v>0.943199550195526</v>
      </c>
      <c r="K117" s="53"/>
      <c r="L117" s="58" t="n">
        <f aca="false">(ABS(C14-K14)/C14)*100</f>
        <v>0.877706260971328</v>
      </c>
      <c r="M117" s="29" t="n">
        <f aca="false">(ABS(D14-L14)/D14)*100</f>
        <v>0.00947621785193094</v>
      </c>
      <c r="N117" s="53"/>
    </row>
    <row r="118" customFormat="false" ht="15" hidden="false" customHeight="false" outlineLevel="0" collapsed="false">
      <c r="A118" s="49"/>
      <c r="B118" s="55" t="n">
        <v>11</v>
      </c>
      <c r="C118" s="56" t="n">
        <f aca="false">(ABS(C15-E15)/C15)*100</f>
        <v>1.58210583742499</v>
      </c>
      <c r="D118" s="29" t="n">
        <f aca="false">(ABS(D15-F15)/D15)*100</f>
        <v>0.0183350509271846</v>
      </c>
      <c r="E118" s="57"/>
      <c r="F118" s="56" t="n">
        <f aca="false">(ABS(C15-G15)/C15)*100</f>
        <v>0.10911074740862</v>
      </c>
      <c r="G118" s="29" t="n">
        <f aca="false">(ABS(D15-H15)/D15)*100</f>
        <v>0.00126448627084031</v>
      </c>
      <c r="H118" s="57"/>
      <c r="I118" s="58" t="n">
        <f aca="false">(ABS(C15-I15)/C15)*100</f>
        <v>87.2885979268958</v>
      </c>
      <c r="J118" s="29" t="n">
        <f aca="false">(ABS(D15-J15)/D15)*100</f>
        <v>1.01158901667225</v>
      </c>
      <c r="K118" s="53"/>
      <c r="L118" s="58" t="n">
        <f aca="false">(ABS(C15-K15)/C15)*100</f>
        <v>0.0545553737043099</v>
      </c>
      <c r="M118" s="29" t="n">
        <f aca="false">(ABS(D15-L15)/D15)*100</f>
        <v>0.000632243135420157</v>
      </c>
      <c r="N118" s="53"/>
    </row>
    <row r="119" customFormat="false" ht="15" hidden="false" customHeight="false" outlineLevel="0" collapsed="false">
      <c r="A119" s="49"/>
      <c r="B119" s="55" t="n">
        <v>12</v>
      </c>
      <c r="C119" s="56" t="n">
        <f aca="false">(ABS(C16-E16)/C16)*100</f>
        <v>1.44478844169247</v>
      </c>
      <c r="D119" s="29" t="n">
        <f aca="false">(ABS(D16-F16)/D16)*100</f>
        <v>0.0177145677012818</v>
      </c>
      <c r="E119" s="57"/>
      <c r="F119" s="56" t="n">
        <f aca="false">(ABS(C16-G16)/C16)*100</f>
        <v>0.309597523219814</v>
      </c>
      <c r="G119" s="29" t="n">
        <f aca="false">(ABS(D16-H16)/D16)*100</f>
        <v>0.00379597879313181</v>
      </c>
      <c r="H119" s="57"/>
      <c r="I119" s="58" t="n">
        <f aca="false">(ABS(C16-I16)/C16)*100</f>
        <v>99.484004127967</v>
      </c>
      <c r="J119" s="29" t="n">
        <f aca="false">(ABS(D16-J16)/D16)*100</f>
        <v>1.21977451885969</v>
      </c>
      <c r="K119" s="53"/>
      <c r="L119" s="58" t="n">
        <f aca="false">(ABS(C16-K16)/C16)*100</f>
        <v>0.103199174406605</v>
      </c>
      <c r="M119" s="29" t="n">
        <f aca="false">(ABS(D16-L16)/D16)*100</f>
        <v>0.00126532626437727</v>
      </c>
      <c r="N119" s="53"/>
    </row>
    <row r="120" customFormat="false" ht="15" hidden="false" customHeight="false" outlineLevel="0" collapsed="false">
      <c r="A120" s="49"/>
      <c r="B120" s="55" t="n">
        <v>13</v>
      </c>
      <c r="C120" s="56" t="n">
        <f aca="false">(ABS(C17-E17)/C17)*100</f>
        <v>1.76297747306562</v>
      </c>
      <c r="D120" s="29" t="n">
        <f aca="false">(ABS(D17-F17)/D17)*100</f>
        <v>0.0227908684587042</v>
      </c>
      <c r="E120" s="57"/>
      <c r="F120" s="56" t="n">
        <f aca="false">(ABS(C17-G17)/C17)*100</f>
        <v>0.19588638589618</v>
      </c>
      <c r="G120" s="29" t="n">
        <f aca="false">(ABS(D17-H17)/D17)*100</f>
        <v>0.0025323187176338</v>
      </c>
      <c r="H120" s="57"/>
      <c r="I120" s="58" t="n">
        <f aca="false">(ABS(C17-I17)/C17)*100</f>
        <v>95.9353574926543</v>
      </c>
      <c r="J120" s="29" t="n">
        <f aca="false">(ABS(D17-J17)/D17)*100</f>
        <v>1.24020309196115</v>
      </c>
      <c r="K120" s="53"/>
      <c r="L120" s="58" t="n">
        <f aca="false">(ABS(C17-K17)/C17)*100</f>
        <v>0.0979431929480901</v>
      </c>
      <c r="M120" s="29" t="n">
        <f aca="false">(ABS(D17-L17)/D17)*100</f>
        <v>0.0012661593588169</v>
      </c>
      <c r="N120" s="53"/>
    </row>
    <row r="121" customFormat="false" ht="15" hidden="false" customHeight="false" outlineLevel="0" collapsed="false">
      <c r="A121" s="49"/>
      <c r="B121" s="55" t="n">
        <v>14</v>
      </c>
      <c r="C121" s="56" t="n">
        <f aca="false">(ABS(C18-E18)/C18)*100</f>
        <v>1.12359550561798</v>
      </c>
      <c r="D121" s="29" t="n">
        <f aca="false">(ABS(D18-F18)/D18)*100</f>
        <v>0.0152029595094512</v>
      </c>
      <c r="E121" s="57"/>
      <c r="F121" s="56" t="n">
        <f aca="false">(ABS(C18-G18)/C18)*100</f>
        <v>0.140449438202247</v>
      </c>
      <c r="G121" s="29" t="n">
        <f aca="false">(ABS(D18-H18)/D18)*100</f>
        <v>0.0019003699386814</v>
      </c>
      <c r="H121" s="57"/>
      <c r="I121" s="58" t="n">
        <f aca="false">(ABS(C18-I18)/C18)*100</f>
        <v>99.2041198501873</v>
      </c>
      <c r="J121" s="29" t="n">
        <f aca="false">(ABS(D18-J18)/D18)*100</f>
        <v>1.34229463335529</v>
      </c>
      <c r="K121" s="53"/>
      <c r="L121" s="58" t="n">
        <f aca="false">(ABS(C18-K18)/C18)*100</f>
        <v>0</v>
      </c>
      <c r="M121" s="29" t="n">
        <f aca="false">(ABS(D18-L18)/D18)*100</f>
        <v>0</v>
      </c>
      <c r="N121" s="53"/>
    </row>
    <row r="122" customFormat="false" ht="15" hidden="false" customHeight="false" outlineLevel="0" collapsed="false">
      <c r="A122" s="49"/>
      <c r="B122" s="55" t="n">
        <v>15</v>
      </c>
      <c r="C122" s="56" t="n">
        <f aca="false">(ABS(C19-E19)/C19)*100</f>
        <v>1.26069338135975</v>
      </c>
      <c r="D122" s="29" t="n">
        <f aca="false">(ABS(D19-F19)/D19)*100</f>
        <v>0.0177463414015807</v>
      </c>
      <c r="E122" s="57"/>
      <c r="F122" s="56" t="n">
        <f aca="false">(ABS(C19-G19)/C19)*100</f>
        <v>0.360198108959928</v>
      </c>
      <c r="G122" s="29" t="n">
        <f aca="false">(ABS(D19-H19)/D19)*100</f>
        <v>0.00507038325759448</v>
      </c>
      <c r="H122" s="57"/>
      <c r="I122" s="58" t="n">
        <f aca="false">(ABS(C19-I19)/C19)*100</f>
        <v>94.957226474561</v>
      </c>
      <c r="J122" s="29" t="n">
        <f aca="false">(ABS(D19-J19)/D19)*100</f>
        <v>1.33667978628335</v>
      </c>
      <c r="K122" s="53"/>
      <c r="L122" s="58" t="n">
        <f aca="false">(ABS(C19-K19)/C19)*100</f>
        <v>0.270148581719946</v>
      </c>
      <c r="M122" s="29" t="n">
        <f aca="false">(ABS(D19-L19)/D19)*100</f>
        <v>0.00380278744319586</v>
      </c>
      <c r="N122" s="53"/>
    </row>
    <row r="123" customFormat="false" ht="15" hidden="false" customHeight="false" outlineLevel="0" collapsed="false">
      <c r="A123" s="49"/>
      <c r="B123" s="55" t="n">
        <v>16</v>
      </c>
      <c r="C123" s="56" t="n">
        <f aca="false">(ABS(C20-E20)/C20)*100</f>
        <v>1.95822454308094</v>
      </c>
      <c r="D123" s="29" t="n">
        <f aca="false">(ABS(D20-F20)/D20)*100</f>
        <v>0.0285348315176726</v>
      </c>
      <c r="E123" s="57"/>
      <c r="F123" s="56" t="n">
        <f aca="false">(ABS(C20-G20)/C20)*100</f>
        <v>0.174064403829417</v>
      </c>
      <c r="G123" s="29" t="n">
        <f aca="false">(ABS(D20-H20)/D20)*100</f>
        <v>0.00253642946823756</v>
      </c>
      <c r="H123" s="57"/>
      <c r="I123" s="58" t="n">
        <f aca="false">(ABS(C20-I20)/C20)*100</f>
        <v>98.651000870322</v>
      </c>
      <c r="J123" s="29" t="n">
        <f aca="false">(ABS(D20-J20)/D20)*100</f>
        <v>1.43752140112364</v>
      </c>
      <c r="K123" s="53"/>
      <c r="L123" s="58" t="n">
        <f aca="false">(ABS(C20-K20)/C20)*100</f>
        <v>0.174064403829417</v>
      </c>
      <c r="M123" s="29" t="n">
        <f aca="false">(ABS(D20-L20)/D20)*100</f>
        <v>0.00253642946823756</v>
      </c>
      <c r="N123" s="53"/>
    </row>
    <row r="124" customFormat="false" ht="15" hidden="false" customHeight="false" outlineLevel="0" collapsed="false">
      <c r="A124" s="49"/>
      <c r="B124" s="55" t="n">
        <v>17</v>
      </c>
      <c r="C124" s="56" t="n">
        <f aca="false">(ABS(C21-E21)/C21)*100</f>
        <v>0.126635711270578</v>
      </c>
      <c r="D124" s="29" t="n">
        <f aca="false">(ABS(D21-F21)/D21)*100</f>
        <v>0.00190317894322817</v>
      </c>
      <c r="E124" s="57"/>
      <c r="F124" s="56" t="n">
        <f aca="false">(ABS(C21-G21)/C21)*100</f>
        <v>0.126635711270578</v>
      </c>
      <c r="G124" s="29" t="n">
        <f aca="false">(ABS(D21-H21)/D21)*100</f>
        <v>0.00190317894322817</v>
      </c>
      <c r="H124" s="57"/>
      <c r="I124" s="58" t="n">
        <f aca="false">(ABS(C21-I21)/C21)*100</f>
        <v>100</v>
      </c>
      <c r="J124" s="29" t="n">
        <f aca="false">(ABS(D21-J21)/D21)*100</f>
        <v>1.50287697216918</v>
      </c>
      <c r="K124" s="53"/>
      <c r="L124" s="58" t="n">
        <f aca="false">(ABS(C21-K21)/C21)*100</f>
        <v>0.0844238075137189</v>
      </c>
      <c r="M124" s="29" t="n">
        <f aca="false">(ABS(D21-L21)/D21)*100</f>
        <v>0.00126878596215211</v>
      </c>
      <c r="N124" s="53"/>
    </row>
    <row r="125" customFormat="false" ht="15" hidden="false" customHeight="false" outlineLevel="0" collapsed="false">
      <c r="A125" s="49"/>
      <c r="B125" s="55" t="n">
        <v>18</v>
      </c>
      <c r="C125" s="56" t="n">
        <f aca="false">(ABS(C22-E22)/C22)*100</f>
        <v>1.10837438423645</v>
      </c>
      <c r="D125" s="29" t="n">
        <f aca="false">(ABS(D22-F22)/D22)*100</f>
        <v>0.0171358939859359</v>
      </c>
      <c r="E125" s="57"/>
      <c r="F125" s="56" t="n">
        <f aca="false">(ABS(C22-G22)/C22)*100</f>
        <v>0.0410509031198686</v>
      </c>
      <c r="G125" s="29" t="n">
        <f aca="false">(ABS(D22-H22)/D22)*100</f>
        <v>0.000634662740219847</v>
      </c>
      <c r="H125" s="57"/>
      <c r="I125" s="58" t="n">
        <f aca="false">(ABS(C22-I22)/C22)*100</f>
        <v>83.6617405582923</v>
      </c>
      <c r="J125" s="29" t="n">
        <f aca="false">(ABS(D22-J22)/D22)*100</f>
        <v>1.29344266456805</v>
      </c>
      <c r="K125" s="53"/>
      <c r="L125" s="58" t="n">
        <f aca="false">(ABS(C22-K22)/C22)*100</f>
        <v>0.164203612479475</v>
      </c>
      <c r="M125" s="29" t="n">
        <f aca="false">(ABS(D22-L22)/D22)*100</f>
        <v>0.00253865096087939</v>
      </c>
      <c r="N125" s="53"/>
    </row>
    <row r="126" customFormat="false" ht="15" hidden="false" customHeight="false" outlineLevel="0" collapsed="false">
      <c r="A126" s="49"/>
      <c r="B126" s="55" t="n">
        <v>19</v>
      </c>
      <c r="C126" s="56" t="n">
        <f aca="false">(ABS(C23-E23)/C23)*100</f>
        <v>1.96945337620579</v>
      </c>
      <c r="D126" s="29" t="n">
        <f aca="false">(ABS(D23-F23)/D23)*100</f>
        <v>0.0311087409213266</v>
      </c>
      <c r="E126" s="57"/>
      <c r="F126" s="56" t="n">
        <f aca="false">(ABS(C23-G23)/C23)*100</f>
        <v>0.361736334405145</v>
      </c>
      <c r="G126" s="29" t="n">
        <f aca="false">(ABS(D23-H23)/D23)*100</f>
        <v>0.00571385037330489</v>
      </c>
      <c r="H126" s="57"/>
      <c r="I126" s="58" t="n">
        <f aca="false">(ABS(C23-I23)/C23)*100</f>
        <v>89.7508038585209</v>
      </c>
      <c r="J126" s="29" t="n">
        <f aca="false">(ABS(D23-J23)/D23)*100</f>
        <v>1.41766976484331</v>
      </c>
      <c r="K126" s="53"/>
      <c r="L126" s="58" t="n">
        <f aca="false">(ABS(C23-K23)/C23)*100</f>
        <v>0.120578778135048</v>
      </c>
      <c r="M126" s="29" t="n">
        <f aca="false">(ABS(D23-L23)/D23)*100</f>
        <v>0.00190461679110163</v>
      </c>
      <c r="N126" s="53"/>
    </row>
    <row r="127" customFormat="false" ht="15" hidden="false" customHeight="false" outlineLevel="0" collapsed="false">
      <c r="A127" s="49"/>
      <c r="B127" s="55" t="n">
        <v>20</v>
      </c>
      <c r="C127" s="56" t="n">
        <f aca="false">(ABS(C24-E24)/C24)*100</f>
        <v>0.791139240506329</v>
      </c>
      <c r="D127" s="29" t="n">
        <f aca="false">(ABS(D24-F24)/D24)*100</f>
        <v>0.0127006705954074</v>
      </c>
      <c r="E127" s="57"/>
      <c r="F127" s="56" t="n">
        <f aca="false">(ABS(C24-G24)/C24)*100</f>
        <v>0.435126582278481</v>
      </c>
      <c r="G127" s="29" t="n">
        <f aca="false">(ABS(D24-H24)/D24)*100</f>
        <v>0.00698536882747409</v>
      </c>
      <c r="H127" s="57"/>
      <c r="I127" s="58" t="n">
        <f aca="false">(ABS(C24-I24)/C24)*100</f>
        <v>99.6044303797468</v>
      </c>
      <c r="J127" s="29" t="n">
        <f aca="false">(ABS(D24-J24)/D24)*100</f>
        <v>1.5990144279618</v>
      </c>
      <c r="K127" s="53"/>
      <c r="L127" s="58" t="n">
        <f aca="false">(ABS(C24-K24)/C24)*100</f>
        <v>0.158227848101266</v>
      </c>
      <c r="M127" s="29" t="n">
        <f aca="false">(ABS(D24-L24)/D24)*100</f>
        <v>0.00254013411908149</v>
      </c>
      <c r="N127" s="53"/>
    </row>
    <row r="128" customFormat="false" ht="15" hidden="false" customHeight="false" outlineLevel="0" collapsed="false">
      <c r="A128" s="49"/>
      <c r="B128" s="55" t="n">
        <v>21</v>
      </c>
      <c r="C128" s="56" t="n">
        <f aca="false">(ABS(C25-E25)/C25)*100</f>
        <v>0.93603744149766</v>
      </c>
      <c r="D128" s="29" t="n">
        <f aca="false">(ABS(D25-F25)/D25)*100</f>
        <v>0.0152442897431337</v>
      </c>
      <c r="E128" s="57"/>
      <c r="F128" s="56" t="n">
        <f aca="false">(ABS(C25-G25)/C25)*100</f>
        <v>0.234009360374415</v>
      </c>
      <c r="G128" s="29" t="n">
        <f aca="false">(ABS(D25-H25)/D25)*100</f>
        <v>0.00381107243578343</v>
      </c>
      <c r="H128" s="57"/>
      <c r="I128" s="58" t="n">
        <f aca="false">(ABS(C25-I25)/C25)*100</f>
        <v>98.7129485179407</v>
      </c>
      <c r="J128" s="29" t="n">
        <f aca="false">(ABS(D25-J25)/D25)*100</f>
        <v>1.60763738916131</v>
      </c>
      <c r="K128" s="53"/>
      <c r="L128" s="58" t="n">
        <f aca="false">(ABS(C25-K25)/C25)*100</f>
        <v>0.0390015600624025</v>
      </c>
      <c r="M128" s="29" t="n">
        <f aca="false">(ABS(D25-L25)/D25)*100</f>
        <v>0.000635178739297238</v>
      </c>
      <c r="N128" s="53"/>
    </row>
    <row r="129" customFormat="false" ht="15" hidden="false" customHeight="false" outlineLevel="0" collapsed="false">
      <c r="A129" s="49"/>
      <c r="B129" s="55" t="n">
        <v>22</v>
      </c>
      <c r="C129" s="56" t="n">
        <f aca="false">(ABS(C26-E26)/C26)*100</f>
        <v>1.96153846153846</v>
      </c>
      <c r="D129" s="29" t="n">
        <f aca="false">(ABS(D26-F26)/D26)*100</f>
        <v>0.0324015247776366</v>
      </c>
      <c r="E129" s="57"/>
      <c r="F129" s="56" t="n">
        <f aca="false">(ABS(C26-G26)/C26)*100</f>
        <v>0.153846153846154</v>
      </c>
      <c r="G129" s="29" t="n">
        <f aca="false">(ABS(D26-H26)/D26)*100</f>
        <v>0.00254129606099111</v>
      </c>
      <c r="H129" s="57"/>
      <c r="I129" s="58" t="n">
        <f aca="false">(ABS(C26-I26)/C26)*100</f>
        <v>91.5</v>
      </c>
      <c r="J129" s="29" t="n">
        <f aca="false">(ABS(D26-J26)/D26)*100</f>
        <v>1.51143583227446</v>
      </c>
      <c r="K129" s="53"/>
      <c r="L129" s="58" t="n">
        <f aca="false">(ABS(C26-K26)/C26)*100</f>
        <v>0.0769230769230769</v>
      </c>
      <c r="M129" s="29" t="n">
        <f aca="false">(ABS(D26-L26)/D26)*100</f>
        <v>0.00127064803049555</v>
      </c>
      <c r="N129" s="53"/>
    </row>
    <row r="130" customFormat="false" ht="15" hidden="false" customHeight="false" outlineLevel="0" collapsed="false">
      <c r="A130" s="49"/>
      <c r="B130" s="55" t="n">
        <v>23</v>
      </c>
      <c r="C130" s="56" t="n">
        <f aca="false">(ABS(C27-E27)/C27)*100</f>
        <v>1.18819471061709</v>
      </c>
      <c r="D130" s="29" t="n">
        <f aca="false">(ABS(D27-F27)/D27)*100</f>
        <v>0.019696170683203</v>
      </c>
      <c r="E130" s="57"/>
      <c r="F130" s="56" t="n">
        <f aca="false">(ABS(C27-G27)/C27)*100</f>
        <v>0.0383288616328095</v>
      </c>
      <c r="G130" s="29" t="n">
        <f aca="false">(ABS(D27-H27)/D27)*100</f>
        <v>0.000635360344619451</v>
      </c>
      <c r="H130" s="57"/>
      <c r="I130" s="58" t="n">
        <f aca="false">(ABS(C27-I27)/C27)*100</f>
        <v>99.5783825220391</v>
      </c>
      <c r="J130" s="29" t="n">
        <f aca="false">(ABS(D27-J27)/D27)*100</f>
        <v>1.65066617532133</v>
      </c>
      <c r="K130" s="53"/>
      <c r="L130" s="58" t="n">
        <f aca="false">(ABS(C27-K27)/C27)*100</f>
        <v>0</v>
      </c>
      <c r="M130" s="29" t="n">
        <f aca="false">(ABS(D27-L27)/D27)*100</f>
        <v>0</v>
      </c>
      <c r="N130" s="53"/>
    </row>
    <row r="131" customFormat="false" ht="15" hidden="false" customHeight="false" outlineLevel="0" collapsed="false">
      <c r="A131" s="49"/>
      <c r="B131" s="55" t="n">
        <v>24</v>
      </c>
      <c r="C131" s="56" t="n">
        <f aca="false">(ABS(C28-E28)/C28)*100</f>
        <v>1.60427807486631</v>
      </c>
      <c r="D131" s="29" t="n">
        <f aca="false">(ABS(D28-F28)/D28)*100</f>
        <v>0.026686660482139</v>
      </c>
      <c r="E131" s="57"/>
      <c r="F131" s="56" t="n">
        <f aca="false">(ABS(C28-G28)/C28)*100</f>
        <v>0</v>
      </c>
      <c r="G131" s="29" t="n">
        <f aca="false">(ABS(D28-H28)/D28)*100</f>
        <v>0</v>
      </c>
      <c r="H131" s="57"/>
      <c r="I131" s="58" t="n">
        <f aca="false">(ABS(C28-I28)/C28)*100</f>
        <v>98.8922841864018</v>
      </c>
      <c r="J131" s="29" t="n">
        <f aca="false">(ABS(D28-J28)/D28)*100</f>
        <v>1.64504199972043</v>
      </c>
      <c r="K131" s="53"/>
      <c r="L131" s="58" t="n">
        <f aca="false">(ABS(C28-K28)/C28)*100</f>
        <v>0.0763941940412529</v>
      </c>
      <c r="M131" s="29" t="n">
        <f aca="false">(ABS(D28-L28)/D28)*100</f>
        <v>0.00127079335629233</v>
      </c>
      <c r="N131" s="53"/>
    </row>
    <row r="132" customFormat="false" ht="15" hidden="false" customHeight="false" outlineLevel="0" collapsed="false">
      <c r="A132" s="49"/>
      <c r="B132" s="55" t="n">
        <v>25</v>
      </c>
      <c r="C132" s="56" t="n">
        <f aca="false">(ABS(C29-E29)/C29)*100</f>
        <v>0.765990042129452</v>
      </c>
      <c r="D132" s="29" t="n">
        <f aca="false">(ABS(D29-F29)/D29)*100</f>
        <v>0.0127073683675479</v>
      </c>
      <c r="E132" s="57"/>
      <c r="F132" s="56" t="n">
        <f aca="false">(ABS(C29-G29)/C29)*100</f>
        <v>0.306396016851781</v>
      </c>
      <c r="G132" s="29" t="n">
        <f aca="false">(ABS(D29-H29)/D29)*100</f>
        <v>0.00508294734701917</v>
      </c>
      <c r="H132" s="57"/>
      <c r="I132" s="58" t="n">
        <f aca="false">(ABS(C29-I29)/C29)*100</f>
        <v>91.1911145155113</v>
      </c>
      <c r="J132" s="29" t="n">
        <f aca="false">(ABS(D29-J29)/D29)*100</f>
        <v>1.51281220415658</v>
      </c>
      <c r="K132" s="53"/>
      <c r="L132" s="58" t="n">
        <f aca="false">(ABS(C29-K29)/C29)*100</f>
        <v>0.15319800842589</v>
      </c>
      <c r="M132" s="29" t="n">
        <f aca="false">(ABS(D29-L29)/D29)*100</f>
        <v>0.00254147367350958</v>
      </c>
      <c r="N132" s="53"/>
    </row>
    <row r="133" customFormat="false" ht="15" hidden="false" customHeight="false" outlineLevel="0" collapsed="false">
      <c r="A133" s="49"/>
      <c r="B133" s="55" t="n">
        <v>26</v>
      </c>
      <c r="C133" s="56" t="n">
        <f aca="false">(ABS(C30-E30)/C30)*100</f>
        <v>1.04287369640788</v>
      </c>
      <c r="D133" s="29" t="n">
        <f aca="false">(ABS(D30-F30)/D30)*100</f>
        <v>0.0171525496947481</v>
      </c>
      <c r="E133" s="57"/>
      <c r="F133" s="56" t="n">
        <f aca="false">(ABS(C30-G30)/C30)*100</f>
        <v>0.0386249517188104</v>
      </c>
      <c r="G133" s="29" t="n">
        <f aca="false">(ABS(D30-H30)/D30)*100</f>
        <v>0.000635279618324005</v>
      </c>
      <c r="H133" s="57"/>
      <c r="I133" s="58" t="n">
        <f aca="false">(ABS(C30-I30)/C30)*100</f>
        <v>98.6867516415605</v>
      </c>
      <c r="J133" s="29" t="n">
        <f aca="false">(ABS(D30-J30)/D30)*100</f>
        <v>1.62313942481783</v>
      </c>
      <c r="K133" s="53"/>
      <c r="L133" s="58" t="n">
        <f aca="false">(ABS(C30-K30)/C30)*100</f>
        <v>0</v>
      </c>
      <c r="M133" s="29" t="n">
        <f aca="false">(ABS(D30-L30)/D30)*100</f>
        <v>0</v>
      </c>
      <c r="N133" s="53"/>
    </row>
    <row r="134" customFormat="false" ht="15" hidden="false" customHeight="false" outlineLevel="0" collapsed="false">
      <c r="A134" s="49"/>
      <c r="B134" s="55" t="n">
        <v>27</v>
      </c>
      <c r="C134" s="56" t="n">
        <f aca="false">(ABS(C31-E31)/C31)*100</f>
        <v>2.32374950768019</v>
      </c>
      <c r="D134" s="29" t="n">
        <f aca="false">(ABS(D31-F31)/D31)*100</f>
        <v>0.037469595645906</v>
      </c>
      <c r="E134" s="57"/>
      <c r="F134" s="56" t="n">
        <f aca="false">(ABS(C31-G31)/C31)*100</f>
        <v>0.236313509255612</v>
      </c>
      <c r="G134" s="29" t="n">
        <f aca="false">(ABS(D31-H31)/D31)*100</f>
        <v>0.00381046735382095</v>
      </c>
      <c r="H134" s="57"/>
      <c r="I134" s="58" t="n">
        <f aca="false">(ABS(C31-I31)/C31)*100</f>
        <v>98.9365892083497</v>
      </c>
      <c r="J134" s="29" t="n">
        <f aca="false">(ABS(D31-J31)/D31)*100</f>
        <v>1.59531566546637</v>
      </c>
      <c r="K134" s="53"/>
      <c r="L134" s="58" t="n">
        <f aca="false">(ABS(C31-K31)/C31)*100</f>
        <v>0.0787711697518708</v>
      </c>
      <c r="M134" s="29" t="n">
        <f aca="false">(ABS(D31-L31)/D31)*100</f>
        <v>0.00127015578460698</v>
      </c>
      <c r="N134" s="53"/>
    </row>
    <row r="135" customFormat="false" ht="15" hidden="false" customHeight="false" outlineLevel="0" collapsed="false">
      <c r="A135" s="49"/>
      <c r="B135" s="55" t="n">
        <v>28</v>
      </c>
      <c r="C135" s="56" t="n">
        <f aca="false">(ABS(C32-E32)/C32)*100</f>
        <v>2.61885576148268</v>
      </c>
      <c r="D135" s="29" t="n">
        <f aca="false">(ABS(D32-F32)/D32)*100</f>
        <v>0.0412651252555264</v>
      </c>
      <c r="E135" s="57"/>
      <c r="F135" s="56" t="n">
        <f aca="false">(ABS(C32-G32)/C32)*100</f>
        <v>0.16116035455278</v>
      </c>
      <c r="G135" s="29" t="n">
        <f aca="false">(ABS(D32-H32)/D32)*100</f>
        <v>0.00253939232341701</v>
      </c>
      <c r="H135" s="57"/>
      <c r="I135" s="58" t="n">
        <f aca="false">(ABS(C32-I32)/C32)*100</f>
        <v>96.9379532634972</v>
      </c>
      <c r="J135" s="29" t="n">
        <f aca="false">(ABS(D32-J32)/D32)*100</f>
        <v>1.52744448253533</v>
      </c>
      <c r="K135" s="53"/>
      <c r="L135" s="58" t="n">
        <f aca="false">(ABS(C32-K32)/C32)*100</f>
        <v>0.362610797743755</v>
      </c>
      <c r="M135" s="29" t="n">
        <f aca="false">(ABS(D32-L32)/D32)*100</f>
        <v>0.00571363272768826</v>
      </c>
      <c r="N135" s="53"/>
    </row>
    <row r="136" customFormat="false" ht="15" hidden="false" customHeight="false" outlineLevel="0" collapsed="false">
      <c r="A136" s="49"/>
      <c r="B136" s="55" t="n">
        <v>29</v>
      </c>
      <c r="C136" s="56" t="n">
        <f aca="false">(ABS(C33-E33)/C33)*100</f>
        <v>2.3314963967783</v>
      </c>
      <c r="D136" s="29" t="n">
        <f aca="false">(ABS(D33-F33)/D33)*100</f>
        <v>0.0348894006000977</v>
      </c>
      <c r="E136" s="57"/>
      <c r="F136" s="56" t="n">
        <f aca="false">(ABS(C33-G33)/C33)*100</f>
        <v>0.0847816871555744</v>
      </c>
      <c r="G136" s="29" t="n">
        <f aca="false">(ABS(D33-H33)/D33)*100</f>
        <v>0.00126870547636719</v>
      </c>
      <c r="H136" s="57"/>
      <c r="I136" s="58" t="n">
        <f aca="false">(ABS(C33-I33)/C33)*100</f>
        <v>99.1521831284443</v>
      </c>
      <c r="J136" s="29" t="n">
        <f aca="false">(ABS(D33-J33)/D33)*100</f>
        <v>1.48375105461143</v>
      </c>
      <c r="K136" s="53"/>
      <c r="L136" s="58" t="n">
        <f aca="false">(ABS(C33-K33)/C33)*100</f>
        <v>0.169563374311149</v>
      </c>
      <c r="M136" s="29" t="n">
        <f aca="false">(ABS(D33-L33)/D33)*100</f>
        <v>0.00253741095273438</v>
      </c>
      <c r="N136" s="53"/>
    </row>
    <row r="137" customFormat="false" ht="15" hidden="false" customHeight="false" outlineLevel="0" collapsed="false">
      <c r="A137" s="49"/>
      <c r="B137" s="55" t="n">
        <v>30</v>
      </c>
      <c r="C137" s="56" t="n">
        <f aca="false">(ABS(C34-E34)/C34)*100</f>
        <v>1.32058287795993</v>
      </c>
      <c r="D137" s="29" t="n">
        <f aca="false">(ABS(D34-F34)/D34)*100</f>
        <v>0.018377227446706</v>
      </c>
      <c r="E137" s="57"/>
      <c r="F137" s="56" t="n">
        <f aca="false">(ABS(C34-G34)/C34)*100</f>
        <v>0</v>
      </c>
      <c r="G137" s="29" t="n">
        <f aca="false">(ABS(D34-H34)/D34)*100</f>
        <v>0</v>
      </c>
      <c r="H137" s="57"/>
      <c r="I137" s="58" t="n">
        <f aca="false">(ABS(C34-I34)/C34)*100</f>
        <v>98.4972677595629</v>
      </c>
      <c r="J137" s="29" t="n">
        <f aca="false">(ABS(D34-J34)/D34)*100</f>
        <v>1.37068768852501</v>
      </c>
      <c r="K137" s="53"/>
      <c r="L137" s="58" t="n">
        <f aca="false">(ABS(C34-K34)/C34)*100</f>
        <v>0.0455373406193078</v>
      </c>
      <c r="M137" s="29" t="n">
        <f aca="false">(ABS(D34-L34)/D34)*100</f>
        <v>0.000633697498162277</v>
      </c>
      <c r="N137" s="53"/>
    </row>
    <row r="138" customFormat="false" ht="15" hidden="false" customHeight="false" outlineLevel="0" collapsed="false">
      <c r="A138" s="49"/>
      <c r="B138" s="55" t="n">
        <v>31</v>
      </c>
      <c r="C138" s="56" t="n">
        <f aca="false">(ABS(C35-E35)/C35)*100</f>
        <v>1.6642891107941</v>
      </c>
      <c r="D138" s="29" t="n">
        <f aca="false">(ABS(D35-F35)/D35)*100</f>
        <v>0.0221663489489984</v>
      </c>
      <c r="E138" s="57"/>
      <c r="F138" s="56" t="n">
        <f aca="false">(ABS(C35-G35)/C35)*100</f>
        <v>0.19020446980504</v>
      </c>
      <c r="G138" s="29" t="n">
        <f aca="false">(ABS(D35-H35)/D35)*100</f>
        <v>0.00253329702274267</v>
      </c>
      <c r="H138" s="57"/>
      <c r="I138" s="58" t="n">
        <f aca="false">(ABS(C35-I35)/C35)*100</f>
        <v>100</v>
      </c>
      <c r="J138" s="29" t="n">
        <f aca="false">(ABS(D35-J35)/D35)*100</f>
        <v>1.33188090970696</v>
      </c>
      <c r="K138" s="53"/>
      <c r="L138" s="58" t="n">
        <f aca="false">(ABS(C35-K35)/C35)*100</f>
        <v>0.0475511174512601</v>
      </c>
      <c r="M138" s="29" t="n">
        <f aca="false">(ABS(D35-L35)/D35)*100</f>
        <v>0.000633324255685669</v>
      </c>
      <c r="N138" s="53"/>
    </row>
    <row r="139" customFormat="false" ht="15" hidden="false" customHeight="false" outlineLevel="0" collapsed="false">
      <c r="A139" s="49"/>
      <c r="B139" s="55" t="n">
        <v>32</v>
      </c>
      <c r="C139" s="56" t="n">
        <f aca="false">(ABS(C36-E36)/C36)*100</f>
        <v>0.490918016691213</v>
      </c>
      <c r="D139" s="29" t="n">
        <f aca="false">(ABS(D36-F36)/D36)*100</f>
        <v>0.00633059640548736</v>
      </c>
      <c r="E139" s="57"/>
      <c r="F139" s="56" t="n">
        <f aca="false">(ABS(C36-G36)/C36)*100</f>
        <v>0.638193421698576</v>
      </c>
      <c r="G139" s="29" t="n">
        <f aca="false">(ABS(D36-H36)/D36)*100</f>
        <v>0.00822977532713357</v>
      </c>
      <c r="H139" s="57"/>
      <c r="I139" s="58" t="n">
        <f aca="false">(ABS(C36-I36)/C36)*100</f>
        <v>99.8527245949926</v>
      </c>
      <c r="J139" s="29" t="n">
        <f aca="false">(ABS(D36-J36)/D36)*100</f>
        <v>1.28764330887613</v>
      </c>
      <c r="K139" s="53"/>
      <c r="L139" s="58" t="n">
        <f aca="false">(ABS(C36-K36)/C36)*100</f>
        <v>0.39273441335297</v>
      </c>
      <c r="M139" s="29" t="n">
        <f aca="false">(ABS(D36-L36)/D36)*100</f>
        <v>0.00506447712438989</v>
      </c>
      <c r="N139" s="53"/>
    </row>
    <row r="140" customFormat="false" ht="15" hidden="false" customHeight="false" outlineLevel="0" collapsed="false">
      <c r="A140" s="49"/>
      <c r="B140" s="55" t="n">
        <v>33</v>
      </c>
      <c r="C140" s="56" t="n">
        <f aca="false">(ABS(C37-E37)/C37)*100</f>
        <v>1.9647355163728</v>
      </c>
      <c r="D140" s="29" t="n">
        <f aca="false">(ABS(D37-F37)/D37)*100</f>
        <v>0.0246812011517894</v>
      </c>
      <c r="E140" s="57"/>
      <c r="F140" s="56" t="n">
        <f aca="false">(ABS(C37-G37)/C37)*100</f>
        <v>0.201511335012594</v>
      </c>
      <c r="G140" s="29" t="n">
        <f aca="false">(ABS(D37-H37)/D37)*100</f>
        <v>0.00253140524633737</v>
      </c>
      <c r="H140" s="57"/>
      <c r="I140" s="58" t="n">
        <f aca="false">(ABS(C37-I37)/C37)*100</f>
        <v>99.647355163728</v>
      </c>
      <c r="J140" s="29" t="n">
        <f aca="false">(ABS(D37-J37)/D37)*100</f>
        <v>1.25177989431383</v>
      </c>
      <c r="K140" s="53"/>
      <c r="L140" s="58" t="n">
        <f aca="false">(ABS(C37-K37)/C37)*100</f>
        <v>0</v>
      </c>
      <c r="M140" s="29" t="n">
        <f aca="false">(ABS(D37-L37)/D37)*100</f>
        <v>0</v>
      </c>
      <c r="N140" s="53"/>
    </row>
    <row r="141" customFormat="false" ht="15" hidden="false" customHeight="false" outlineLevel="0" collapsed="false">
      <c r="A141" s="49"/>
      <c r="B141" s="55" t="n">
        <v>34</v>
      </c>
      <c r="C141" s="56" t="n">
        <f aca="false">(ABS(C38-E38)/C38)*100</f>
        <v>1.4894709809964</v>
      </c>
      <c r="D141" s="29" t="n">
        <f aca="false">(ABS(D38-F38)/D38)*100</f>
        <v>0.0183482755784452</v>
      </c>
      <c r="E141" s="57"/>
      <c r="F141" s="56" t="n">
        <f aca="false">(ABS(C38-G38)/C38)*100</f>
        <v>0.205444273240883</v>
      </c>
      <c r="G141" s="29" t="n">
        <f aca="false">(ABS(D38-H38)/D38)*100</f>
        <v>0.00253079663150968</v>
      </c>
      <c r="H141" s="57"/>
      <c r="I141" s="58" t="n">
        <f aca="false">(ABS(C38-I38)/C38)*100</f>
        <v>96.969696969697</v>
      </c>
      <c r="J141" s="29" t="n">
        <f aca="false">(ABS(D38-J38)/D38)*100</f>
        <v>1.19453601007257</v>
      </c>
      <c r="K141" s="53"/>
      <c r="L141" s="58" t="n">
        <f aca="false">(ABS(C38-K38)/C38)*100</f>
        <v>0</v>
      </c>
      <c r="M141" s="29" t="n">
        <f aca="false">(ABS(D38-L38)/D38)*100</f>
        <v>0</v>
      </c>
      <c r="N141" s="53"/>
    </row>
    <row r="142" customFormat="false" ht="15" hidden="false" customHeight="false" outlineLevel="0" collapsed="false">
      <c r="A142" s="49"/>
      <c r="B142" s="55" t="n">
        <v>35</v>
      </c>
      <c r="C142" s="56" t="n">
        <f aca="false">(ABS(C39-E39)/C39)*100</f>
        <v>0.997375328083989</v>
      </c>
      <c r="D142" s="29" t="n">
        <f aca="false">(ABS(D39-F39)/D39)*100</f>
        <v>0.0120180903886903</v>
      </c>
      <c r="E142" s="57"/>
      <c r="F142" s="56" t="n">
        <f aca="false">(ABS(C39-G39)/C39)*100</f>
        <v>0</v>
      </c>
      <c r="G142" s="29" t="n">
        <f aca="false">(ABS(D39-H39)/D39)*100</f>
        <v>0</v>
      </c>
      <c r="H142" s="57"/>
      <c r="I142" s="58" t="n">
        <f aca="false">(ABS(C39-I39)/C39)*100</f>
        <v>92.5459317585302</v>
      </c>
      <c r="J142" s="29" t="n">
        <f aca="false">(ABS(D39-J39)/D39)*100</f>
        <v>1.11515228185585</v>
      </c>
      <c r="K142" s="53"/>
      <c r="L142" s="58" t="n">
        <f aca="false">(ABS(C39-K39)/C39)*100</f>
        <v>0.05249343832021</v>
      </c>
      <c r="M142" s="29" t="n">
        <f aca="false">(ABS(D39-L39)/D39)*100</f>
        <v>0.000632531073088966</v>
      </c>
      <c r="N142" s="53"/>
    </row>
    <row r="143" customFormat="false" ht="15" hidden="false" customHeight="false" outlineLevel="0" collapsed="false">
      <c r="A143" s="49"/>
      <c r="B143" s="55" t="n">
        <v>36</v>
      </c>
      <c r="C143" s="56" t="n">
        <f aca="false">(ABS(C40-E40)/C40)*100</f>
        <v>0.585106382978723</v>
      </c>
      <c r="D143" s="29" t="n">
        <f aca="false">(ABS(D40-F40)/D40)*100</f>
        <v>0.00695674171515305</v>
      </c>
      <c r="E143" s="57"/>
      <c r="F143" s="56" t="n">
        <f aca="false">(ABS(C40-G40)/C40)*100</f>
        <v>0</v>
      </c>
      <c r="G143" s="29" t="n">
        <f aca="false">(ABS(D40-H40)/D40)*100</f>
        <v>0</v>
      </c>
      <c r="H143" s="57"/>
      <c r="I143" s="58" t="n">
        <f aca="false">(ABS(C40-I40)/C40)*100</f>
        <v>99.5212765957447</v>
      </c>
      <c r="J143" s="29" t="n">
        <f aca="false">(ABS(D40-J40)/D40)*100</f>
        <v>1.18327852264103</v>
      </c>
      <c r="K143" s="53"/>
      <c r="L143" s="58" t="n">
        <f aca="false">(ABS(C40-K40)/C40)*100</f>
        <v>0.106382978723404</v>
      </c>
      <c r="M143" s="29" t="n">
        <f aca="false">(ABS(D40-L40)/D40)*100</f>
        <v>0.00126486213002783</v>
      </c>
      <c r="N143" s="53"/>
    </row>
    <row r="144" customFormat="false" ht="15" hidden="false" customHeight="false" outlineLevel="0" collapsed="false">
      <c r="A144" s="49"/>
      <c r="B144" s="55" t="n">
        <v>37</v>
      </c>
      <c r="C144" s="56" t="n">
        <f aca="false">(ABS(C41-E41)/C41)*100</f>
        <v>1.46420824295011</v>
      </c>
      <c r="D144" s="29" t="n">
        <f aca="false">(ABS(D41-F41)/D41)*100</f>
        <v>0.0170717519411214</v>
      </c>
      <c r="E144" s="57"/>
      <c r="F144" s="56" t="n">
        <f aca="false">(ABS(C41-G41)/C41)*100</f>
        <v>0.488069414316703</v>
      </c>
      <c r="G144" s="29" t="n">
        <f aca="false">(ABS(D41-H41)/D41)*100</f>
        <v>0.00569058398037381</v>
      </c>
      <c r="H144" s="57"/>
      <c r="I144" s="58" t="n">
        <f aca="false">(ABS(C41-I41)/C41)*100</f>
        <v>90.6182212581345</v>
      </c>
      <c r="J144" s="29" t="n">
        <f aca="false">(ABS(D41-J41)/D41)*100</f>
        <v>1.05655175902274</v>
      </c>
      <c r="K144" s="53"/>
      <c r="L144" s="58" t="n">
        <f aca="false">(ABS(C41-K41)/C41)*100</f>
        <v>0</v>
      </c>
      <c r="M144" s="29" t="n">
        <f aca="false">(ABS(D41-L41)/D41)*100</f>
        <v>0</v>
      </c>
      <c r="N144" s="53"/>
    </row>
    <row r="145" customFormat="false" ht="15" hidden="false" customHeight="false" outlineLevel="0" collapsed="false">
      <c r="A145" s="49"/>
      <c r="B145" s="55" t="n">
        <v>38</v>
      </c>
      <c r="C145" s="56" t="n">
        <f aca="false">(ABS(C42-E42)/C42)*100</f>
        <v>1.86199342825849</v>
      </c>
      <c r="D145" s="29" t="n">
        <f aca="false">(ABS(D42-F42)/D42)*100</f>
        <v>0.021495315285698</v>
      </c>
      <c r="E145" s="57"/>
      <c r="F145" s="56" t="n">
        <f aca="false">(ABS(C42-G42)/C42)*100</f>
        <v>0.0547645125958379</v>
      </c>
      <c r="G145" s="29" t="n">
        <f aca="false">(ABS(D42-H42)/D42)*100</f>
        <v>0.000632215155461707</v>
      </c>
      <c r="H145" s="57"/>
      <c r="I145" s="58" t="n">
        <f aca="false">(ABS(C42-I42)/C42)*100</f>
        <v>87.4041621029573</v>
      </c>
      <c r="J145" s="29" t="n">
        <f aca="false">(ABS(D42-J42)/D42)*100</f>
        <v>1.00901538811688</v>
      </c>
      <c r="K145" s="53"/>
      <c r="L145" s="58" t="n">
        <f aca="false">(ABS(C42-K42)/C42)*100</f>
        <v>0.0547645125958379</v>
      </c>
      <c r="M145" s="29" t="n">
        <f aca="false">(ABS(D42-L42)/D42)*100</f>
        <v>0.000632215155461707</v>
      </c>
      <c r="N145" s="53"/>
    </row>
    <row r="146" customFormat="false" ht="15" hidden="false" customHeight="false" outlineLevel="0" collapsed="false">
      <c r="A146" s="49"/>
      <c r="B146" s="55" t="n">
        <v>39</v>
      </c>
      <c r="C146" s="56" t="n">
        <f aca="false">(ABS(C43-E43)/C43)*100</f>
        <v>1.16214720531267</v>
      </c>
      <c r="D146" s="29" t="n">
        <f aca="false">(ABS(D43-F43)/D43)*100</f>
        <v>0.0132749236691889</v>
      </c>
      <c r="E146" s="57"/>
      <c r="F146" s="56" t="n">
        <f aca="false">(ABS(C43-G43)/C43)*100</f>
        <v>0.498063087991146</v>
      </c>
      <c r="G146" s="29" t="n">
        <f aca="false">(ABS(D43-H43)/D43)*100</f>
        <v>0.00568925300108096</v>
      </c>
      <c r="H146" s="57"/>
      <c r="I146" s="58" t="n">
        <f aca="false">(ABS(C43-I43)/C43)*100</f>
        <v>98.7271721084671</v>
      </c>
      <c r="J146" s="29" t="n">
        <f aca="false">(ABS(D43-J43)/D43)*100</f>
        <v>1.12773637265871</v>
      </c>
      <c r="K146" s="53"/>
      <c r="L146" s="58" t="n">
        <f aca="false">(ABS(C43-K43)/C43)*100</f>
        <v>0.0553403431101273</v>
      </c>
      <c r="M146" s="29" t="n">
        <f aca="false">(ABS(D43-L43)/D43)*100</f>
        <v>0.000632139222342329</v>
      </c>
      <c r="N146" s="53"/>
    </row>
    <row r="147" customFormat="false" ht="15" hidden="false" customHeight="false" outlineLevel="0" collapsed="false">
      <c r="A147" s="49"/>
      <c r="B147" s="55" t="n">
        <v>40</v>
      </c>
      <c r="C147" s="56" t="n">
        <f aca="false">(ABS(C44-E44)/C44)*100</f>
        <v>0.503355704697987</v>
      </c>
      <c r="D147" s="29" t="n">
        <f aca="false">(ABS(D44-F44)/D44)*100</f>
        <v>0.00568856976714788</v>
      </c>
      <c r="E147" s="57"/>
      <c r="F147" s="56" t="n">
        <f aca="false">(ABS(C44-G44)/C44)*100</f>
        <v>0.167785234899329</v>
      </c>
      <c r="G147" s="29" t="n">
        <f aca="false">(ABS(D44-H44)/D44)*100</f>
        <v>0.00189618992238263</v>
      </c>
      <c r="H147" s="57"/>
      <c r="I147" s="58" t="n">
        <f aca="false">(ABS(C44-I44)/C44)*100</f>
        <v>99.7762863534676</v>
      </c>
      <c r="J147" s="29" t="n">
        <f aca="false">(ABS(D44-J44)/D44)*100</f>
        <v>1.1276009405102</v>
      </c>
      <c r="K147" s="53"/>
      <c r="L147" s="58" t="n">
        <f aca="false">(ABS(C44-K44)/C44)*100</f>
        <v>0.111856823266219</v>
      </c>
      <c r="M147" s="29" t="n">
        <f aca="false">(ABS(D44-L44)/D44)*100</f>
        <v>0.00126412661492175</v>
      </c>
      <c r="N147" s="53"/>
    </row>
    <row r="148" customFormat="false" ht="15" hidden="false" customHeight="false" outlineLevel="0" collapsed="false">
      <c r="A148" s="49"/>
      <c r="B148" s="55" t="n">
        <v>41</v>
      </c>
      <c r="C148" s="56" t="n">
        <f aca="false">(ABS(C45-E45)/C45)*100</f>
        <v>1.18376550169109</v>
      </c>
      <c r="D148" s="29" t="n">
        <f aca="false">(ABS(D45-F45)/D45)*100</f>
        <v>0.0132721550187706</v>
      </c>
      <c r="E148" s="57"/>
      <c r="F148" s="56" t="n">
        <f aca="false">(ABS(C45-G45)/C45)*100</f>
        <v>0.28184892897407</v>
      </c>
      <c r="G148" s="29" t="n">
        <f aca="false">(ABS(D45-H45)/D45)*100</f>
        <v>0.0031600369092311</v>
      </c>
      <c r="H148" s="57"/>
      <c r="I148" s="58" t="n">
        <f aca="false">(ABS(C45-I45)/C45)*100</f>
        <v>98.6471251409245</v>
      </c>
      <c r="J148" s="29" t="n">
        <f aca="false">(ABS(D45-J45)/D45)*100</f>
        <v>1.10601291823088</v>
      </c>
      <c r="K148" s="53"/>
      <c r="L148" s="58" t="n">
        <f aca="false">(ABS(C45-K45)/C45)*100</f>
        <v>0.056369785794814</v>
      </c>
      <c r="M148" s="29" t="n">
        <f aca="false">(ABS(D45-L45)/D45)*100</f>
        <v>0.00063200738184622</v>
      </c>
      <c r="N148" s="53"/>
    </row>
    <row r="149" customFormat="false" ht="15" hidden="false" customHeight="false" outlineLevel="0" collapsed="false">
      <c r="A149" s="49"/>
      <c r="B149" s="55" t="n">
        <v>42</v>
      </c>
      <c r="C149" s="56" t="n">
        <f aca="false">(ABS(C46-E46)/C46)*100</f>
        <v>2.21465076660988</v>
      </c>
      <c r="D149" s="29" t="n">
        <f aca="false">(ABS(D46-F46)/D46)*100</f>
        <v>0.0246462629313886</v>
      </c>
      <c r="E149" s="57"/>
      <c r="F149" s="56" t="n">
        <f aca="false">(ABS(C46-G46)/C46)*100</f>
        <v>0.397501419647927</v>
      </c>
      <c r="G149" s="29" t="n">
        <f aca="false">(ABS(D46-H46)/D46)*100</f>
        <v>0.00442368821845436</v>
      </c>
      <c r="H149" s="57"/>
      <c r="I149" s="58" t="n">
        <f aca="false">(ABS(C46-I46)/C46)*100</f>
        <v>89.1538898353208</v>
      </c>
      <c r="J149" s="29" t="n">
        <f aca="false">(ABS(D46-J46)/D46)*100</f>
        <v>0.992170071853336</v>
      </c>
      <c r="K149" s="53"/>
      <c r="L149" s="58" t="n">
        <f aca="false">(ABS(C46-K46)/C46)*100</f>
        <v>0.283929585462805</v>
      </c>
      <c r="M149" s="29" t="n">
        <f aca="false">(ABS(D46-L46)/D46)*100</f>
        <v>0.00315977729889597</v>
      </c>
      <c r="N149" s="53"/>
    </row>
    <row r="150" customFormat="false" ht="15" hidden="false" customHeight="false" outlineLevel="0" collapsed="false">
      <c r="A150" s="49"/>
      <c r="B150" s="55" t="n">
        <v>43</v>
      </c>
      <c r="C150" s="56" t="n">
        <f aca="false">(ABS(C47-E47)/C47)*100</f>
        <v>1.76537585421412</v>
      </c>
      <c r="D150" s="29" t="n">
        <f aca="false">(ABS(D47-F47)/D47)*100</f>
        <v>0.0195900002527742</v>
      </c>
      <c r="E150" s="57"/>
      <c r="F150" s="56" t="n">
        <f aca="false">(ABS(C47-G47)/C47)*100</f>
        <v>0.113895216400911</v>
      </c>
      <c r="G150" s="29" t="n">
        <f aca="false">(ABS(D47-H47)/D47)*100</f>
        <v>0.00126387098404995</v>
      </c>
      <c r="H150" s="57"/>
      <c r="I150" s="58" t="n">
        <f aca="false">(ABS(C47-I47)/C47)*100</f>
        <v>98.6902050113895</v>
      </c>
      <c r="J150" s="29" t="n">
        <f aca="false">(ABS(D47-J47)/D47)*100</f>
        <v>1.09514420767928</v>
      </c>
      <c r="K150" s="53"/>
      <c r="L150" s="58" t="n">
        <f aca="false">(ABS(C47-K47)/C47)*100</f>
        <v>0.227790432801822</v>
      </c>
      <c r="M150" s="29" t="n">
        <f aca="false">(ABS(D47-L47)/D47)*100</f>
        <v>0.0025277419680999</v>
      </c>
      <c r="N150" s="53"/>
    </row>
    <row r="151" customFormat="false" ht="15" hidden="false" customHeight="false" outlineLevel="0" collapsed="false">
      <c r="A151" s="49"/>
      <c r="B151" s="55" t="n">
        <v>44</v>
      </c>
      <c r="C151" s="56" t="n">
        <f aca="false">(ABS(C48-E48)/C48)*100</f>
        <v>0.801373783629079</v>
      </c>
      <c r="D151" s="29" t="n">
        <f aca="false">(ABS(D48-F48)/D48)*100</f>
        <v>0.00884659374545822</v>
      </c>
      <c r="E151" s="57"/>
      <c r="F151" s="56" t="n">
        <f aca="false">(ABS(C48-G48)/C48)*100</f>
        <v>0.457927876359473</v>
      </c>
      <c r="G151" s="29" t="n">
        <f aca="false">(ABS(D48-H48)/D48)*100</f>
        <v>0.00505519642597613</v>
      </c>
      <c r="H151" s="57"/>
      <c r="I151" s="58" t="n">
        <f aca="false">(ABS(C48-I48)/C48)*100</f>
        <v>99.8855180309101</v>
      </c>
      <c r="J151" s="29" t="n">
        <f aca="false">(ABS(D48-J48)/D48)*100</f>
        <v>1.10266472041604</v>
      </c>
      <c r="K151" s="53"/>
      <c r="L151" s="58" t="n">
        <f aca="false">(ABS(C48-K48)/C48)*100</f>
        <v>0</v>
      </c>
      <c r="M151" s="29" t="n">
        <f aca="false">(ABS(D48-L48)/D48)*100</f>
        <v>0</v>
      </c>
      <c r="N151" s="53"/>
    </row>
    <row r="152" customFormat="false" ht="15" hidden="false" customHeight="false" outlineLevel="0" collapsed="false">
      <c r="A152" s="49"/>
      <c r="B152" s="55" t="n">
        <v>45</v>
      </c>
      <c r="C152" s="56" t="n">
        <f aca="false">(ABS(C49-E49)/C49)*100</f>
        <v>1.54109589041096</v>
      </c>
      <c r="D152" s="29" t="n">
        <f aca="false">(ABS(D49-F49)/D49)*100</f>
        <v>0.0170618270057126</v>
      </c>
      <c r="E152" s="57"/>
      <c r="F152" s="56" t="n">
        <f aca="false">(ABS(C49-G49)/C49)*100</f>
        <v>0.0570776255707763</v>
      </c>
      <c r="G152" s="29" t="n">
        <f aca="false">(ABS(D49-H49)/D49)*100</f>
        <v>0.000631919518730095</v>
      </c>
      <c r="H152" s="57"/>
      <c r="I152" s="58" t="n">
        <f aca="false">(ABS(C49-I49)/C49)*100</f>
        <v>92.865296803653</v>
      </c>
      <c r="J152" s="29" t="n">
        <f aca="false">(ABS(D49-J49)/D49)*100</f>
        <v>1.02813305697386</v>
      </c>
      <c r="K152" s="53"/>
      <c r="L152" s="58" t="n">
        <f aca="false">(ABS(C49-K49)/C49)*100</f>
        <v>0.228310502283105</v>
      </c>
      <c r="M152" s="29" t="n">
        <f aca="false">(ABS(D49-L49)/D49)*100</f>
        <v>0.00252767807492038</v>
      </c>
      <c r="N152" s="53"/>
    </row>
    <row r="153" customFormat="false" ht="15" hidden="false" customHeight="false" outlineLevel="0" collapsed="false">
      <c r="A153" s="49"/>
      <c r="B153" s="55" t="n">
        <v>46</v>
      </c>
      <c r="C153" s="56" t="n">
        <f aca="false">(ABS(C50-E50)/C50)*100</f>
        <v>0.230017251293847</v>
      </c>
      <c r="D153" s="29" t="n">
        <f aca="false">(ABS(D50-F50)/D50)*100</f>
        <v>0.00252747044439249</v>
      </c>
      <c r="E153" s="57"/>
      <c r="F153" s="56" t="n">
        <f aca="false">(ABS(C50-G50)/C50)*100</f>
        <v>0.172512938470385</v>
      </c>
      <c r="G153" s="29" t="n">
        <f aca="false">(ABS(D50-H50)/D50)*100</f>
        <v>0.00189560283329437</v>
      </c>
      <c r="H153" s="57"/>
      <c r="I153" s="58" t="n">
        <f aca="false">(ABS(C50-I50)/C50)*100</f>
        <v>81.943645773433</v>
      </c>
      <c r="J153" s="29" t="n">
        <f aca="false">(ABS(D50-J50)/D50)*100</f>
        <v>0.900411345814825</v>
      </c>
      <c r="K153" s="53"/>
      <c r="L153" s="58" t="n">
        <f aca="false">(ABS(C50-K50)/C50)*100</f>
        <v>0.230017251293847</v>
      </c>
      <c r="M153" s="29" t="n">
        <f aca="false">(ABS(D50-L50)/D50)*100</f>
        <v>0.00252747044439249</v>
      </c>
      <c r="N153" s="53"/>
    </row>
    <row r="154" customFormat="false" ht="15" hidden="false" customHeight="false" outlineLevel="0" collapsed="false">
      <c r="A154" s="49"/>
      <c r="B154" s="55" t="n">
        <v>47</v>
      </c>
      <c r="C154" s="56" t="n">
        <f aca="false">(ABS(C51-E51)/C51)*100</f>
        <v>0.635838150289017</v>
      </c>
      <c r="D154" s="29" t="n">
        <f aca="false">(ABS(D51-F51)/D51)*100</f>
        <v>0.00695014848044481</v>
      </c>
      <c r="E154" s="57"/>
      <c r="F154" s="56" t="n">
        <f aca="false">(ABS(C51-G51)/C51)*100</f>
        <v>0.520231213872832</v>
      </c>
      <c r="G154" s="29" t="n">
        <f aca="false">(ABS(D51-H51)/D51)*100</f>
        <v>0.00568648512036394</v>
      </c>
      <c r="H154" s="57"/>
      <c r="I154" s="58" t="n">
        <f aca="false">(ABS(C51-I51)/C51)*100</f>
        <v>96.4161849710983</v>
      </c>
      <c r="J154" s="29" t="n">
        <f aca="false">(ABS(D51-J51)/D51)*100</f>
        <v>1.05389524230745</v>
      </c>
      <c r="K154" s="53"/>
      <c r="L154" s="58" t="n">
        <f aca="false">(ABS(C51-K51)/C51)*100</f>
        <v>0.115606936416185</v>
      </c>
      <c r="M154" s="29" t="n">
        <f aca="false">(ABS(D51-L51)/D51)*100</f>
        <v>0.00126366336008087</v>
      </c>
      <c r="N154" s="53"/>
    </row>
    <row r="155" customFormat="false" ht="15" hidden="false" customHeight="false" outlineLevel="0" collapsed="false">
      <c r="A155" s="49"/>
      <c r="B155" s="55" t="n">
        <v>48</v>
      </c>
      <c r="C155" s="56" t="n">
        <f aca="false">(ABS(C52-E52)/C52)*100</f>
        <v>0.115008625646924</v>
      </c>
      <c r="D155" s="29" t="n">
        <f aca="false">(ABS(D52-F52)/D52)*100</f>
        <v>0.00126373522219625</v>
      </c>
      <c r="E155" s="57"/>
      <c r="F155" s="56" t="n">
        <f aca="false">(ABS(C52-G52)/C52)*100</f>
        <v>0.172512938470385</v>
      </c>
      <c r="G155" s="29" t="n">
        <f aca="false">(ABS(D52-H52)/D52)*100</f>
        <v>0.00189560283329437</v>
      </c>
      <c r="H155" s="57"/>
      <c r="I155" s="58" t="n">
        <f aca="false">(ABS(C52-I52)/C52)*100</f>
        <v>98.9074180563542</v>
      </c>
      <c r="J155" s="29" t="n">
        <f aca="false">(ABS(D52-J52)/D52)*100</f>
        <v>1.08681229108877</v>
      </c>
      <c r="K155" s="53"/>
      <c r="L155" s="58" t="n">
        <f aca="false">(ABS(C52-K52)/C52)*100</f>
        <v>0.115008625646924</v>
      </c>
      <c r="M155" s="29" t="n">
        <f aca="false">(ABS(D52-L52)/D52)*100</f>
        <v>0.00126373522219625</v>
      </c>
      <c r="N155" s="53"/>
    </row>
    <row r="156" customFormat="false" ht="15" hidden="false" customHeight="false" outlineLevel="0" collapsed="false">
      <c r="A156" s="49"/>
      <c r="B156" s="55" t="n">
        <v>49</v>
      </c>
      <c r="C156" s="56" t="n">
        <f aca="false">(ABS(C53-E53)/C53)*100</f>
        <v>2.51141552511416</v>
      </c>
      <c r="D156" s="29" t="n">
        <f aca="false">(ABS(D53-F53)/D53)*100</f>
        <v>0.0278044588241242</v>
      </c>
      <c r="E156" s="57"/>
      <c r="F156" s="56" t="n">
        <f aca="false">(ABS(C53-G53)/C53)*100</f>
        <v>0.0570776255707763</v>
      </c>
      <c r="G156" s="29" t="n">
        <f aca="false">(ABS(D53-H53)/D53)*100</f>
        <v>0.000631919518730095</v>
      </c>
      <c r="H156" s="57"/>
      <c r="I156" s="58" t="n">
        <f aca="false">(ABS(C53-I53)/C53)*100</f>
        <v>100</v>
      </c>
      <c r="J156" s="29" t="n">
        <f aca="false">(ABS(D53-J53)/D53)*100</f>
        <v>1.10712299681513</v>
      </c>
      <c r="K156" s="53"/>
      <c r="L156" s="58" t="n">
        <f aca="false">(ABS(C53-K53)/C53)*100</f>
        <v>0.171232876712329</v>
      </c>
      <c r="M156" s="29" t="n">
        <f aca="false">(ABS(D53-L53)/D53)*100</f>
        <v>0.00189575855619028</v>
      </c>
      <c r="N156" s="53"/>
    </row>
    <row r="157" customFormat="false" ht="15" hidden="false" customHeight="false" outlineLevel="0" collapsed="false">
      <c r="A157" s="49"/>
      <c r="B157" s="55" t="n">
        <v>50</v>
      </c>
      <c r="C157" s="56" t="n">
        <f aca="false">(ABS(C54-E54)/C54)*100</f>
        <v>2.1751574127075</v>
      </c>
      <c r="D157" s="29" t="n">
        <f aca="false">(ABS(D54-F54)/D54)*100</f>
        <v>0.0240121830233866</v>
      </c>
      <c r="E157" s="57"/>
      <c r="F157" s="56" t="n">
        <f aca="false">(ABS(C54-G54)/C54)*100</f>
        <v>0.114481969089868</v>
      </c>
      <c r="G157" s="29" t="n">
        <f aca="false">(ABS(D54-H54)/D54)*100</f>
        <v>0.00126379910649403</v>
      </c>
      <c r="H157" s="57"/>
      <c r="I157" s="58" t="n">
        <f aca="false">(ABS(C54-I54)/C54)*100</f>
        <v>96.9662278191185</v>
      </c>
      <c r="J157" s="29" t="n">
        <f aca="false">(ABS(D54-J54)/D54)*100</f>
        <v>1.07043784320044</v>
      </c>
      <c r="K157" s="53"/>
      <c r="L157" s="58" t="n">
        <f aca="false">(ABS(C54-K54)/C54)*100</f>
        <v>0.343445907269605</v>
      </c>
      <c r="M157" s="29" t="n">
        <f aca="false">(ABS(D54-L54)/D54)*100</f>
        <v>0.0037913973194821</v>
      </c>
      <c r="N157" s="53"/>
    </row>
    <row r="158" customFormat="false" ht="15" hidden="false" customHeight="false" outlineLevel="0" collapsed="false">
      <c r="A158" s="49"/>
      <c r="B158" s="55" t="n">
        <v>51</v>
      </c>
      <c r="C158" s="56" t="n">
        <f aca="false">(ABS(C55-E55)/C55)*100</f>
        <v>0.398633257403189</v>
      </c>
      <c r="D158" s="29" t="n">
        <f aca="false">(ABS(D55-F55)/D55)*100</f>
        <v>0.00442354844417482</v>
      </c>
      <c r="E158" s="57"/>
      <c r="F158" s="56" t="n">
        <f aca="false">(ABS(C55-G55)/C55)*100</f>
        <v>0.0569476082004556</v>
      </c>
      <c r="G158" s="29" t="n">
        <f aca="false">(ABS(D55-H55)/D55)*100</f>
        <v>0.000631935492024974</v>
      </c>
      <c r="H158" s="57"/>
      <c r="I158" s="58" t="n">
        <f aca="false">(ABS(C55-I55)/C55)*100</f>
        <v>100</v>
      </c>
      <c r="J158" s="29" t="n">
        <f aca="false">(ABS(D55-J55)/D55)*100</f>
        <v>1.10967872399585</v>
      </c>
      <c r="K158" s="53"/>
      <c r="L158" s="58" t="n">
        <f aca="false">(ABS(C55-K55)/C55)*100</f>
        <v>0.0569476082004556</v>
      </c>
      <c r="M158" s="29" t="n">
        <f aca="false">(ABS(D55-L55)/D55)*100</f>
        <v>0.000631935492024974</v>
      </c>
      <c r="N158" s="53"/>
    </row>
    <row r="159" customFormat="false" ht="15" hidden="false" customHeight="false" outlineLevel="0" collapsed="false">
      <c r="A159" s="49"/>
      <c r="B159" s="55" t="n">
        <v>52</v>
      </c>
      <c r="C159" s="56" t="n">
        <f aca="false">(ABS(C56-E56)/C56)*100</f>
        <v>2.38500851788756</v>
      </c>
      <c r="D159" s="29" t="n">
        <f aca="false">(ABS(D56-F56)/D56)*100</f>
        <v>0.0265421293107262</v>
      </c>
      <c r="E159" s="57"/>
      <c r="F159" s="56" t="n">
        <f aca="false">(ABS(C56-G56)/C56)*100</f>
        <v>0.283929585462805</v>
      </c>
      <c r="G159" s="29" t="n">
        <f aca="false">(ABS(D56-H56)/D56)*100</f>
        <v>0.00315977729889597</v>
      </c>
      <c r="H159" s="57"/>
      <c r="I159" s="58" t="n">
        <f aca="false">(ABS(C56-I56)/C56)*100</f>
        <v>94.7189097103918</v>
      </c>
      <c r="J159" s="29" t="n">
        <f aca="false">(ABS(D56-J56)/D56)*100</f>
        <v>1.0541017069117</v>
      </c>
      <c r="K159" s="53"/>
      <c r="L159" s="58" t="n">
        <f aca="false">(ABS(C56-K56)/C56)*100</f>
        <v>0.113571834185122</v>
      </c>
      <c r="M159" s="29" t="n">
        <f aca="false">(ABS(D56-L56)/D56)*100</f>
        <v>0.00126391091955839</v>
      </c>
      <c r="N159" s="53"/>
    </row>
    <row r="160" customFormat="false" ht="15" hidden="false" customHeight="false" outlineLevel="0" collapsed="false">
      <c r="A160" s="49"/>
      <c r="B160" s="55" t="n">
        <v>53</v>
      </c>
      <c r="C160" s="56" t="n">
        <f aca="false">(ABS(C57-E57)/C57)*100</f>
        <v>2.0293122886133</v>
      </c>
      <c r="D160" s="29" t="n">
        <f aca="false">(ABS(D57-F57)/D57)*100</f>
        <v>0.0227522657464639</v>
      </c>
      <c r="E160" s="57"/>
      <c r="F160" s="56" t="n">
        <f aca="false">(ABS(C57-G57)/C57)*100</f>
        <v>0.338218714768884</v>
      </c>
      <c r="G160" s="29" t="n">
        <f aca="false">(ABS(D57-H57)/D57)*100</f>
        <v>0.00379204429107732</v>
      </c>
      <c r="H160" s="57"/>
      <c r="I160" s="58" t="n">
        <f aca="false">(ABS(C57-I57)/C57)*100</f>
        <v>98.9289740698985</v>
      </c>
      <c r="J160" s="29" t="n">
        <f aca="false">(ABS(D57-J57)/D57)*100</f>
        <v>1.10917295514012</v>
      </c>
      <c r="K160" s="53"/>
      <c r="L160" s="58" t="n">
        <f aca="false">(ABS(C57-K57)/C57)*100</f>
        <v>0.28184892897407</v>
      </c>
      <c r="M160" s="29" t="n">
        <f aca="false">(ABS(D57-L57)/D57)*100</f>
        <v>0.0031600369092311</v>
      </c>
      <c r="N160" s="53"/>
    </row>
    <row r="161" customFormat="false" ht="15" hidden="false" customHeight="false" outlineLevel="0" collapsed="false">
      <c r="A161" s="49"/>
      <c r="B161" s="55" t="n">
        <v>54</v>
      </c>
      <c r="C161" s="56" t="n">
        <f aca="false">(ABS(C58-E58)/C58)*100</f>
        <v>0.335570469798658</v>
      </c>
      <c r="D161" s="29" t="n">
        <f aca="false">(ABS(D58-F58)/D58)*100</f>
        <v>0.00379237984476525</v>
      </c>
      <c r="E161" s="57"/>
      <c r="F161" s="56" t="n">
        <f aca="false">(ABS(C58-G58)/C58)*100</f>
        <v>0.0559284116331096</v>
      </c>
      <c r="G161" s="29" t="n">
        <f aca="false">(ABS(D58-H58)/D58)*100</f>
        <v>0.000632063307460875</v>
      </c>
      <c r="H161" s="57"/>
      <c r="I161" s="58" t="n">
        <f aca="false">(ABS(C58-I58)/C58)*100</f>
        <v>89.3176733780761</v>
      </c>
      <c r="J161" s="29" t="n">
        <f aca="false">(ABS(D58-J58)/D58)*100</f>
        <v>1.00940510201502</v>
      </c>
      <c r="K161" s="53"/>
      <c r="L161" s="58" t="n">
        <f aca="false">(ABS(C58-K58)/C58)*100</f>
        <v>0.223713646532438</v>
      </c>
      <c r="M161" s="29" t="n">
        <f aca="false">(ABS(D58-L58)/D58)*100</f>
        <v>0.0025282532298435</v>
      </c>
      <c r="N161" s="53"/>
    </row>
    <row r="162" customFormat="false" ht="15" hidden="false" customHeight="false" outlineLevel="0" collapsed="false">
      <c r="A162" s="49"/>
      <c r="B162" s="55" t="n">
        <v>55</v>
      </c>
      <c r="C162" s="56" t="n">
        <f aca="false">(ABS(C59-E59)/C59)*100</f>
        <v>0.830105146651909</v>
      </c>
      <c r="D162" s="29" t="n">
        <f aca="false">(ABS(D59-F59)/D59)*100</f>
        <v>0.00948208833513493</v>
      </c>
      <c r="E162" s="57"/>
      <c r="F162" s="56" t="n">
        <f aca="false">(ABS(C59-G59)/C59)*100</f>
        <v>0.221361372440509</v>
      </c>
      <c r="G162" s="29" t="n">
        <f aca="false">(ABS(D59-H59)/D59)*100</f>
        <v>0.00252855688936931</v>
      </c>
      <c r="H162" s="57"/>
      <c r="I162" s="58" t="n">
        <f aca="false">(ABS(C59-I59)/C59)*100</f>
        <v>99.3912562257886</v>
      </c>
      <c r="J162" s="29" t="n">
        <f aca="false">(ABS(D59-J59)/D59)*100</f>
        <v>1.13532204332682</v>
      </c>
      <c r="K162" s="53"/>
      <c r="L162" s="58" t="n">
        <f aca="false">(ABS(C59-K59)/C59)*100</f>
        <v>0.221361372440509</v>
      </c>
      <c r="M162" s="29" t="n">
        <f aca="false">(ABS(D59-L59)/D59)*100</f>
        <v>0.00252855688936931</v>
      </c>
      <c r="N162" s="53"/>
    </row>
    <row r="163" customFormat="false" ht="15" hidden="false" customHeight="false" outlineLevel="0" collapsed="false">
      <c r="A163" s="49"/>
      <c r="B163" s="55" t="n">
        <v>56</v>
      </c>
      <c r="C163" s="56" t="n">
        <f aca="false">(ABS(C60-E60)/C60)*100</f>
        <v>3.50492880613363</v>
      </c>
      <c r="D163" s="29" t="n">
        <f aca="false">(ABS(D60-F60)/D60)*100</f>
        <v>0.0404617699495492</v>
      </c>
      <c r="E163" s="57"/>
      <c r="F163" s="56" t="n">
        <f aca="false">(ABS(C60-G60)/C60)*100</f>
        <v>0.438116100766703</v>
      </c>
      <c r="G163" s="29" t="n">
        <f aca="false">(ABS(D60-H60)/D60)*100</f>
        <v>0.00505772124369365</v>
      </c>
      <c r="H163" s="57"/>
      <c r="I163" s="58" t="n">
        <f aca="false">(ABS(C60-I60)/C60)*100</f>
        <v>99.4523548740416</v>
      </c>
      <c r="J163" s="29" t="n">
        <f aca="false">(ABS(D60-J60)/D60)*100</f>
        <v>1.14810272231846</v>
      </c>
      <c r="K163" s="53"/>
      <c r="L163" s="58" t="n">
        <f aca="false">(ABS(C60-K60)/C60)*100</f>
        <v>0.164293537787514</v>
      </c>
      <c r="M163" s="29" t="n">
        <f aca="false">(ABS(D60-L60)/D60)*100</f>
        <v>0.00189664546638512</v>
      </c>
      <c r="N163" s="53"/>
    </row>
    <row r="164" customFormat="false" ht="15" hidden="false" customHeight="false" outlineLevel="0" collapsed="false">
      <c r="A164" s="49"/>
      <c r="B164" s="55" t="n">
        <v>57</v>
      </c>
      <c r="C164" s="56" t="n">
        <f aca="false">(ABS(C61-E61)/C61)*100</f>
        <v>1.08459869848156</v>
      </c>
      <c r="D164" s="29" t="n">
        <f aca="false">(ABS(D61-F61)/D61)*100</f>
        <v>0.0126457421786085</v>
      </c>
      <c r="E164" s="57"/>
      <c r="F164" s="56" t="n">
        <f aca="false">(ABS(C61-G61)/C61)*100</f>
        <v>0.216919739696312</v>
      </c>
      <c r="G164" s="29" t="n">
        <f aca="false">(ABS(D61-H61)/D61)*100</f>
        <v>0.00252914843572169</v>
      </c>
      <c r="H164" s="57"/>
      <c r="I164" s="58" t="n">
        <f aca="false">(ABS(C61-I61)/C61)*100</f>
        <v>100</v>
      </c>
      <c r="J164" s="29" t="n">
        <f aca="false">(ABS(D61-J61)/D61)*100</f>
        <v>1.1659374288677</v>
      </c>
      <c r="K164" s="53"/>
      <c r="L164" s="58" t="n">
        <f aca="false">(ABS(C61-K61)/C61)*100</f>
        <v>0</v>
      </c>
      <c r="M164" s="29" t="n">
        <f aca="false">(ABS(D61-L61)/D61)*100</f>
        <v>0</v>
      </c>
      <c r="N164" s="53"/>
    </row>
    <row r="165" customFormat="false" ht="15" hidden="false" customHeight="false" outlineLevel="0" collapsed="false">
      <c r="A165" s="49"/>
      <c r="B165" s="55" t="n">
        <v>58</v>
      </c>
      <c r="C165" s="56" t="n">
        <f aca="false">(ABS(C62-E62)/C62)*100</f>
        <v>1.32978723404255</v>
      </c>
      <c r="D165" s="29" t="n">
        <f aca="false">(ABS(D62-F62)/D62)*100</f>
        <v>0.0158107766253478</v>
      </c>
      <c r="E165" s="57"/>
      <c r="F165" s="56" t="n">
        <f aca="false">(ABS(C62-G62)/C62)*100</f>
        <v>0.0531914893617021</v>
      </c>
      <c r="G165" s="29" t="n">
        <f aca="false">(ABS(D62-H62)/D62)*100</f>
        <v>0.000632431065013913</v>
      </c>
      <c r="H165" s="57"/>
      <c r="I165" s="58" t="n">
        <f aca="false">(ABS(C62-I62)/C62)*100</f>
        <v>97.4468085106383</v>
      </c>
      <c r="J165" s="29" t="n">
        <f aca="false">(ABS(D62-J62)/D62)*100</f>
        <v>1.15861371110549</v>
      </c>
      <c r="K165" s="53"/>
      <c r="L165" s="58" t="n">
        <f aca="false">(ABS(C62-K62)/C62)*100</f>
        <v>0.372340425531915</v>
      </c>
      <c r="M165" s="29" t="n">
        <f aca="false">(ABS(D62-L62)/D62)*100</f>
        <v>0.00442701745509739</v>
      </c>
      <c r="N165" s="53"/>
    </row>
    <row r="166" customFormat="false" ht="15" hidden="false" customHeight="false" outlineLevel="0" collapsed="false">
      <c r="A166" s="49"/>
      <c r="B166" s="55" t="n">
        <v>59</v>
      </c>
      <c r="C166" s="56" t="n">
        <f aca="false">(ABS(C63-E63)/C63)*100</f>
        <v>3.62204724409449</v>
      </c>
      <c r="D166" s="29" t="n">
        <f aca="false">(ABS(D63-F63)/D63)*100</f>
        <v>0.0436446440431386</v>
      </c>
      <c r="E166" s="57"/>
      <c r="F166" s="56" t="n">
        <f aca="false">(ABS(C63-G63)/C63)*100</f>
        <v>0.41994750656168</v>
      </c>
      <c r="G166" s="29" t="n">
        <f aca="false">(ABS(D63-H63)/D63)*100</f>
        <v>0.00506024858471172</v>
      </c>
      <c r="H166" s="57"/>
      <c r="I166" s="58" t="n">
        <f aca="false">(ABS(C63-I63)/C63)*100</f>
        <v>99.2650918635171</v>
      </c>
      <c r="J166" s="29" t="n">
        <f aca="false">(ABS(D63-J63)/D63)*100</f>
        <v>1.19611625921123</v>
      </c>
      <c r="K166" s="53"/>
      <c r="L166" s="58" t="n">
        <f aca="false">(ABS(C63-K63)/C63)*100</f>
        <v>0.05249343832021</v>
      </c>
      <c r="M166" s="29" t="n">
        <f aca="false">(ABS(D63-L63)/D63)*100</f>
        <v>0.000632531073088966</v>
      </c>
      <c r="N166" s="53"/>
    </row>
    <row r="167" customFormat="false" ht="15" hidden="false" customHeight="false" outlineLevel="0" collapsed="false">
      <c r="A167" s="49"/>
      <c r="B167" s="55" t="n">
        <v>60</v>
      </c>
      <c r="C167" s="56" t="n">
        <f aca="false">(ABS(C64-E64)/C64)*100</f>
        <v>1.69491525423729</v>
      </c>
      <c r="D167" s="29" t="n">
        <f aca="false">(ABS(D64-F64)/D64)*100</f>
        <v>0.0208790722099549</v>
      </c>
      <c r="E167" s="57"/>
      <c r="F167" s="56" t="n">
        <f aca="false">(ABS(C64-G64)/C64)*100</f>
        <v>0.513610683102209</v>
      </c>
      <c r="G167" s="29" t="n">
        <f aca="false">(ABS(D64-H64)/D64)*100</f>
        <v>0.00632699157877421</v>
      </c>
      <c r="H167" s="57"/>
      <c r="I167" s="58" t="n">
        <f aca="false">(ABS(C64-I64)/C64)*100</f>
        <v>100</v>
      </c>
      <c r="J167" s="29" t="n">
        <f aca="false">(ABS(D64-J64)/D64)*100</f>
        <v>1.23186526038734</v>
      </c>
      <c r="K167" s="53"/>
      <c r="L167" s="58" t="n">
        <f aca="false">(ABS(C64-K64)/C64)*100</f>
        <v>0.359527478171546</v>
      </c>
      <c r="M167" s="29" t="n">
        <f aca="false">(ABS(D64-L64)/D64)*100</f>
        <v>0.00442889410514195</v>
      </c>
      <c r="N167" s="53"/>
    </row>
    <row r="168" customFormat="false" ht="15" hidden="false" customHeight="false" outlineLevel="0" collapsed="false">
      <c r="A168" s="49"/>
      <c r="B168" s="55" t="n">
        <v>61</v>
      </c>
      <c r="C168" s="56" t="n">
        <f aca="false">(ABS(C65-E65)/C65)*100</f>
        <v>2.77078085642317</v>
      </c>
      <c r="D168" s="29" t="n">
        <f aca="false">(ABS(D65-F65)/D65)*100</f>
        <v>0.0348068221371389</v>
      </c>
      <c r="E168" s="57"/>
      <c r="F168" s="56" t="n">
        <f aca="false">(ABS(C65-G65)/C65)*100</f>
        <v>0.100755667506297</v>
      </c>
      <c r="G168" s="29" t="n">
        <f aca="false">(ABS(D65-H65)/D65)*100</f>
        <v>0.00126570262316869</v>
      </c>
      <c r="H168" s="57"/>
      <c r="I168" s="58" t="n">
        <f aca="false">(ABS(C65-I65)/C65)*100</f>
        <v>96.6750629722922</v>
      </c>
      <c r="J168" s="29" t="n">
        <f aca="false">(ABS(D65-J65)/D65)*100</f>
        <v>1.21444166693035</v>
      </c>
      <c r="K168" s="53"/>
      <c r="L168" s="58" t="n">
        <f aca="false">(ABS(C65-K65)/C65)*100</f>
        <v>0</v>
      </c>
      <c r="M168" s="29" t="n">
        <f aca="false">(ABS(D65-L65)/D65)*100</f>
        <v>0</v>
      </c>
      <c r="N168" s="53"/>
    </row>
    <row r="169" customFormat="false" ht="15" hidden="false" customHeight="false" outlineLevel="0" collapsed="false">
      <c r="A169" s="49"/>
      <c r="B169" s="55" t="n">
        <v>62</v>
      </c>
      <c r="C169" s="56" t="n">
        <f aca="false">(ABS(C66-E66)/C66)*100</f>
        <v>1.42366224840452</v>
      </c>
      <c r="D169" s="29" t="n">
        <f aca="false">(ABS(D66-F66)/D66)*100</f>
        <v>0.0183587295759133</v>
      </c>
      <c r="E169" s="57"/>
      <c r="F169" s="56" t="n">
        <f aca="false">(ABS(C66-G66)/C66)*100</f>
        <v>0.147275405007364</v>
      </c>
      <c r="G169" s="29" t="n">
        <f aca="false">(ABS(D66-H66)/D66)*100</f>
        <v>0.00189917892164621</v>
      </c>
      <c r="H169" s="57"/>
      <c r="I169" s="58" t="n">
        <f aca="false">(ABS(C66-I66)/C66)*100</f>
        <v>98.4290623465881</v>
      </c>
      <c r="J169" s="29" t="n">
        <f aca="false">(ABS(D66-J66)/D66)*100</f>
        <v>1.26928457930022</v>
      </c>
      <c r="K169" s="53"/>
      <c r="L169" s="58" t="n">
        <f aca="false">(ABS(C66-K66)/C66)*100</f>
        <v>0</v>
      </c>
      <c r="M169" s="29" t="n">
        <f aca="false">(ABS(D66-L66)/D66)*100</f>
        <v>0</v>
      </c>
      <c r="N169" s="53"/>
    </row>
    <row r="170" customFormat="false" ht="15" hidden="false" customHeight="false" outlineLevel="0" collapsed="false">
      <c r="A170" s="49"/>
      <c r="B170" s="55" t="n">
        <v>63</v>
      </c>
      <c r="C170" s="56" t="n">
        <f aca="false">(ABS(C67-E67)/C67)*100</f>
        <v>1.85449358059914</v>
      </c>
      <c r="D170" s="29" t="n">
        <f aca="false">(ABS(D67-F67)/D67)*100</f>
        <v>0.0246996459717411</v>
      </c>
      <c r="E170" s="57"/>
      <c r="F170" s="56" t="n">
        <f aca="false">(ABS(C67-G67)/C67)*100</f>
        <v>0.523062291963861</v>
      </c>
      <c r="G170" s="29" t="n">
        <f aca="false">(ABS(D67-H67)/D67)*100</f>
        <v>0.00696656681254235</v>
      </c>
      <c r="H170" s="57"/>
      <c r="I170" s="58" t="n">
        <f aca="false">(ABS(C67-I67)/C67)*100</f>
        <v>75.2258678078935</v>
      </c>
      <c r="J170" s="29" t="n">
        <f aca="false">(ABS(D67-J67)/D67)*100</f>
        <v>1.00191897249473</v>
      </c>
      <c r="K170" s="53"/>
      <c r="L170" s="58" t="n">
        <f aca="false">(ABS(C67-K67)/C67)*100</f>
        <v>0.237755587256301</v>
      </c>
      <c r="M170" s="29" t="n">
        <f aca="false">(ABS(D67-L67)/D67)*100</f>
        <v>0.00316662127842834</v>
      </c>
      <c r="N170" s="53"/>
    </row>
    <row r="171" customFormat="false" ht="15" hidden="false" customHeight="false" outlineLevel="0" collapsed="false">
      <c r="A171" s="49"/>
      <c r="B171" s="55" t="n">
        <v>64</v>
      </c>
      <c r="C171" s="56" t="n">
        <f aca="false">(ABS(C68-E68)/C68)*100</f>
        <v>0.546448087431694</v>
      </c>
      <c r="D171" s="29" t="n">
        <f aca="false">(ABS(D68-F68)/D68)*100</f>
        <v>0.00760436997794733</v>
      </c>
      <c r="E171" s="57"/>
      <c r="F171" s="56" t="n">
        <f aca="false">(ABS(C68-G68)/C68)*100</f>
        <v>0.273224043715847</v>
      </c>
      <c r="G171" s="29" t="n">
        <f aca="false">(ABS(D68-H68)/D68)*100</f>
        <v>0.00380218498897366</v>
      </c>
      <c r="H171" s="57"/>
      <c r="I171" s="58" t="n">
        <f aca="false">(ABS(C68-I68)/C68)*100</f>
        <v>98.5428051001822</v>
      </c>
      <c r="J171" s="29" t="n">
        <f aca="false">(ABS(D68-J68)/D68)*100</f>
        <v>1.37132138602317</v>
      </c>
      <c r="K171" s="53"/>
      <c r="L171" s="58" t="n">
        <f aca="false">(ABS(C68-K68)/C68)*100</f>
        <v>0.500910746812386</v>
      </c>
      <c r="M171" s="29" t="n">
        <f aca="false">(ABS(D68-L68)/D68)*100</f>
        <v>0.00697067247978505</v>
      </c>
      <c r="N171" s="53"/>
    </row>
    <row r="172" customFormat="false" ht="15" hidden="false" customHeight="false" outlineLevel="0" collapsed="false">
      <c r="A172" s="49"/>
      <c r="B172" s="55" t="n">
        <v>65</v>
      </c>
      <c r="C172" s="56" t="n">
        <f aca="false">(ABS(C69-E69)/C69)*100</f>
        <v>1.01738024586689</v>
      </c>
      <c r="D172" s="29" t="n">
        <f aca="false">(ABS(D69-F69)/D69)*100</f>
        <v>0.0152244657164063</v>
      </c>
      <c r="E172" s="57"/>
      <c r="F172" s="56" t="n">
        <f aca="false">(ABS(C69-G69)/C69)*100</f>
        <v>0.339126748622298</v>
      </c>
      <c r="G172" s="29" t="n">
        <f aca="false">(ABS(D69-H69)/D69)*100</f>
        <v>0.00507482190546876</v>
      </c>
      <c r="H172" s="57"/>
      <c r="I172" s="58" t="n">
        <f aca="false">(ABS(C69-I69)/C69)*100</f>
        <v>98.1771937261552</v>
      </c>
      <c r="J172" s="29" t="n">
        <f aca="false">(ABS(D69-J69)/D69)*100</f>
        <v>1.4691609416332</v>
      </c>
      <c r="K172" s="53"/>
      <c r="L172" s="58" t="n">
        <f aca="false">(ABS(C69-K69)/C69)*100</f>
        <v>0.29673590504451</v>
      </c>
      <c r="M172" s="29" t="n">
        <f aca="false">(ABS(D69-L69)/D69)*100</f>
        <v>0.00444046916728516</v>
      </c>
      <c r="N172" s="53"/>
    </row>
    <row r="173" customFormat="false" ht="15" hidden="false" customHeight="false" outlineLevel="0" collapsed="false">
      <c r="A173" s="49"/>
      <c r="B173" s="55" t="n">
        <v>66</v>
      </c>
      <c r="C173" s="56" t="n">
        <f aca="false">(ABS(C70-E70)/C70)*100</f>
        <v>1.12812248186946</v>
      </c>
      <c r="D173" s="29" t="n">
        <f aca="false">(ABS(D70-F70)/D70)*100</f>
        <v>0.017775746263919</v>
      </c>
      <c r="E173" s="57"/>
      <c r="F173" s="56" t="n">
        <f aca="false">(ABS(C70-G70)/C70)*100</f>
        <v>0.120870265914585</v>
      </c>
      <c r="G173" s="29" t="n">
        <f aca="false">(ABS(D70-H70)/D70)*100</f>
        <v>0.00190454424256275</v>
      </c>
      <c r="H173" s="57"/>
      <c r="I173" s="58" t="n">
        <f aca="false">(ABS(C70-I70)/C70)*100</f>
        <v>98.2675261885576</v>
      </c>
      <c r="J173" s="29" t="n">
        <f aca="false">(ABS(D70-J70)/D70)*100</f>
        <v>1.54839446920352</v>
      </c>
      <c r="K173" s="53"/>
      <c r="L173" s="58" t="n">
        <f aca="false">(ABS(C70-K70)/C70)*100</f>
        <v>0.282030620467365</v>
      </c>
      <c r="M173" s="29" t="n">
        <f aca="false">(ABS(D70-L70)/D70)*100</f>
        <v>0.00444393656597976</v>
      </c>
      <c r="N173" s="53"/>
    </row>
    <row r="174" customFormat="false" ht="15" hidden="false" customHeight="false" outlineLevel="0" collapsed="false">
      <c r="A174" s="49"/>
      <c r="B174" s="55" t="n">
        <v>67</v>
      </c>
      <c r="C174" s="56" t="n">
        <f aca="false">(ABS(C71-E71)/C71)*100</f>
        <v>1.69358014966522</v>
      </c>
      <c r="D174" s="29" t="n">
        <f aca="false">(ABS(D71-F71)/D71)*100</f>
        <v>0.0273083493690501</v>
      </c>
      <c r="E174" s="57"/>
      <c r="F174" s="56" t="n">
        <f aca="false">(ABS(C71-G71)/C71)*100</f>
        <v>0.275699094131548</v>
      </c>
      <c r="G174" s="29" t="n">
        <f aca="false">(ABS(D71-H71)/D71)*100</f>
        <v>0.00444554524612444</v>
      </c>
      <c r="H174" s="57"/>
      <c r="I174" s="58" t="n">
        <f aca="false">(ABS(C71-I71)/C71)*100</f>
        <v>98.779046868846</v>
      </c>
      <c r="J174" s="29" t="n">
        <f aca="false">(ABS(D71-J71)/D71)*100</f>
        <v>1.59277535389716</v>
      </c>
      <c r="K174" s="53"/>
      <c r="L174" s="58" t="n">
        <f aca="false">(ABS(C71-K71)/C71)*100</f>
        <v>0.157542339503742</v>
      </c>
      <c r="M174" s="29" t="n">
        <f aca="false">(ABS(D71-L71)/D71)*100</f>
        <v>0.00254031156921396</v>
      </c>
      <c r="N174" s="53"/>
    </row>
    <row r="175" customFormat="false" ht="15" hidden="false" customHeight="false" outlineLevel="0" collapsed="false">
      <c r="A175" s="49"/>
      <c r="B175" s="55" t="n">
        <v>68</v>
      </c>
      <c r="C175" s="56" t="n">
        <f aca="false">(ABS(C72-E72)/C72)*100</f>
        <v>2.27887215140981</v>
      </c>
      <c r="D175" s="29" t="n">
        <f aca="false">(ABS(D72-F72)/D72)*100</f>
        <v>0.0374814974811163</v>
      </c>
      <c r="E175" s="57"/>
      <c r="F175" s="56" t="n">
        <f aca="false">(ABS(C72-G72)/C72)*100</f>
        <v>0.0772499034376207</v>
      </c>
      <c r="G175" s="29" t="n">
        <f aca="false">(ABS(D72-H72)/D72)*100</f>
        <v>0.00127055923664801</v>
      </c>
      <c r="H175" s="57"/>
      <c r="I175" s="58" t="n">
        <f aca="false">(ABS(C72-I72)/C72)*100</f>
        <v>88.4511394360757</v>
      </c>
      <c r="J175" s="29" t="n">
        <f aca="false">(ABS(D72-J72)/D72)*100</f>
        <v>1.45479032596197</v>
      </c>
      <c r="K175" s="53"/>
      <c r="L175" s="58" t="n">
        <f aca="false">(ABS(C72-K72)/C72)*100</f>
        <v>0.0386249517188104</v>
      </c>
      <c r="M175" s="29" t="n">
        <f aca="false">(ABS(D72-L72)/D72)*100</f>
        <v>0.000635279618324005</v>
      </c>
      <c r="N175" s="53"/>
    </row>
    <row r="176" customFormat="false" ht="15" hidden="false" customHeight="false" outlineLevel="0" collapsed="false">
      <c r="A176" s="49"/>
      <c r="B176" s="55" t="n">
        <v>69</v>
      </c>
      <c r="C176" s="56" t="n">
        <f aca="false">(ABS(C73-E73)/C73)*100</f>
        <v>0.574492531597089</v>
      </c>
      <c r="D176" s="29" t="n">
        <f aca="false">(ABS(D73-F73)/D73)*100</f>
        <v>0.00953052627566094</v>
      </c>
      <c r="E176" s="57"/>
      <c r="F176" s="56" t="n">
        <f aca="false">(ABS(C73-G73)/C73)*100</f>
        <v>0.382995021064726</v>
      </c>
      <c r="G176" s="29" t="n">
        <f aca="false">(ABS(D73-H73)/D73)*100</f>
        <v>0.00635368418377396</v>
      </c>
      <c r="H176" s="57"/>
      <c r="I176" s="58" t="n">
        <f aca="false">(ABS(C73-I73)/C73)*100</f>
        <v>99.4255074684029</v>
      </c>
      <c r="J176" s="29" t="n">
        <f aca="false">(ABS(D73-J73)/D73)*100</f>
        <v>1.64941641410772</v>
      </c>
      <c r="K176" s="53"/>
      <c r="L176" s="58" t="n">
        <f aca="false">(ABS(C73-K73)/C73)*100</f>
        <v>0</v>
      </c>
      <c r="M176" s="29" t="n">
        <f aca="false">(ABS(D73-L73)/D73)*100</f>
        <v>0</v>
      </c>
      <c r="N176" s="53"/>
    </row>
    <row r="177" customFormat="false" ht="15" hidden="false" customHeight="false" outlineLevel="0" collapsed="false">
      <c r="A177" s="49"/>
      <c r="B177" s="55" t="n">
        <v>70</v>
      </c>
      <c r="C177" s="56" t="n">
        <f aca="false">(ABS(C74-E74)/C74)*100</f>
        <v>1.41329258976318</v>
      </c>
      <c r="D177" s="29" t="n">
        <f aca="false">(ABS(D74-F74)/D74)*100</f>
        <v>0.0235096770914082</v>
      </c>
      <c r="E177" s="57"/>
      <c r="F177" s="56" t="n">
        <f aca="false">(ABS(C74-G74)/C74)*100</f>
        <v>0.229182582123759</v>
      </c>
      <c r="G177" s="29" t="n">
        <f aca="false">(ABS(D74-H74)/D74)*100</f>
        <v>0.003812380068877</v>
      </c>
      <c r="H177" s="57"/>
      <c r="I177" s="58" t="n">
        <f aca="false">(ABS(C74-I74)/C74)*100</f>
        <v>91.5584415584416</v>
      </c>
      <c r="J177" s="29" t="n">
        <f aca="false">(ABS(D74-J74)/D74)*100</f>
        <v>1.52304583751636</v>
      </c>
      <c r="K177" s="53"/>
      <c r="L177" s="58" t="n">
        <f aca="false">(ABS(C74-K74)/C74)*100</f>
        <v>0.0763941940412529</v>
      </c>
      <c r="M177" s="29" t="n">
        <f aca="false">(ABS(D74-L74)/D74)*100</f>
        <v>0.00127079335629233</v>
      </c>
      <c r="N177" s="53"/>
    </row>
    <row r="178" customFormat="false" ht="15" hidden="false" customHeight="false" outlineLevel="0" collapsed="false">
      <c r="A178" s="49"/>
      <c r="B178" s="55" t="n">
        <v>71</v>
      </c>
      <c r="C178" s="56" t="n">
        <f aca="false">(ABS(C75-E75)/C75)*100</f>
        <v>3.56458413185128</v>
      </c>
      <c r="D178" s="29" t="n">
        <f aca="false">(ABS(D75-F75)/D75)*100</f>
        <v>0.0590885120496089</v>
      </c>
      <c r="E178" s="57"/>
      <c r="F178" s="56" t="n">
        <f aca="false">(ABS(C75-G75)/C75)*100</f>
        <v>0.0383288616328095</v>
      </c>
      <c r="G178" s="29" t="n">
        <f aca="false">(ABS(D75-H75)/D75)*100</f>
        <v>0.000635360344619451</v>
      </c>
      <c r="H178" s="57"/>
      <c r="I178" s="58" t="n">
        <f aca="false">(ABS(C75-I75)/C75)*100</f>
        <v>98.7351475661173</v>
      </c>
      <c r="J178" s="29" t="n">
        <f aca="false">(ABS(D75-J75)/D75)*100</f>
        <v>1.63668824773971</v>
      </c>
      <c r="K178" s="53"/>
      <c r="L178" s="58" t="n">
        <f aca="false">(ABS(C75-K75)/C75)*100</f>
        <v>0.114986584898429</v>
      </c>
      <c r="M178" s="29" t="n">
        <f aca="false">(ABS(D75-L75)/D75)*100</f>
        <v>0.00190608103385835</v>
      </c>
      <c r="N178" s="53"/>
    </row>
    <row r="179" customFormat="false" ht="15" hidden="false" customHeight="false" outlineLevel="0" collapsed="false">
      <c r="A179" s="49"/>
      <c r="B179" s="55" t="n">
        <v>72</v>
      </c>
      <c r="C179" s="56" t="n">
        <f aca="false">(ABS(C76-E76)/C76)*100</f>
        <v>1.46153846153846</v>
      </c>
      <c r="D179" s="29" t="n">
        <f aca="false">(ABS(D76-F76)/D76)*100</f>
        <v>0.0241423125794155</v>
      </c>
      <c r="E179" s="57"/>
      <c r="F179" s="56" t="n">
        <f aca="false">(ABS(C76-G76)/C76)*100</f>
        <v>0.230769230769231</v>
      </c>
      <c r="G179" s="29" t="n">
        <f aca="false">(ABS(D76-H76)/D76)*100</f>
        <v>0.00381194409148666</v>
      </c>
      <c r="H179" s="57"/>
      <c r="I179" s="58" t="n">
        <f aca="false">(ABS(C76-I76)/C76)*100</f>
        <v>94.6538461538462</v>
      </c>
      <c r="J179" s="29" t="n">
        <f aca="false">(ABS(D76-J76)/D76)*100</f>
        <v>1.56353240152478</v>
      </c>
      <c r="K179" s="53"/>
      <c r="L179" s="58" t="n">
        <f aca="false">(ABS(C76-K76)/C76)*100</f>
        <v>0.192307692307692</v>
      </c>
      <c r="M179" s="29" t="n">
        <f aca="false">(ABS(D76-L76)/D76)*100</f>
        <v>0.00317662007623888</v>
      </c>
      <c r="N179" s="53"/>
    </row>
    <row r="180" customFormat="false" ht="15" hidden="false" customHeight="false" outlineLevel="0" collapsed="false">
      <c r="A180" s="49"/>
      <c r="B180" s="55" t="n">
        <v>73</v>
      </c>
      <c r="C180" s="56" t="n">
        <f aca="false">(ABS(C77-E77)/C77)*100</f>
        <v>0.0390015600624025</v>
      </c>
      <c r="D180" s="29" t="n">
        <f aca="false">(ABS(D77-F77)/D77)*100</f>
        <v>0.000635178739297238</v>
      </c>
      <c r="E180" s="57"/>
      <c r="F180" s="56" t="n">
        <f aca="false">(ABS(C77-G77)/C77)*100</f>
        <v>0.195007800312012</v>
      </c>
      <c r="G180" s="29" t="n">
        <f aca="false">(ABS(D77-H77)/D77)*100</f>
        <v>0.00317589369648619</v>
      </c>
      <c r="H180" s="57"/>
      <c r="I180" s="58" t="n">
        <f aca="false">(ABS(C77-I77)/C77)*100</f>
        <v>99.8439937597504</v>
      </c>
      <c r="J180" s="29" t="n">
        <f aca="false">(ABS(D77-J77)/D77)*100</f>
        <v>1.62605757260093</v>
      </c>
      <c r="K180" s="53"/>
      <c r="L180" s="58" t="n">
        <f aca="false">(ABS(C77-K77)/C77)*100</f>
        <v>0.0390015600624025</v>
      </c>
      <c r="M180" s="29" t="n">
        <f aca="false">(ABS(D77-L77)/D77)*100</f>
        <v>0.000635178739297238</v>
      </c>
      <c r="N180" s="53"/>
    </row>
    <row r="181" customFormat="false" ht="15" hidden="false" customHeight="false" outlineLevel="0" collapsed="false">
      <c r="A181" s="49"/>
      <c r="B181" s="55" t="n">
        <v>74</v>
      </c>
      <c r="C181" s="56" t="n">
        <f aca="false">(ABS(C78-E78)/C78)*100</f>
        <v>0.593354430379747</v>
      </c>
      <c r="D181" s="29" t="n">
        <f aca="false">(ABS(D78-F78)/D78)*100</f>
        <v>0.00952550294655558</v>
      </c>
      <c r="E181" s="57"/>
      <c r="F181" s="56" t="n">
        <f aca="false">(ABS(C78-G78)/C78)*100</f>
        <v>0.0395569620253165</v>
      </c>
      <c r="G181" s="29" t="n">
        <f aca="false">(ABS(D78-H78)/D78)*100</f>
        <v>0.000635033529770372</v>
      </c>
      <c r="H181" s="57"/>
      <c r="I181" s="58" t="n">
        <f aca="false">(ABS(C78-I78)/C78)*100</f>
        <v>99.4066455696203</v>
      </c>
      <c r="J181" s="29" t="n">
        <f aca="false">(ABS(D78-J78)/D78)*100</f>
        <v>1.59583926031294</v>
      </c>
      <c r="K181" s="53"/>
      <c r="L181" s="58" t="n">
        <f aca="false">(ABS(C78-K78)/C78)*100</f>
        <v>0.158227848101266</v>
      </c>
      <c r="M181" s="29" t="n">
        <f aca="false">(ABS(D78-L78)/D78)*100</f>
        <v>0.00254013411908149</v>
      </c>
      <c r="N181" s="53"/>
    </row>
    <row r="182" customFormat="false" ht="15" hidden="false" customHeight="false" outlineLevel="0" collapsed="false">
      <c r="A182" s="49"/>
      <c r="B182" s="55" t="n">
        <v>75</v>
      </c>
      <c r="C182" s="56" t="n">
        <f aca="false">(ABS(C79-E79)/C79)*100</f>
        <v>1.88906752411576</v>
      </c>
      <c r="D182" s="29" t="n">
        <f aca="false">(ABS(D79-F79)/D79)*100</f>
        <v>0.0298389963939255</v>
      </c>
      <c r="E182" s="57"/>
      <c r="F182" s="56" t="n">
        <f aca="false">(ABS(C79-G79)/C79)*100</f>
        <v>0.241157556270097</v>
      </c>
      <c r="G182" s="29" t="n">
        <f aca="false">(ABS(D79-H79)/D79)*100</f>
        <v>0.00380923358220326</v>
      </c>
      <c r="H182" s="57"/>
      <c r="I182" s="58" t="n">
        <f aca="false">(ABS(C79-I79)/C79)*100</f>
        <v>97.7491961414791</v>
      </c>
      <c r="J182" s="29" t="n">
        <f aca="false">(ABS(D79-J79)/D79)*100</f>
        <v>1.54400934531972</v>
      </c>
      <c r="K182" s="53"/>
      <c r="L182" s="58" t="n">
        <f aca="false">(ABS(C79-K79)/C79)*100</f>
        <v>0</v>
      </c>
      <c r="M182" s="29" t="n">
        <f aca="false">(ABS(D79-L79)/D79)*100</f>
        <v>0</v>
      </c>
      <c r="N182" s="53"/>
    </row>
    <row r="183" customFormat="false" ht="15" hidden="false" customHeight="false" outlineLevel="0" collapsed="false">
      <c r="A183" s="49"/>
      <c r="B183" s="55" t="n">
        <v>76</v>
      </c>
      <c r="C183" s="56" t="n">
        <f aca="false">(ABS(C80-E80)/C80)*100</f>
        <v>1.39573070607553</v>
      </c>
      <c r="D183" s="29" t="n">
        <f aca="false">(ABS(D80-F80)/D80)*100</f>
        <v>0.0215785331674748</v>
      </c>
      <c r="E183" s="57"/>
      <c r="F183" s="56" t="n">
        <f aca="false">(ABS(C80-G80)/C80)*100</f>
        <v>0.0410509031198686</v>
      </c>
      <c r="G183" s="29" t="n">
        <f aca="false">(ABS(D80-H80)/D80)*100</f>
        <v>0.000634662740219847</v>
      </c>
      <c r="H183" s="57"/>
      <c r="I183" s="58" t="n">
        <f aca="false">(ABS(C80-I80)/C80)*100</f>
        <v>99.9178981937603</v>
      </c>
      <c r="J183" s="29" t="n">
        <f aca="false">(ABS(D80-J80)/D80)*100</f>
        <v>1.54476910969511</v>
      </c>
      <c r="K183" s="53"/>
      <c r="L183" s="58" t="n">
        <f aca="false">(ABS(C80-K80)/C80)*100</f>
        <v>0.123152709359606</v>
      </c>
      <c r="M183" s="29" t="n">
        <f aca="false">(ABS(D80-L80)/D80)*100</f>
        <v>0.00190398822065954</v>
      </c>
      <c r="N183" s="53"/>
    </row>
    <row r="184" customFormat="false" ht="15" hidden="false" customHeight="false" outlineLevel="0" collapsed="false">
      <c r="A184" s="49"/>
      <c r="B184" s="55" t="n">
        <v>77</v>
      </c>
      <c r="C184" s="56" t="n">
        <f aca="false">(ABS(C81-E81)/C81)*100</f>
        <v>0.0422119037568594</v>
      </c>
      <c r="D184" s="29" t="n">
        <f aca="false">(ABS(D81-F81)/D81)*100</f>
        <v>0.000634392981076057</v>
      </c>
      <c r="E184" s="57"/>
      <c r="F184" s="56" t="n">
        <f aca="false">(ABS(C81-G81)/C81)*100</f>
        <v>0.337695230054875</v>
      </c>
      <c r="G184" s="29" t="n">
        <f aca="false">(ABS(D81-H81)/D81)*100</f>
        <v>0.00507514384860846</v>
      </c>
      <c r="H184" s="57"/>
      <c r="I184" s="58" t="n">
        <f aca="false">(ABS(C81-I81)/C81)*100</f>
        <v>99.704516673702</v>
      </c>
      <c r="J184" s="29" t="n">
        <f aca="false">(ABS(D81-J81)/D81)*100</f>
        <v>1.49843622130165</v>
      </c>
      <c r="K184" s="53"/>
      <c r="L184" s="58" t="n">
        <f aca="false">(ABS(C81-K81)/C81)*100</f>
        <v>0.168847615027438</v>
      </c>
      <c r="M184" s="29" t="n">
        <f aca="false">(ABS(D81-L81)/D81)*100</f>
        <v>0.00253757192430423</v>
      </c>
      <c r="N184" s="53"/>
    </row>
    <row r="185" customFormat="false" ht="15" hidden="false" customHeight="false" outlineLevel="0" collapsed="false">
      <c r="A185" s="49"/>
      <c r="B185" s="55" t="n">
        <v>78</v>
      </c>
      <c r="C185" s="56" t="n">
        <f aca="false">(ABS(C82-E82)/C82)*100</f>
        <v>0.217580504786771</v>
      </c>
      <c r="D185" s="29" t="n">
        <f aca="false">(ABS(D82-F82)/D82)*100</f>
        <v>0.00317053683529695</v>
      </c>
      <c r="E185" s="57"/>
      <c r="F185" s="56" t="n">
        <f aca="false">(ABS(C82-G82)/C82)*100</f>
        <v>0.130548302872063</v>
      </c>
      <c r="G185" s="29" t="n">
        <f aca="false">(ABS(D82-H82)/D82)*100</f>
        <v>0.00190232210117817</v>
      </c>
      <c r="H185" s="57"/>
      <c r="I185" s="58" t="n">
        <f aca="false">(ABS(C82-I82)/C82)*100</f>
        <v>99.260226283725</v>
      </c>
      <c r="J185" s="29" t="n">
        <f aca="false">(ABS(D82-J82)/D82)*100</f>
        <v>1.44639890426247</v>
      </c>
      <c r="K185" s="53"/>
      <c r="L185" s="58" t="n">
        <f aca="false">(ABS(C82-K82)/C82)*100</f>
        <v>0.130548302872063</v>
      </c>
      <c r="M185" s="29" t="n">
        <f aca="false">(ABS(D82-L82)/D82)*100</f>
        <v>0.00190232210117817</v>
      </c>
      <c r="N185" s="53"/>
    </row>
    <row r="186" customFormat="false" ht="15" hidden="false" customHeight="false" outlineLevel="0" collapsed="false">
      <c r="A186" s="49"/>
      <c r="B186" s="55" t="n">
        <v>79</v>
      </c>
      <c r="C186" s="56" t="n">
        <f aca="false">(ABS(C83-E83)/C83)*100</f>
        <v>1.12561909049978</v>
      </c>
      <c r="D186" s="29" t="n">
        <f aca="false">(ABS(D83-F83)/D83)*100</f>
        <v>0.0158449476799828</v>
      </c>
      <c r="E186" s="57"/>
      <c r="F186" s="56" t="n">
        <f aca="false">(ABS(C83-G83)/C83)*100</f>
        <v>0.225123818099955</v>
      </c>
      <c r="G186" s="29" t="n">
        <f aca="false">(ABS(D83-H83)/D83)*100</f>
        <v>0.00316898953599655</v>
      </c>
      <c r="H186" s="57"/>
      <c r="I186" s="58" t="n">
        <f aca="false">(ABS(C83-I83)/C83)*100</f>
        <v>91.5353444394417</v>
      </c>
      <c r="J186" s="29" t="n">
        <f aca="false">(ABS(D83-J83)/D83)*100</f>
        <v>1.2885111453362</v>
      </c>
      <c r="K186" s="53"/>
      <c r="L186" s="58" t="n">
        <f aca="false">(ABS(C83-K83)/C83)*100</f>
        <v>0.090049527239982</v>
      </c>
      <c r="M186" s="29" t="n">
        <f aca="false">(ABS(D83-L83)/D83)*100</f>
        <v>0.00126759581439862</v>
      </c>
      <c r="N186" s="53"/>
    </row>
    <row r="187" customFormat="false" ht="15" hidden="false" customHeight="false" outlineLevel="0" collapsed="false">
      <c r="A187" s="49"/>
      <c r="B187" s="55" t="n">
        <v>80</v>
      </c>
      <c r="C187" s="56" t="n">
        <f aca="false">(ABS(C84-E84)/C84)*100</f>
        <v>1.96629213483146</v>
      </c>
      <c r="D187" s="29" t="n">
        <f aca="false">(ABS(D84-F84)/D84)*100</f>
        <v>0.0266051791415396</v>
      </c>
      <c r="E187" s="57"/>
      <c r="F187" s="56" t="n">
        <f aca="false">(ABS(C84-G84)/C84)*100</f>
        <v>0.374531835205993</v>
      </c>
      <c r="G187" s="29" t="n">
        <f aca="false">(ABS(D84-H84)/D84)*100</f>
        <v>0.00506765316981706</v>
      </c>
      <c r="H187" s="57"/>
      <c r="I187" s="58" t="n">
        <f aca="false">(ABS(C84-I84)/C84)*100</f>
        <v>99.812734082397</v>
      </c>
      <c r="J187" s="29" t="n">
        <f aca="false">(ABS(D84-J84)/D84)*100</f>
        <v>1.35052956975625</v>
      </c>
      <c r="K187" s="53"/>
      <c r="L187" s="58" t="n">
        <f aca="false">(ABS(C84-K84)/C84)*100</f>
        <v>0.280898876404494</v>
      </c>
      <c r="M187" s="29" t="n">
        <f aca="false">(ABS(D84-L84)/D84)*100</f>
        <v>0.00380073987736279</v>
      </c>
      <c r="N187" s="53"/>
    </row>
    <row r="188" customFormat="false" ht="15" hidden="false" customHeight="false" outlineLevel="0" collapsed="false">
      <c r="A188" s="49"/>
      <c r="B188" s="55" t="n">
        <v>81</v>
      </c>
      <c r="C188" s="56" t="n">
        <f aca="false">(ABS(C85-E85)/C85)*100</f>
        <v>1.22428991185113</v>
      </c>
      <c r="D188" s="29" t="n">
        <f aca="false">(ABS(D85-F85)/D85)*100</f>
        <v>0.0158269919852113</v>
      </c>
      <c r="E188" s="57"/>
      <c r="F188" s="56" t="n">
        <f aca="false">(ABS(C85-G85)/C85)*100</f>
        <v>0.146914789422135</v>
      </c>
      <c r="G188" s="29" t="n">
        <f aca="false">(ABS(D85-H85)/D85)*100</f>
        <v>0.00189923903822535</v>
      </c>
      <c r="H188" s="57"/>
      <c r="I188" s="58" t="n">
        <f aca="false">(ABS(C85-I85)/C85)*100</f>
        <v>92.2135161606268</v>
      </c>
      <c r="J188" s="29" t="n">
        <f aca="false">(ABS(D85-J85)/D85)*100</f>
        <v>1.19208903632611</v>
      </c>
      <c r="K188" s="53"/>
      <c r="L188" s="58" t="n">
        <f aca="false">(ABS(C85-K85)/C85)*100</f>
        <v>0</v>
      </c>
      <c r="M188" s="29" t="n">
        <f aca="false">(ABS(D85-L85)/D85)*100</f>
        <v>0</v>
      </c>
      <c r="N188" s="53"/>
    </row>
    <row r="189" customFormat="false" ht="15" hidden="false" customHeight="false" outlineLevel="0" collapsed="false">
      <c r="A189" s="49"/>
      <c r="B189" s="55" t="n">
        <v>82</v>
      </c>
      <c r="C189" s="56" t="n">
        <f aca="false">(ABS(C86-E86)/C86)*100</f>
        <v>0.670794633642931</v>
      </c>
      <c r="D189" s="29" t="n">
        <f aca="false">(ABS(D86-F86)/D86)*100</f>
        <v>0.00822462071845225</v>
      </c>
      <c r="E189" s="57"/>
      <c r="F189" s="56" t="n">
        <f aca="false">(ABS(C86-G86)/C86)*100</f>
        <v>0.257997936016512</v>
      </c>
      <c r="G189" s="29" t="n">
        <f aca="false">(ABS(D86-H86)/D86)*100</f>
        <v>0.00316331566094317</v>
      </c>
      <c r="H189" s="57"/>
      <c r="I189" s="58" t="n">
        <f aca="false">(ABS(C86-I86)/C86)*100</f>
        <v>99.8452012383901</v>
      </c>
      <c r="J189" s="29" t="n">
        <f aca="false">(ABS(D86-J86)/D86)*100</f>
        <v>1.22420316078501</v>
      </c>
      <c r="K189" s="53"/>
      <c r="L189" s="58" t="n">
        <f aca="false">(ABS(C86-K86)/C86)*100</f>
        <v>0.0515995872033024</v>
      </c>
      <c r="M189" s="29" t="n">
        <f aca="false">(ABS(D86-L86)/D86)*100</f>
        <v>0.000632663132188635</v>
      </c>
      <c r="N189" s="53"/>
    </row>
    <row r="190" customFormat="false" ht="15" hidden="false" customHeight="false" outlineLevel="0" collapsed="false">
      <c r="A190" s="49"/>
      <c r="B190" s="55" t="n">
        <v>83</v>
      </c>
      <c r="C190" s="56" t="n">
        <f aca="false">(ABS(C87-E87)/C87)*100</f>
        <v>0.272776868521549</v>
      </c>
      <c r="D190" s="29" t="n">
        <f aca="false">(ABS(D87-F87)/D87)*100</f>
        <v>0.00316121567710079</v>
      </c>
      <c r="E190" s="57"/>
      <c r="F190" s="56" t="n">
        <f aca="false">(ABS(C87-G87)/C87)*100</f>
        <v>0.16366612111293</v>
      </c>
      <c r="G190" s="29" t="n">
        <f aca="false">(ABS(D87-H87)/D87)*100</f>
        <v>0.00189672940626047</v>
      </c>
      <c r="H190" s="57"/>
      <c r="I190" s="58" t="n">
        <f aca="false">(ABS(C87-I87)/C87)*100</f>
        <v>100</v>
      </c>
      <c r="J190" s="29" t="n">
        <f aca="false">(ABS(D87-J87)/D87)*100</f>
        <v>1.15890166722515</v>
      </c>
      <c r="K190" s="53"/>
      <c r="L190" s="58" t="n">
        <f aca="false">(ABS(C87-K87)/C87)*100</f>
        <v>0.10911074740862</v>
      </c>
      <c r="M190" s="29" t="n">
        <f aca="false">(ABS(D87-L87)/D87)*100</f>
        <v>0.00126448627084031</v>
      </c>
      <c r="N190" s="53"/>
    </row>
    <row r="191" customFormat="false" ht="15" hidden="false" customHeight="false" outlineLevel="0" collapsed="false">
      <c r="A191" s="49"/>
      <c r="B191" s="55" t="n">
        <v>84</v>
      </c>
      <c r="C191" s="56" t="n">
        <f aca="false">(ABS(C88-E88)/C88)*100</f>
        <v>2.69163253364541</v>
      </c>
      <c r="D191" s="29" t="n">
        <f aca="false">(ABS(D88-F88)/D88)*100</f>
        <v>0.0290604014125882</v>
      </c>
      <c r="E191" s="57"/>
      <c r="F191" s="56" t="n">
        <f aca="false">(ABS(C88-G88)/C88)*100</f>
        <v>0.234055002925688</v>
      </c>
      <c r="G191" s="29" t="n">
        <f aca="false">(ABS(D88-H88)/D88)*100</f>
        <v>0.00252699142718158</v>
      </c>
      <c r="H191" s="57"/>
      <c r="I191" s="58" t="n">
        <f aca="false">(ABS(C88-I88)/C88)*100</f>
        <v>99.7659449970743</v>
      </c>
      <c r="J191" s="29" t="n">
        <f aca="false">(ABS(D88-J88)/D88)*100</f>
        <v>1.07713009583615</v>
      </c>
      <c r="K191" s="53"/>
      <c r="L191" s="58" t="n">
        <f aca="false">(ABS(C88-K88)/C88)*100</f>
        <v>0.0585137507314219</v>
      </c>
      <c r="M191" s="29" t="n">
        <f aca="false">(ABS(D88-L88)/D88)*100</f>
        <v>0.000631747856795396</v>
      </c>
      <c r="N191" s="53"/>
    </row>
    <row r="192" customFormat="false" ht="15" hidden="false" customHeight="false" outlineLevel="0" collapsed="false">
      <c r="A192" s="49"/>
      <c r="B192" s="55" t="n">
        <v>85</v>
      </c>
      <c r="C192" s="56" t="n">
        <f aca="false">(ABS(C89-E89)/C89)*100</f>
        <v>1.70132325141777</v>
      </c>
      <c r="D192" s="29" t="n">
        <f aca="false">(ABS(D89-F89)/D89)*100</f>
        <v>0.0170440557277496</v>
      </c>
      <c r="E192" s="57"/>
      <c r="F192" s="56" t="n">
        <f aca="false">(ABS(C89-G89)/C89)*100</f>
        <v>0.189035916824197</v>
      </c>
      <c r="G192" s="29" t="n">
        <f aca="false">(ABS(D89-H89)/D89)*100</f>
        <v>0.00189378396974996</v>
      </c>
      <c r="H192" s="57"/>
      <c r="I192" s="58" t="n">
        <f aca="false">(ABS(C89-I89)/C89)*100</f>
        <v>99.8109640831758</v>
      </c>
      <c r="J192" s="29" t="n">
        <f aca="false">(ABS(D89-J89)/D89)*100</f>
        <v>0.999917936027978</v>
      </c>
      <c r="K192" s="53"/>
      <c r="L192" s="58" t="n">
        <f aca="false">(ABS(C89-K89)/C89)*100</f>
        <v>0.189035916824197</v>
      </c>
      <c r="M192" s="29" t="n">
        <f aca="false">(ABS(D89-L89)/D89)*100</f>
        <v>0.00189378396974996</v>
      </c>
      <c r="N192" s="53"/>
    </row>
    <row r="193" customFormat="false" ht="15" hidden="false" customHeight="false" outlineLevel="0" collapsed="false">
      <c r="A193" s="49"/>
      <c r="B193" s="55" t="n">
        <v>86</v>
      </c>
      <c r="C193" s="56" t="n">
        <f aca="false">(ABS(C90-E90)/C90)*100</f>
        <v>1.57858613589568</v>
      </c>
      <c r="D193" s="29" t="n">
        <f aca="false">(ABS(D90-F90)/D90)*100</f>
        <v>0.0145071053278921</v>
      </c>
      <c r="E193" s="57"/>
      <c r="F193" s="56" t="n">
        <f aca="false">(ABS(C90-G90)/C90)*100</f>
        <v>0.274536719286205</v>
      </c>
      <c r="G193" s="29" t="n">
        <f aca="false">(ABS(D90-H90)/D90)*100</f>
        <v>0.00252297483963341</v>
      </c>
      <c r="H193" s="57"/>
      <c r="I193" s="58" t="n">
        <f aca="false">(ABS(C90-I90)/C90)*100</f>
        <v>98.2155113246397</v>
      </c>
      <c r="J193" s="29" t="n">
        <f aca="false">(ABS(D90-J90)/D90)*100</f>
        <v>0.902594248878853</v>
      </c>
      <c r="K193" s="53"/>
      <c r="L193" s="58" t="n">
        <f aca="false">(ABS(C90-K90)/C90)*100</f>
        <v>0</v>
      </c>
      <c r="M193" s="29" t="n">
        <f aca="false">(ABS(D90-L90)/D90)*100</f>
        <v>0</v>
      </c>
      <c r="N193" s="53"/>
    </row>
    <row r="194" customFormat="false" ht="15" hidden="false" customHeight="false" outlineLevel="0" collapsed="false">
      <c r="A194" s="49"/>
      <c r="B194" s="55" t="n">
        <v>87</v>
      </c>
      <c r="C194" s="56" t="n">
        <f aca="false">(ABS(C91-E91)/C91)*100</f>
        <v>1.21212121212121</v>
      </c>
      <c r="D194" s="29" t="n">
        <f aca="false">(ABS(D91-F91)/D91)*100</f>
        <v>0.0100831862868667</v>
      </c>
      <c r="E194" s="57"/>
      <c r="F194" s="56" t="n">
        <f aca="false">(ABS(C91-G91)/C91)*100</f>
        <v>0.151515151515152</v>
      </c>
      <c r="G194" s="29" t="n">
        <f aca="false">(ABS(D91-H91)/D91)*100</f>
        <v>0.00126039828585833</v>
      </c>
      <c r="H194" s="57"/>
      <c r="I194" s="58" t="n">
        <f aca="false">(ABS(C91-I91)/C91)*100</f>
        <v>100</v>
      </c>
      <c r="J194" s="29" t="n">
        <f aca="false">(ABS(D91-J91)/D91)*100</f>
        <v>0.831862868666499</v>
      </c>
      <c r="K194" s="53"/>
      <c r="L194" s="58" t="n">
        <f aca="false">(ABS(C91-K91)/C91)*100</f>
        <v>0.681818181818182</v>
      </c>
      <c r="M194" s="29" t="n">
        <f aca="false">(ABS(D91-L91)/D91)*100</f>
        <v>0.00567179228636249</v>
      </c>
      <c r="N194" s="53"/>
    </row>
    <row r="195" customFormat="false" ht="15" hidden="false" customHeight="false" outlineLevel="0" collapsed="false">
      <c r="A195" s="49"/>
      <c r="B195" s="55" t="n">
        <v>88</v>
      </c>
      <c r="C195" s="56" t="n">
        <f aca="false">(ABS(C92-E92)/C92)*100</f>
        <v>1.0230179028133</v>
      </c>
      <c r="D195" s="29" t="n">
        <f aca="false">(ABS(D92-F92)/D92)*100</f>
        <v>0.00755539045628262</v>
      </c>
      <c r="E195" s="57"/>
      <c r="F195" s="56" t="n">
        <f aca="false">(ABS(C92-G92)/C92)*100</f>
        <v>0.170502983802217</v>
      </c>
      <c r="G195" s="29" t="n">
        <f aca="false">(ABS(D92-H92)/D92)*100</f>
        <v>0.00125923174271377</v>
      </c>
      <c r="H195" s="57"/>
      <c r="I195" s="58" t="n">
        <f aca="false">(ABS(C92-I92)/C92)*100</f>
        <v>97.2719522591645</v>
      </c>
      <c r="J195" s="29" t="n">
        <f aca="false">(ABS(D92-J92)/D92)*100</f>
        <v>0.718391709218206</v>
      </c>
      <c r="K195" s="53"/>
      <c r="L195" s="58" t="n">
        <f aca="false">(ABS(C92-K92)/C92)*100</f>
        <v>0.0852514919011083</v>
      </c>
      <c r="M195" s="29" t="n">
        <f aca="false">(ABS(D92-L92)/D92)*100</f>
        <v>0.000629615871356885</v>
      </c>
      <c r="N195" s="53"/>
    </row>
    <row r="196" customFormat="false" ht="15" hidden="false" customHeight="false" outlineLevel="0" collapsed="false">
      <c r="A196" s="49"/>
      <c r="B196" s="55" t="n">
        <v>89</v>
      </c>
      <c r="C196" s="56" t="n">
        <f aca="false">(ABS(C93-E93)/C93)*100</f>
        <v>0.09765625</v>
      </c>
      <c r="D196" s="29" t="n">
        <f aca="false">(ABS(D93-F93)/D93)*100</f>
        <v>0.00062902576489533</v>
      </c>
      <c r="E196" s="57"/>
      <c r="F196" s="56" t="n">
        <f aca="false">(ABS(C93-G93)/C93)*100</f>
        <v>0.68359375</v>
      </c>
      <c r="G196" s="29" t="n">
        <f aca="false">(ABS(D93-H93)/D93)*100</f>
        <v>0.00440318035426731</v>
      </c>
      <c r="H196" s="57"/>
      <c r="I196" s="58" t="n">
        <f aca="false">(ABS(C93-I93)/C93)*100</f>
        <v>100</v>
      </c>
      <c r="J196" s="29" t="n">
        <f aca="false">(ABS(D93-J93)/D93)*100</f>
        <v>0.644122383252818</v>
      </c>
      <c r="K196" s="53"/>
      <c r="L196" s="58" t="n">
        <f aca="false">(ABS(C93-K93)/C93)*100</f>
        <v>0</v>
      </c>
      <c r="M196" s="29" t="n">
        <f aca="false">(ABS(D93-L93)/D93)*100</f>
        <v>0</v>
      </c>
      <c r="N196" s="53"/>
    </row>
    <row r="197" customFormat="false" ht="15" hidden="false" customHeight="false" outlineLevel="0" collapsed="false">
      <c r="A197" s="49"/>
      <c r="B197" s="55" t="n">
        <v>90</v>
      </c>
      <c r="C197" s="56" t="n">
        <f aca="false">(ABS(C94-E94)/C94)*100</f>
        <v>0.345622119815668</v>
      </c>
      <c r="D197" s="29" t="n">
        <f aca="false">(ABS(D94-F94)/D94)*100</f>
        <v>0.00188522735841943</v>
      </c>
      <c r="E197" s="57"/>
      <c r="F197" s="56" t="n">
        <f aca="false">(ABS(C94-G94)/C94)*100</f>
        <v>0.345622119815668</v>
      </c>
      <c r="G197" s="29" t="n">
        <f aca="false">(ABS(D94-H94)/D94)*100</f>
        <v>0.00188522735841943</v>
      </c>
      <c r="H197" s="57"/>
      <c r="I197" s="58" t="n">
        <f aca="false">(ABS(C94-I94)/C94)*100</f>
        <v>87.0967741935484</v>
      </c>
      <c r="J197" s="29" t="n">
        <f aca="false">(ABS(D94-J94)/D94)*100</f>
        <v>0.475077294321695</v>
      </c>
      <c r="K197" s="53"/>
      <c r="L197" s="58" t="n">
        <f aca="false">(ABS(C94-K94)/C94)*100</f>
        <v>0</v>
      </c>
      <c r="M197" s="29" t="n">
        <f aca="false">(ABS(D94-L94)/D94)*100</f>
        <v>0</v>
      </c>
      <c r="N197" s="53"/>
    </row>
    <row r="198" customFormat="false" ht="15" hidden="false" customHeight="false" outlineLevel="0" collapsed="false">
      <c r="A198" s="49"/>
      <c r="B198" s="55" t="n">
        <v>91</v>
      </c>
      <c r="C198" s="56" t="n">
        <f aca="false">(ABS(C95-E95)/C95)*100</f>
        <v>1.28571428571429</v>
      </c>
      <c r="D198" s="29" t="n">
        <f aca="false">(ABS(D95-F95)/D95)*100</f>
        <v>0.00564971751412429</v>
      </c>
      <c r="E198" s="57"/>
      <c r="F198" s="56" t="n">
        <f aca="false">(ABS(C95-G95)/C95)*100</f>
        <v>0.714285714285714</v>
      </c>
      <c r="G198" s="29" t="n">
        <f aca="false">(ABS(D95-H95)/D95)*100</f>
        <v>0.00313873195229127</v>
      </c>
      <c r="H198" s="57"/>
      <c r="I198" s="58" t="n">
        <f aca="false">(ABS(C95-I95)/C95)*100</f>
        <v>99.1428571428571</v>
      </c>
      <c r="J198" s="29" t="n">
        <f aca="false">(ABS(D95-J95)/D95)*100</f>
        <v>0.435655994978029</v>
      </c>
      <c r="K198" s="53"/>
      <c r="L198" s="58" t="n">
        <f aca="false">(ABS(C95-K95)/C95)*100</f>
        <v>0.285714285714286</v>
      </c>
      <c r="M198" s="29" t="n">
        <f aca="false">(ABS(D95-L95)/D95)*100</f>
        <v>0.00125549278091651</v>
      </c>
      <c r="N198" s="53"/>
    </row>
    <row r="199" customFormat="false" ht="15" hidden="false" customHeight="false" outlineLevel="0" collapsed="false">
      <c r="A199" s="49"/>
      <c r="B199" s="55" t="n">
        <v>92</v>
      </c>
      <c r="C199" s="56" t="n">
        <f aca="false">(ABS(C96-E96)/C96)*100</f>
        <v>0.190114068441065</v>
      </c>
      <c r="D199" s="29" t="n">
        <f aca="false">(ABS(D96-F96)/D96)*100</f>
        <v>0.000627061464564757</v>
      </c>
      <c r="E199" s="57"/>
      <c r="F199" s="56" t="n">
        <f aca="false">(ABS(C96-G96)/C96)*100</f>
        <v>0.380228136882129</v>
      </c>
      <c r="G199" s="29" t="n">
        <f aca="false">(ABS(D96-H96)/D96)*100</f>
        <v>0.00125412292912951</v>
      </c>
      <c r="H199" s="57"/>
      <c r="I199" s="58" t="n">
        <f aca="false">(ABS(C96-I96)/C96)*100</f>
        <v>77.5665399239544</v>
      </c>
      <c r="J199" s="29" t="n">
        <f aca="false">(ABS(D96-J96)/D96)*100</f>
        <v>0.255841077542421</v>
      </c>
      <c r="K199" s="53"/>
      <c r="L199" s="58" t="n">
        <f aca="false">(ABS(C96-K96)/C96)*100</f>
        <v>0.760456273764259</v>
      </c>
      <c r="M199" s="29" t="n">
        <f aca="false">(ABS(D96-L96)/D96)*100</f>
        <v>0.00250824585825903</v>
      </c>
      <c r="N199" s="53"/>
    </row>
    <row r="200" customFormat="false" ht="15" hidden="false" customHeight="false" outlineLevel="0" collapsed="false">
      <c r="A200" s="49"/>
      <c r="B200" s="55" t="n">
        <v>93</v>
      </c>
      <c r="C200" s="56" t="n">
        <f aca="false">(ABS(C97-E97)/C97)*100</f>
        <v>3.42857142857143</v>
      </c>
      <c r="D200" s="29" t="n">
        <f aca="false">(ABS(D97-F97)/D97)*100</f>
        <v>0.00751644221735045</v>
      </c>
      <c r="E200" s="57"/>
      <c r="F200" s="56" t="n">
        <f aca="false">(ABS(C97-G97)/C97)*100</f>
        <v>0</v>
      </c>
      <c r="G200" s="29" t="n">
        <f aca="false">(ABS(D97-H97)/D97)*100</f>
        <v>0</v>
      </c>
      <c r="H200" s="57"/>
      <c r="I200" s="58" t="n">
        <f aca="false">(ABS(C97-I97)/C97)*100</f>
        <v>99.1428571428571</v>
      </c>
      <c r="J200" s="29" t="n">
        <f aca="false">(ABS(D97-J97)/D97)*100</f>
        <v>0.217350454118384</v>
      </c>
      <c r="K200" s="53"/>
      <c r="L200" s="58" t="n">
        <f aca="false">(ABS(C97-K97)/C97)*100</f>
        <v>0.857142857142857</v>
      </c>
      <c r="M200" s="29" t="n">
        <f aca="false">(ABS(D97-L97)/D97)*100</f>
        <v>0.00187911055433761</v>
      </c>
      <c r="N200" s="53"/>
    </row>
    <row r="201" customFormat="false" ht="15" hidden="false" customHeight="false" outlineLevel="0" collapsed="false">
      <c r="A201" s="49"/>
      <c r="B201" s="55" t="n">
        <v>94</v>
      </c>
      <c r="C201" s="56" t="n">
        <f aca="false">(ABS(C98-E98)/C98)*100</f>
        <v>2.45398773006135</v>
      </c>
      <c r="D201" s="29" t="n">
        <f aca="false">(ABS(D98-F98)/D98)*100</f>
        <v>0.00250254947227488</v>
      </c>
      <c r="E201" s="59" t="s">
        <v>11</v>
      </c>
      <c r="F201" s="56" t="n">
        <f aca="false">(ABS(C98-G98)/C98)*100</f>
        <v>0.613496932515337</v>
      </c>
      <c r="G201" s="29" t="n">
        <f aca="false">(ABS(D98-H98)/D98)*100</f>
        <v>0.00062563736806872</v>
      </c>
      <c r="H201" s="59" t="s">
        <v>11</v>
      </c>
      <c r="I201" s="58" t="n">
        <f aca="false">(ABS(C98-I98)/C98)*100</f>
        <v>100</v>
      </c>
      <c r="J201" s="29" t="n">
        <f aca="false">(ABS(D98-J98)/D98)*100</f>
        <v>0.101978890995201</v>
      </c>
      <c r="K201" s="59" t="s">
        <v>11</v>
      </c>
      <c r="L201" s="58" t="n">
        <f aca="false">(ABS(C98-K98)/C98)*100</f>
        <v>0.613496932515337</v>
      </c>
      <c r="M201" s="29" t="n">
        <f aca="false">(ABS(D98-L98)/D98)*100</f>
        <v>0.00062563736806872</v>
      </c>
      <c r="N201" s="59" t="s">
        <v>11</v>
      </c>
    </row>
    <row r="202" customFormat="false" ht="15" hidden="false" customHeight="false" outlineLevel="0" collapsed="false">
      <c r="A202" s="49"/>
      <c r="B202" s="60" t="s">
        <v>8</v>
      </c>
      <c r="C202" s="61" t="n">
        <f aca="false">(ABS(SUM(C4:C98)-SUM(E4:E98))/SUM(C4:C98))*100</f>
        <v>1.44852502560524</v>
      </c>
      <c r="D202" s="31" t="n">
        <f aca="false">(ABS(SUM(D4:D98)-SUM(F4:F98))/SUM(D4:D98))*100</f>
        <v>0.0171345243891382</v>
      </c>
      <c r="E202" s="62" t="n">
        <f aca="false">SUM(C107:D201)/(95*2)</f>
        <v>0.771576037330912</v>
      </c>
      <c r="F202" s="63" t="n">
        <f aca="false">(ABS(SUM(C4:C98)-SUM(G4:G98))/SUM(C4:C98))*100</f>
        <v>0.140125381264843</v>
      </c>
      <c r="G202" s="64" t="n">
        <f aca="false">(ABS(SUM(D4:D98)-SUM(H4:H98))/SUM(D4:D98))*100</f>
        <v>0.00165753557610545</v>
      </c>
      <c r="H202" s="62" t="n">
        <f aca="false">SUM(F107:G201)/(95*2)</f>
        <v>0.132999136227296</v>
      </c>
      <c r="I202" s="64" t="n">
        <f aca="false">(ABS(SUM(C4:C98)-SUM(I4:I98))/SUM(C4:C98))*100</f>
        <v>96.2453150851445</v>
      </c>
      <c r="J202" s="64" t="n">
        <f aca="false">(ABS(SUM(D4:D98)-SUM(J4:J98))/SUM(D4:D98))*100</f>
        <v>1.13848064031731</v>
      </c>
      <c r="K202" s="33" t="n">
        <f aca="false">SUM(I107:J201)/(95*2)</f>
        <v>48.1626781053814</v>
      </c>
      <c r="L202" s="64" t="n">
        <f aca="false">(ABS(SUM(C4:C98)-SUM(K4:K98))/SUM(C4:C98))*100</f>
        <v>0.00506477281680154</v>
      </c>
      <c r="M202" s="64" t="n">
        <f aca="false">(ABS(SUM(D4:D98)-SUM(L4:L98))/SUM(D4:D98))*100</f>
        <v>5.99109244375463E-005</v>
      </c>
      <c r="N202" s="33" t="n">
        <f aca="false">SUM(L107:M201)/(95*2)</f>
        <v>0.0976040122949898</v>
      </c>
    </row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7">
    <mergeCell ref="B1:B3"/>
    <mergeCell ref="C1:D2"/>
    <mergeCell ref="E1:H1"/>
    <mergeCell ref="I1:L1"/>
    <mergeCell ref="E2:F2"/>
    <mergeCell ref="G2:H2"/>
    <mergeCell ref="I2:J2"/>
    <mergeCell ref="K2:L2"/>
    <mergeCell ref="A3:A99"/>
    <mergeCell ref="B104:B106"/>
    <mergeCell ref="C104:H104"/>
    <mergeCell ref="I104:N104"/>
    <mergeCell ref="C105:E105"/>
    <mergeCell ref="F105:H105"/>
    <mergeCell ref="I105:K105"/>
    <mergeCell ref="L105:N105"/>
    <mergeCell ref="A106:A2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2026-03-13T20:07:42Z</dcterms:created>
  <dc:creator>openpyxl</dc:creator>
  <dc:description/>
  <dc:language>fr-FR</dc:language>
  <cp:lastModifiedBy/>
  <dcterms:modified xsi:type="dcterms:W3CDTF">2026-08-29T12:20:09Z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