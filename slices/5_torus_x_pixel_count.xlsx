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<sst xmlns="http://schemas.openxmlformats.org/spreadsheetml/2006/main" count="75" uniqueCount="21">
  <si>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</si>
  <si>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</si>
  <si>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</si>
  <si>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</si>
  <si>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</si>
  <si>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5_torus/torus_x/Col_clust</t>
  </si>
  <si>
    <t xml:space="preserve">#e65c4c</t>
  </si>
  <si>
    <t xml:space="preserve">#ffffff</t>
  </si>
  <si>
    <t xml:space="preserve">Total</t>
  </si>
  <si>
    <t xml:space="preserve">Error</t>
  </si>
  <si>
    <t xml:space="preserve">3_cylinder/cyl_rand_axis/Col_clust</t>
  </si>
  <si>
    <t xml:space="preserve">MAPE</t>
  </si>
  <si>
    <t xml:space="preserve">5_torus/torus_x/Col_class</t>
  </si>
  <si>
    <t xml:space="preserve">#e65a49</t>
  </si>
  <si>
    <t xml:space="preserve">Original</t>
  </si>
  <si>
    <t xml:space="preserve">Clustering</t>
  </si>
  <si>
    <t xml:space="preserve">Classification</t>
  </si>
  <si>
    <t xml:space="preserve">5_torus/torus_x</t>
  </si>
  <si>
    <t xml:space="preserve">Error Clustering</t>
  </si>
  <si>
    <t xml:space="preserve">Error Classification</t>
  </si>
  <si>
    <t xml:space="preserve">1_cuboid/cube_z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</si>
</sst>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05"/>
        <bgColor rgb="FFFEFEFE"/>
      </patternFill>
    </fill>
    <fill>
      <patternFill patternType="solid">
        <fgColor rgb="FFE65C4C"/>
        <bgColor rgb="FFE65A4A"/>
      </patternFill>
    </fill>
    <fill>
      <patternFill patternType="solid">
        <fgColor rgb="FFFFFFFF"/>
        <bgColor rgb="FFFEFEFE"/>
      </patternFill>
    </fill>
    <fill>
      <patternFill patternType="solid">
        <fgColor rgb="FFE65A4A"/>
        <bgColor rgb="FFE65A49"/>
      </patternFill>
    </fill>
    <fill>
      <patternFill patternType="solid">
        <fgColor rgb="FFFEFEFE"/>
        <bgColor rgb="FFFFFFFF"/>
      </patternFill>
    </fill>
    <fill>
      <patternFill patternType="solid">
        <fgColor rgb="FFE65A49"/>
        <bgColor rgb="FFE65A4A"/>
      </patternFill>
    </fill>
    <fill>
      <patternFill patternType="solid">
        <fgColor rgb="FFFFD7D7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5A4A"/>
      <rgbColor rgb="FFFEFEFE"/>
      <rgbColor rgb="FFF2F2F2"/>
      <rgbColor rgb="FF660066"/>
      <rgbColor rgb="FFE65C4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3" activeCellId="0" sqref="H3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2.95"/>
    <col collapsed="false" customWidth="true" hidden="false" outlineLevel="0" max="7" min="7" style="1" width="21.69"/>
    <col collapsed="false" customWidth="true" hidden="false" outlineLevel="0" max="8" min="8" style="1" width="12.51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245</v>
      </c>
      <c r="D4" s="12" t="n">
        <v>159755</v>
      </c>
      <c r="E4" s="2" t="n">
        <v>245</v>
      </c>
      <c r="F4" s="13" t="n">
        <v>159755</v>
      </c>
      <c r="G4" s="2" t="n">
        <v>245</v>
      </c>
      <c r="H4" s="12" t="n">
        <v>159755</v>
      </c>
    </row>
    <row r="5" customFormat="false" ht="15" hidden="false" customHeight="false" outlineLevel="0" collapsed="false">
      <c r="A5" s="7"/>
      <c r="B5" s="2" t="n">
        <v>1</v>
      </c>
      <c r="C5" s="11" t="n">
        <v>476</v>
      </c>
      <c r="D5" s="12" t="n">
        <v>159524</v>
      </c>
      <c r="E5" s="2" t="n">
        <v>464</v>
      </c>
      <c r="F5" s="13" t="n">
        <v>159536</v>
      </c>
      <c r="G5" s="2" t="n">
        <v>476</v>
      </c>
      <c r="H5" s="12" t="n">
        <v>159524</v>
      </c>
    </row>
    <row r="6" customFormat="false" ht="15" hidden="false" customHeight="false" outlineLevel="0" collapsed="false">
      <c r="A6" s="7"/>
      <c r="B6" s="2" t="n">
        <v>2</v>
      </c>
      <c r="C6" s="11" t="n">
        <v>700</v>
      </c>
      <c r="D6" s="12" t="n">
        <v>159300</v>
      </c>
      <c r="E6" s="2" t="n">
        <v>691</v>
      </c>
      <c r="F6" s="13" t="n">
        <v>159309</v>
      </c>
      <c r="G6" s="2" t="n">
        <v>700</v>
      </c>
      <c r="H6" s="12" t="n">
        <v>159300</v>
      </c>
    </row>
    <row r="7" customFormat="false" ht="15" hidden="false" customHeight="false" outlineLevel="0" collapsed="false">
      <c r="A7" s="7"/>
      <c r="B7" s="2" t="n">
        <v>3</v>
      </c>
      <c r="C7" s="11" t="n">
        <v>917</v>
      </c>
      <c r="D7" s="12" t="n">
        <v>159083</v>
      </c>
      <c r="E7" s="2" t="n">
        <v>914</v>
      </c>
      <c r="F7" s="13" t="n">
        <v>159086</v>
      </c>
      <c r="G7" s="2" t="n">
        <v>917</v>
      </c>
      <c r="H7" s="12" t="n">
        <v>159083</v>
      </c>
    </row>
    <row r="8" customFormat="false" ht="15" hidden="false" customHeight="false" outlineLevel="0" collapsed="false">
      <c r="A8" s="7"/>
      <c r="B8" s="2" t="n">
        <v>4</v>
      </c>
      <c r="C8" s="11" t="n">
        <v>1144</v>
      </c>
      <c r="D8" s="12" t="n">
        <v>158856</v>
      </c>
      <c r="E8" s="2" t="n">
        <v>1122</v>
      </c>
      <c r="F8" s="13" t="n">
        <v>158878</v>
      </c>
      <c r="G8" s="2" t="n">
        <v>1143</v>
      </c>
      <c r="H8" s="12" t="n">
        <v>158857</v>
      </c>
    </row>
    <row r="9" customFormat="false" ht="15" hidden="false" customHeight="false" outlineLevel="0" collapsed="false">
      <c r="A9" s="7"/>
      <c r="B9" s="2" t="n">
        <v>5</v>
      </c>
      <c r="C9" s="11" t="n">
        <v>1341</v>
      </c>
      <c r="D9" s="12" t="n">
        <v>158659</v>
      </c>
      <c r="E9" s="2" t="n">
        <v>1330</v>
      </c>
      <c r="F9" s="13" t="n">
        <v>158670</v>
      </c>
      <c r="G9" s="2" t="n">
        <v>1341</v>
      </c>
      <c r="H9" s="12" t="n">
        <v>158659</v>
      </c>
    </row>
    <row r="10" customFormat="false" ht="15" hidden="false" customHeight="false" outlineLevel="0" collapsed="false">
      <c r="A10" s="7"/>
      <c r="B10" s="2" t="n">
        <v>6</v>
      </c>
      <c r="C10" s="11" t="n">
        <v>1551</v>
      </c>
      <c r="D10" s="12" t="n">
        <v>158449</v>
      </c>
      <c r="E10" s="2" t="n">
        <v>1559</v>
      </c>
      <c r="F10" s="13" t="n">
        <v>158441</v>
      </c>
      <c r="G10" s="2" t="n">
        <v>1555</v>
      </c>
      <c r="H10" s="12" t="n">
        <v>158445</v>
      </c>
    </row>
    <row r="11" customFormat="false" ht="15" hidden="false" customHeight="false" outlineLevel="0" collapsed="false">
      <c r="A11" s="7"/>
      <c r="B11" s="2" t="n">
        <v>7</v>
      </c>
      <c r="C11" s="11" t="n">
        <v>1723</v>
      </c>
      <c r="D11" s="12" t="n">
        <v>158277</v>
      </c>
      <c r="E11" s="2" t="n">
        <v>1695</v>
      </c>
      <c r="F11" s="13" t="n">
        <v>158305</v>
      </c>
      <c r="G11" s="2" t="n">
        <v>1715</v>
      </c>
      <c r="H11" s="12" t="n">
        <v>158285</v>
      </c>
    </row>
    <row r="12" customFormat="false" ht="15" hidden="false" customHeight="false" outlineLevel="0" collapsed="false">
      <c r="A12" s="7"/>
      <c r="B12" s="2" t="n">
        <v>8</v>
      </c>
      <c r="C12" s="11" t="n">
        <v>1924</v>
      </c>
      <c r="D12" s="12" t="n">
        <v>158076</v>
      </c>
      <c r="E12" s="2" t="n">
        <v>1911</v>
      </c>
      <c r="F12" s="13" t="n">
        <v>158089</v>
      </c>
      <c r="G12" s="2" t="n">
        <v>1926</v>
      </c>
      <c r="H12" s="12" t="n">
        <v>158074</v>
      </c>
    </row>
    <row r="13" customFormat="false" ht="15" hidden="false" customHeight="false" outlineLevel="0" collapsed="false">
      <c r="A13" s="7"/>
      <c r="B13" s="2" t="n">
        <v>9</v>
      </c>
      <c r="C13" s="11" t="n">
        <v>2107</v>
      </c>
      <c r="D13" s="12" t="n">
        <v>157893</v>
      </c>
      <c r="E13" s="2" t="n">
        <v>2048</v>
      </c>
      <c r="F13" s="13" t="n">
        <v>157952</v>
      </c>
      <c r="G13" s="2" t="n">
        <v>2110</v>
      </c>
      <c r="H13" s="12" t="n">
        <v>157890</v>
      </c>
    </row>
    <row r="14" customFormat="false" ht="15" hidden="false" customHeight="false" outlineLevel="0" collapsed="false">
      <c r="A14" s="7"/>
      <c r="B14" s="2" t="n">
        <v>10</v>
      </c>
      <c r="C14" s="11" t="n">
        <v>2268</v>
      </c>
      <c r="D14" s="12" t="n">
        <v>157732</v>
      </c>
      <c r="E14" s="2" t="n">
        <v>2247</v>
      </c>
      <c r="F14" s="13" t="n">
        <v>157753</v>
      </c>
      <c r="G14" s="2" t="n">
        <v>2269</v>
      </c>
      <c r="H14" s="12" t="n">
        <v>157731</v>
      </c>
    </row>
    <row r="15" customFormat="false" ht="15" hidden="false" customHeight="false" outlineLevel="0" collapsed="false">
      <c r="A15" s="7"/>
      <c r="B15" s="2" t="n">
        <v>11</v>
      </c>
      <c r="C15" s="11" t="n">
        <v>2448</v>
      </c>
      <c r="D15" s="12" t="n">
        <v>157552</v>
      </c>
      <c r="E15" s="2" t="n">
        <v>2419</v>
      </c>
      <c r="F15" s="13" t="n">
        <v>157581</v>
      </c>
      <c r="G15" s="2" t="n">
        <v>2440</v>
      </c>
      <c r="H15" s="12" t="n">
        <v>157560</v>
      </c>
    </row>
    <row r="16" customFormat="false" ht="15" hidden="false" customHeight="false" outlineLevel="0" collapsed="false">
      <c r="A16" s="7"/>
      <c r="B16" s="2" t="n">
        <v>12</v>
      </c>
      <c r="C16" s="11" t="n">
        <v>2608</v>
      </c>
      <c r="D16" s="12" t="n">
        <v>157392</v>
      </c>
      <c r="E16" s="2" t="n">
        <v>2586</v>
      </c>
      <c r="F16" s="13" t="n">
        <v>157414</v>
      </c>
      <c r="G16" s="2" t="n">
        <v>2610</v>
      </c>
      <c r="H16" s="12" t="n">
        <v>157390</v>
      </c>
    </row>
    <row r="17" customFormat="false" ht="15" hidden="false" customHeight="false" outlineLevel="0" collapsed="false">
      <c r="A17" s="7"/>
      <c r="B17" s="2" t="n">
        <v>13</v>
      </c>
      <c r="C17" s="11" t="n">
        <v>2746</v>
      </c>
      <c r="D17" s="12" t="n">
        <v>157254</v>
      </c>
      <c r="E17" s="2" t="n">
        <v>2751</v>
      </c>
      <c r="F17" s="13" t="n">
        <v>157249</v>
      </c>
      <c r="G17" s="2" t="n">
        <v>2744</v>
      </c>
      <c r="H17" s="12" t="n">
        <v>157256</v>
      </c>
    </row>
    <row r="18" customFormat="false" ht="15" hidden="false" customHeight="false" outlineLevel="0" collapsed="false">
      <c r="A18" s="7"/>
      <c r="B18" s="2" t="n">
        <v>14</v>
      </c>
      <c r="C18" s="11" t="n">
        <v>2904</v>
      </c>
      <c r="D18" s="12" t="n">
        <v>157096</v>
      </c>
      <c r="E18" s="2" t="n">
        <v>2882</v>
      </c>
      <c r="F18" s="13" t="n">
        <v>157118</v>
      </c>
      <c r="G18" s="2" t="n">
        <v>2903</v>
      </c>
      <c r="H18" s="12" t="n">
        <v>157097</v>
      </c>
    </row>
    <row r="19" customFormat="false" ht="15" hidden="false" customHeight="false" outlineLevel="0" collapsed="false">
      <c r="A19" s="7"/>
      <c r="B19" s="2" t="n">
        <v>15</v>
      </c>
      <c r="C19" s="11" t="n">
        <v>3042</v>
      </c>
      <c r="D19" s="12" t="n">
        <v>156958</v>
      </c>
      <c r="E19" s="2" t="n">
        <v>3014</v>
      </c>
      <c r="F19" s="13" t="n">
        <v>156986</v>
      </c>
      <c r="G19" s="2" t="n">
        <v>3042</v>
      </c>
      <c r="H19" s="12" t="n">
        <v>156958</v>
      </c>
    </row>
    <row r="20" customFormat="false" ht="15" hidden="false" customHeight="false" outlineLevel="0" collapsed="false">
      <c r="A20" s="7"/>
      <c r="B20" s="2" t="n">
        <v>16</v>
      </c>
      <c r="C20" s="11" t="n">
        <v>3165</v>
      </c>
      <c r="D20" s="12" t="n">
        <v>156835</v>
      </c>
      <c r="E20" s="2" t="n">
        <v>3150</v>
      </c>
      <c r="F20" s="13" t="n">
        <v>156850</v>
      </c>
      <c r="G20" s="2" t="n">
        <v>3166</v>
      </c>
      <c r="H20" s="12" t="n">
        <v>156834</v>
      </c>
    </row>
    <row r="21" customFormat="false" ht="15" hidden="false" customHeight="false" outlineLevel="0" collapsed="false">
      <c r="A21" s="7"/>
      <c r="B21" s="2" t="n">
        <v>17</v>
      </c>
      <c r="C21" s="11" t="n">
        <v>3286</v>
      </c>
      <c r="D21" s="12" t="n">
        <v>156714</v>
      </c>
      <c r="E21" s="2" t="n">
        <v>3250</v>
      </c>
      <c r="F21" s="13" t="n">
        <v>156750</v>
      </c>
      <c r="G21" s="2" t="n">
        <v>3285</v>
      </c>
      <c r="H21" s="12" t="n">
        <v>156715</v>
      </c>
    </row>
    <row r="22" customFormat="false" ht="15" hidden="false" customHeight="false" outlineLevel="0" collapsed="false">
      <c r="A22" s="7"/>
      <c r="B22" s="2" t="n">
        <v>18</v>
      </c>
      <c r="C22" s="11" t="n">
        <v>3375</v>
      </c>
      <c r="D22" s="12" t="n">
        <v>156625</v>
      </c>
      <c r="E22" s="2" t="n">
        <v>3343</v>
      </c>
      <c r="F22" s="13" t="n">
        <v>156657</v>
      </c>
      <c r="G22" s="2" t="n">
        <v>3376</v>
      </c>
      <c r="H22" s="12" t="n">
        <v>156624</v>
      </c>
    </row>
    <row r="23" customFormat="false" ht="15" hidden="false" customHeight="false" outlineLevel="0" collapsed="false">
      <c r="A23" s="7"/>
      <c r="B23" s="2" t="n">
        <v>19</v>
      </c>
      <c r="C23" s="11" t="n">
        <v>3482</v>
      </c>
      <c r="D23" s="12" t="n">
        <v>156518</v>
      </c>
      <c r="E23" s="2" t="n">
        <v>3450</v>
      </c>
      <c r="F23" s="13" t="n">
        <v>156550</v>
      </c>
      <c r="G23" s="2" t="n">
        <v>3470</v>
      </c>
      <c r="H23" s="12" t="n">
        <v>156530</v>
      </c>
    </row>
    <row r="24" customFormat="false" ht="15" hidden="false" customHeight="false" outlineLevel="0" collapsed="false">
      <c r="A24" s="7"/>
      <c r="B24" s="2" t="n">
        <v>20</v>
      </c>
      <c r="C24" s="11" t="n">
        <v>3581</v>
      </c>
      <c r="D24" s="12" t="n">
        <v>156419</v>
      </c>
      <c r="E24" s="2" t="n">
        <v>3556</v>
      </c>
      <c r="F24" s="13" t="n">
        <v>156444</v>
      </c>
      <c r="G24" s="2" t="n">
        <v>3581</v>
      </c>
      <c r="H24" s="12" t="n">
        <v>156419</v>
      </c>
    </row>
    <row r="25" customFormat="false" ht="15" hidden="false" customHeight="false" outlineLevel="0" collapsed="false">
      <c r="A25" s="7"/>
      <c r="B25" s="2" t="n">
        <v>21</v>
      </c>
      <c r="C25" s="11" t="n">
        <v>3675</v>
      </c>
      <c r="D25" s="12" t="n">
        <v>156325</v>
      </c>
      <c r="E25" s="2" t="n">
        <v>3644</v>
      </c>
      <c r="F25" s="13" t="n">
        <v>156356</v>
      </c>
      <c r="G25" s="2" t="n">
        <v>3677</v>
      </c>
      <c r="H25" s="12" t="n">
        <v>156323</v>
      </c>
    </row>
    <row r="26" customFormat="false" ht="15" hidden="false" customHeight="false" outlineLevel="0" collapsed="false">
      <c r="A26" s="7"/>
      <c r="B26" s="2" t="n">
        <v>22</v>
      </c>
      <c r="C26" s="11" t="n">
        <v>3768</v>
      </c>
      <c r="D26" s="12" t="n">
        <v>156232</v>
      </c>
      <c r="E26" s="2" t="n">
        <v>3715</v>
      </c>
      <c r="F26" s="13" t="n">
        <v>156285</v>
      </c>
      <c r="G26" s="2" t="n">
        <v>3769</v>
      </c>
      <c r="H26" s="12" t="n">
        <v>156231</v>
      </c>
    </row>
    <row r="27" customFormat="false" ht="15" hidden="false" customHeight="false" outlineLevel="0" collapsed="false">
      <c r="A27" s="7"/>
      <c r="B27" s="2" t="n">
        <v>23</v>
      </c>
      <c r="C27" s="11" t="n">
        <v>3848</v>
      </c>
      <c r="D27" s="12" t="n">
        <v>156152</v>
      </c>
      <c r="E27" s="2" t="n">
        <v>3834</v>
      </c>
      <c r="F27" s="13" t="n">
        <v>156166</v>
      </c>
      <c r="G27" s="2" t="n">
        <v>3848</v>
      </c>
      <c r="H27" s="12" t="n">
        <v>156152</v>
      </c>
    </row>
    <row r="28" customFormat="false" ht="15" hidden="false" customHeight="false" outlineLevel="0" collapsed="false">
      <c r="A28" s="7"/>
      <c r="B28" s="2" t="n">
        <v>24</v>
      </c>
      <c r="C28" s="11" t="n">
        <v>3926</v>
      </c>
      <c r="D28" s="12" t="n">
        <v>156074</v>
      </c>
      <c r="E28" s="2" t="n">
        <v>3877</v>
      </c>
      <c r="F28" s="13" t="n">
        <v>156123</v>
      </c>
      <c r="G28" s="2" t="n">
        <v>3924</v>
      </c>
      <c r="H28" s="12" t="n">
        <v>156076</v>
      </c>
    </row>
    <row r="29" customFormat="false" ht="15" hidden="false" customHeight="false" outlineLevel="0" collapsed="false">
      <c r="A29" s="7"/>
      <c r="B29" s="2" t="n">
        <v>25</v>
      </c>
      <c r="C29" s="11" t="n">
        <v>4004</v>
      </c>
      <c r="D29" s="12" t="n">
        <v>155996</v>
      </c>
      <c r="E29" s="2" t="n">
        <v>3982</v>
      </c>
      <c r="F29" s="13" t="n">
        <v>156018</v>
      </c>
      <c r="G29" s="2" t="n">
        <v>4005</v>
      </c>
      <c r="H29" s="12" t="n">
        <v>155995</v>
      </c>
    </row>
    <row r="30" customFormat="false" ht="15" hidden="false" customHeight="false" outlineLevel="0" collapsed="false">
      <c r="A30" s="7"/>
      <c r="B30" s="2" t="n">
        <v>26</v>
      </c>
      <c r="C30" s="11" t="n">
        <v>4043</v>
      </c>
      <c r="D30" s="12" t="n">
        <v>155957</v>
      </c>
      <c r="E30" s="2" t="n">
        <v>4037</v>
      </c>
      <c r="F30" s="13" t="n">
        <v>155963</v>
      </c>
      <c r="G30" s="2" t="n">
        <v>4043</v>
      </c>
      <c r="H30" s="12" t="n">
        <v>155957</v>
      </c>
    </row>
    <row r="31" customFormat="false" ht="15" hidden="false" customHeight="false" outlineLevel="0" collapsed="false">
      <c r="A31" s="7"/>
      <c r="B31" s="2" t="n">
        <v>27</v>
      </c>
      <c r="C31" s="11" t="n">
        <v>4101</v>
      </c>
      <c r="D31" s="12" t="n">
        <v>155899</v>
      </c>
      <c r="E31" s="2" t="n">
        <v>4077</v>
      </c>
      <c r="F31" s="13" t="n">
        <v>155923</v>
      </c>
      <c r="G31" s="2" t="n">
        <v>4100</v>
      </c>
      <c r="H31" s="12" t="n">
        <v>155900</v>
      </c>
    </row>
    <row r="32" customFormat="false" ht="15" hidden="false" customHeight="false" outlineLevel="0" collapsed="false">
      <c r="A32" s="7"/>
      <c r="B32" s="2" t="n">
        <v>28</v>
      </c>
      <c r="C32" s="11" t="n">
        <v>4139</v>
      </c>
      <c r="D32" s="12" t="n">
        <v>155861</v>
      </c>
      <c r="E32" s="2" t="n">
        <v>4084</v>
      </c>
      <c r="F32" s="13" t="n">
        <v>155916</v>
      </c>
      <c r="G32" s="2" t="n">
        <v>4136</v>
      </c>
      <c r="H32" s="12" t="n">
        <v>155864</v>
      </c>
    </row>
    <row r="33" customFormat="false" ht="15" hidden="false" customHeight="false" outlineLevel="0" collapsed="false">
      <c r="A33" s="7"/>
      <c r="B33" s="2" t="n">
        <v>29</v>
      </c>
      <c r="C33" s="11" t="n">
        <v>4161</v>
      </c>
      <c r="D33" s="12" t="n">
        <v>155839</v>
      </c>
      <c r="E33" s="2" t="n">
        <v>4151</v>
      </c>
      <c r="F33" s="13" t="n">
        <v>155849</v>
      </c>
      <c r="G33" s="2" t="n">
        <v>4160</v>
      </c>
      <c r="H33" s="12" t="n">
        <v>155840</v>
      </c>
    </row>
    <row r="34" customFormat="false" ht="15" hidden="false" customHeight="false" outlineLevel="0" collapsed="false">
      <c r="A34" s="7"/>
      <c r="B34" s="2" t="n">
        <v>30</v>
      </c>
      <c r="C34" s="11" t="n">
        <v>4182</v>
      </c>
      <c r="D34" s="12" t="n">
        <v>155818</v>
      </c>
      <c r="E34" s="2" t="n">
        <v>4149</v>
      </c>
      <c r="F34" s="13" t="n">
        <v>155851</v>
      </c>
      <c r="G34" s="2" t="n">
        <v>4182</v>
      </c>
      <c r="H34" s="12" t="n">
        <v>155818</v>
      </c>
    </row>
    <row r="35" customFormat="false" ht="15" hidden="false" customHeight="false" outlineLevel="0" collapsed="false">
      <c r="A35" s="7"/>
      <c r="B35" s="2" t="n">
        <v>31</v>
      </c>
      <c r="C35" s="11" t="n">
        <v>4203</v>
      </c>
      <c r="D35" s="12" t="n">
        <v>155797</v>
      </c>
      <c r="E35" s="2" t="n">
        <v>4168</v>
      </c>
      <c r="F35" s="13" t="n">
        <v>155832</v>
      </c>
      <c r="G35" s="2" t="n">
        <v>4205</v>
      </c>
      <c r="H35" s="12" t="n">
        <v>155795</v>
      </c>
    </row>
    <row r="36" customFormat="false" ht="15" hidden="false" customHeight="false" outlineLevel="0" collapsed="false">
      <c r="A36" s="7"/>
      <c r="B36" s="2" t="n">
        <v>32</v>
      </c>
      <c r="C36" s="11" t="n">
        <v>4205</v>
      </c>
      <c r="D36" s="12" t="n">
        <v>155795</v>
      </c>
      <c r="E36" s="2" t="n">
        <v>4161</v>
      </c>
      <c r="F36" s="13" t="n">
        <v>155839</v>
      </c>
      <c r="G36" s="2" t="n">
        <v>4203</v>
      </c>
      <c r="H36" s="12" t="n">
        <v>155797</v>
      </c>
    </row>
    <row r="37" customFormat="false" ht="15" hidden="false" customHeight="false" outlineLevel="0" collapsed="false">
      <c r="A37" s="7"/>
      <c r="B37" s="2" t="n">
        <v>33</v>
      </c>
      <c r="C37" s="11" t="n">
        <v>4169</v>
      </c>
      <c r="D37" s="12" t="n">
        <v>155831</v>
      </c>
      <c r="E37" s="2" t="n">
        <v>4123</v>
      </c>
      <c r="F37" s="13" t="n">
        <v>155877</v>
      </c>
      <c r="G37" s="2" t="n">
        <v>4171</v>
      </c>
      <c r="H37" s="12" t="n">
        <v>155829</v>
      </c>
    </row>
    <row r="38" customFormat="false" ht="15" hidden="false" customHeight="false" outlineLevel="0" collapsed="false">
      <c r="A38" s="7"/>
      <c r="B38" s="2" t="n">
        <v>34</v>
      </c>
      <c r="C38" s="11" t="n">
        <v>4148</v>
      </c>
      <c r="D38" s="12" t="n">
        <v>155852</v>
      </c>
      <c r="E38" s="2" t="n">
        <v>4112</v>
      </c>
      <c r="F38" s="13" t="n">
        <v>155888</v>
      </c>
      <c r="G38" s="2" t="n">
        <v>4151</v>
      </c>
      <c r="H38" s="12" t="n">
        <v>155849</v>
      </c>
    </row>
    <row r="39" customFormat="false" ht="15" hidden="false" customHeight="false" outlineLevel="0" collapsed="false">
      <c r="A39" s="7"/>
      <c r="B39" s="2" t="n">
        <v>35</v>
      </c>
      <c r="C39" s="11" t="n">
        <v>4125</v>
      </c>
      <c r="D39" s="12" t="n">
        <v>155875</v>
      </c>
      <c r="E39" s="2" t="n">
        <v>4099</v>
      </c>
      <c r="F39" s="13" t="n">
        <v>155901</v>
      </c>
      <c r="G39" s="2" t="n">
        <v>4129</v>
      </c>
      <c r="H39" s="12" t="n">
        <v>155871</v>
      </c>
    </row>
    <row r="40" customFormat="false" ht="15" hidden="false" customHeight="false" outlineLevel="0" collapsed="false">
      <c r="A40" s="7"/>
      <c r="B40" s="2" t="n">
        <v>36</v>
      </c>
      <c r="C40" s="11" t="n">
        <v>4049</v>
      </c>
      <c r="D40" s="12" t="n">
        <v>155951</v>
      </c>
      <c r="E40" s="2" t="n">
        <v>3999</v>
      </c>
      <c r="F40" s="13" t="n">
        <v>156001</v>
      </c>
      <c r="G40" s="2" t="n">
        <v>4050</v>
      </c>
      <c r="H40" s="12" t="n">
        <v>155950</v>
      </c>
    </row>
    <row r="41" customFormat="false" ht="15" hidden="false" customHeight="false" outlineLevel="0" collapsed="false">
      <c r="A41" s="7"/>
      <c r="B41" s="2" t="n">
        <v>37</v>
      </c>
      <c r="C41" s="11" t="n">
        <v>3979</v>
      </c>
      <c r="D41" s="12" t="n">
        <v>156021</v>
      </c>
      <c r="E41" s="2" t="n">
        <v>3928</v>
      </c>
      <c r="F41" s="13" t="n">
        <v>156072</v>
      </c>
      <c r="G41" s="2" t="n">
        <v>3979</v>
      </c>
      <c r="H41" s="12" t="n">
        <v>156021</v>
      </c>
    </row>
    <row r="42" customFormat="false" ht="15" hidden="false" customHeight="false" outlineLevel="0" collapsed="false">
      <c r="A42" s="7"/>
      <c r="B42" s="2" t="n">
        <v>38</v>
      </c>
      <c r="C42" s="11" t="n">
        <v>3856</v>
      </c>
      <c r="D42" s="12" t="n">
        <v>156144</v>
      </c>
      <c r="E42" s="2" t="n">
        <v>3809</v>
      </c>
      <c r="F42" s="13" t="n">
        <v>156191</v>
      </c>
      <c r="G42" s="2" t="n">
        <v>3857</v>
      </c>
      <c r="H42" s="12" t="n">
        <v>156143</v>
      </c>
    </row>
    <row r="43" customFormat="false" ht="15" hidden="false" customHeight="false" outlineLevel="0" collapsed="false">
      <c r="A43" s="7"/>
      <c r="B43" s="2" t="n">
        <v>39</v>
      </c>
      <c r="C43" s="11" t="n">
        <v>3689</v>
      </c>
      <c r="D43" s="12" t="n">
        <v>156311</v>
      </c>
      <c r="E43" s="2" t="n">
        <v>3619</v>
      </c>
      <c r="F43" s="13" t="n">
        <v>156381</v>
      </c>
      <c r="G43" s="2" t="n">
        <v>3688</v>
      </c>
      <c r="H43" s="12" t="n">
        <v>156312</v>
      </c>
    </row>
    <row r="44" customFormat="false" ht="15" hidden="false" customHeight="false" outlineLevel="0" collapsed="false">
      <c r="A44" s="7"/>
      <c r="B44" s="2" t="n">
        <v>40</v>
      </c>
      <c r="C44" s="11" t="n">
        <v>3486</v>
      </c>
      <c r="D44" s="12" t="n">
        <v>156514</v>
      </c>
      <c r="E44" s="2" t="n">
        <v>3413</v>
      </c>
      <c r="F44" s="13" t="n">
        <v>156587</v>
      </c>
      <c r="G44" s="2" t="n">
        <v>3486</v>
      </c>
      <c r="H44" s="12" t="n">
        <v>156514</v>
      </c>
    </row>
    <row r="45" customFormat="false" ht="15" hidden="false" customHeight="false" outlineLevel="0" collapsed="false">
      <c r="A45" s="7"/>
      <c r="B45" s="2" t="n">
        <v>41</v>
      </c>
      <c r="C45" s="11" t="n">
        <v>3361</v>
      </c>
      <c r="D45" s="12" t="n">
        <v>156639</v>
      </c>
      <c r="E45" s="2" t="n">
        <v>3307</v>
      </c>
      <c r="F45" s="13" t="n">
        <v>156693</v>
      </c>
      <c r="G45" s="2" t="n">
        <v>3360</v>
      </c>
      <c r="H45" s="12" t="n">
        <v>156640</v>
      </c>
    </row>
    <row r="46" customFormat="false" ht="15" hidden="false" customHeight="false" outlineLevel="0" collapsed="false">
      <c r="A46" s="7"/>
      <c r="B46" s="2" t="n">
        <v>42</v>
      </c>
      <c r="C46" s="11" t="n">
        <v>3280</v>
      </c>
      <c r="D46" s="12" t="n">
        <v>156720</v>
      </c>
      <c r="E46" s="2" t="n">
        <v>3249</v>
      </c>
      <c r="F46" s="13" t="n">
        <v>156751</v>
      </c>
      <c r="G46" s="2" t="n">
        <v>3279</v>
      </c>
      <c r="H46" s="12" t="n">
        <v>156721</v>
      </c>
    </row>
    <row r="47" customFormat="false" ht="15" hidden="false" customHeight="false" outlineLevel="0" collapsed="false">
      <c r="A47" s="7"/>
      <c r="B47" s="2" t="n">
        <v>43</v>
      </c>
      <c r="C47" s="11" t="n">
        <v>3182</v>
      </c>
      <c r="D47" s="12" t="n">
        <v>156818</v>
      </c>
      <c r="E47" s="2" t="n">
        <v>3159</v>
      </c>
      <c r="F47" s="13" t="n">
        <v>156841</v>
      </c>
      <c r="G47" s="2" t="n">
        <v>3187</v>
      </c>
      <c r="H47" s="12" t="n">
        <v>156813</v>
      </c>
    </row>
    <row r="48" customFormat="false" ht="15" hidden="false" customHeight="false" outlineLevel="0" collapsed="false">
      <c r="A48" s="7"/>
      <c r="B48" s="2" t="n">
        <v>44</v>
      </c>
      <c r="C48" s="11" t="n">
        <v>3120</v>
      </c>
      <c r="D48" s="12" t="n">
        <v>156880</v>
      </c>
      <c r="E48" s="2" t="n">
        <v>3098</v>
      </c>
      <c r="F48" s="13" t="n">
        <v>156902</v>
      </c>
      <c r="G48" s="2" t="n">
        <v>3123</v>
      </c>
      <c r="H48" s="12" t="n">
        <v>156877</v>
      </c>
    </row>
    <row r="49" customFormat="false" ht="15" hidden="false" customHeight="false" outlineLevel="0" collapsed="false">
      <c r="A49" s="7"/>
      <c r="B49" s="2" t="n">
        <v>45</v>
      </c>
      <c r="C49" s="11" t="n">
        <v>3048</v>
      </c>
      <c r="D49" s="12" t="n">
        <v>156952</v>
      </c>
      <c r="E49" s="2" t="n">
        <v>2985</v>
      </c>
      <c r="F49" s="13" t="n">
        <v>157015</v>
      </c>
      <c r="G49" s="2" t="n">
        <v>3046</v>
      </c>
      <c r="H49" s="12" t="n">
        <v>156954</v>
      </c>
    </row>
    <row r="50" customFormat="false" ht="15" hidden="false" customHeight="false" outlineLevel="0" collapsed="false">
      <c r="A50" s="7"/>
      <c r="B50" s="2" t="n">
        <v>46</v>
      </c>
      <c r="C50" s="11" t="n">
        <v>3001</v>
      </c>
      <c r="D50" s="12" t="n">
        <v>156999</v>
      </c>
      <c r="E50" s="2" t="n">
        <v>2962</v>
      </c>
      <c r="F50" s="13" t="n">
        <v>157038</v>
      </c>
      <c r="G50" s="2" t="n">
        <v>2999</v>
      </c>
      <c r="H50" s="12" t="n">
        <v>157001</v>
      </c>
    </row>
    <row r="51" customFormat="false" ht="15" hidden="false" customHeight="false" outlineLevel="0" collapsed="false">
      <c r="A51" s="7"/>
      <c r="B51" s="2" t="n">
        <v>47</v>
      </c>
      <c r="C51" s="11" t="n">
        <v>2943</v>
      </c>
      <c r="D51" s="12" t="n">
        <v>157057</v>
      </c>
      <c r="E51" s="2" t="n">
        <v>2900</v>
      </c>
      <c r="F51" s="13" t="n">
        <v>157100</v>
      </c>
      <c r="G51" s="2" t="n">
        <v>2943</v>
      </c>
      <c r="H51" s="12" t="n">
        <v>157057</v>
      </c>
    </row>
    <row r="52" customFormat="false" ht="15" hidden="false" customHeight="false" outlineLevel="0" collapsed="false">
      <c r="A52" s="7"/>
      <c r="B52" s="2" t="n">
        <v>48</v>
      </c>
      <c r="C52" s="11" t="n">
        <v>2907</v>
      </c>
      <c r="D52" s="12" t="n">
        <v>157093</v>
      </c>
      <c r="E52" s="2" t="n">
        <v>2891</v>
      </c>
      <c r="F52" s="13" t="n">
        <v>157109</v>
      </c>
      <c r="G52" s="2" t="n">
        <v>2905</v>
      </c>
      <c r="H52" s="12" t="n">
        <v>157095</v>
      </c>
    </row>
    <row r="53" customFormat="false" ht="15" hidden="false" customHeight="false" outlineLevel="0" collapsed="false">
      <c r="A53" s="7"/>
      <c r="B53" s="2" t="n">
        <v>49</v>
      </c>
      <c r="C53" s="11" t="n">
        <v>2872</v>
      </c>
      <c r="D53" s="12" t="n">
        <v>157128</v>
      </c>
      <c r="E53" s="2" t="n">
        <v>2840</v>
      </c>
      <c r="F53" s="13" t="n">
        <v>157160</v>
      </c>
      <c r="G53" s="2" t="n">
        <v>2867</v>
      </c>
      <c r="H53" s="12" t="n">
        <v>157133</v>
      </c>
    </row>
    <row r="54" customFormat="false" ht="15" hidden="false" customHeight="false" outlineLevel="0" collapsed="false">
      <c r="A54" s="7"/>
      <c r="B54" s="2" t="n">
        <v>50</v>
      </c>
      <c r="C54" s="11" t="n">
        <v>2827</v>
      </c>
      <c r="D54" s="12" t="n">
        <v>157173</v>
      </c>
      <c r="E54" s="2" t="n">
        <v>2803</v>
      </c>
      <c r="F54" s="13" t="n">
        <v>157197</v>
      </c>
      <c r="G54" s="2" t="n">
        <v>2831</v>
      </c>
      <c r="H54" s="12" t="n">
        <v>157169</v>
      </c>
    </row>
    <row r="55" customFormat="false" ht="15" hidden="false" customHeight="false" outlineLevel="0" collapsed="false">
      <c r="A55" s="7"/>
      <c r="B55" s="2" t="n">
        <v>51</v>
      </c>
      <c r="C55" s="11" t="n">
        <v>2806</v>
      </c>
      <c r="D55" s="12" t="n">
        <v>157194</v>
      </c>
      <c r="E55" s="2" t="n">
        <v>2765</v>
      </c>
      <c r="F55" s="13" t="n">
        <v>157235</v>
      </c>
      <c r="G55" s="2" t="n">
        <v>2806</v>
      </c>
      <c r="H55" s="12" t="n">
        <v>157194</v>
      </c>
    </row>
    <row r="56" customFormat="false" ht="15" hidden="false" customHeight="false" outlineLevel="0" collapsed="false">
      <c r="A56" s="7"/>
      <c r="B56" s="2" t="n">
        <v>52</v>
      </c>
      <c r="C56" s="11" t="n">
        <v>2772</v>
      </c>
      <c r="D56" s="12" t="n">
        <v>157228</v>
      </c>
      <c r="E56" s="2" t="n">
        <v>2725</v>
      </c>
      <c r="F56" s="13" t="n">
        <v>157275</v>
      </c>
      <c r="G56" s="2" t="n">
        <v>2771</v>
      </c>
      <c r="H56" s="12" t="n">
        <v>157229</v>
      </c>
    </row>
    <row r="57" customFormat="false" ht="15" hidden="false" customHeight="false" outlineLevel="0" collapsed="false">
      <c r="A57" s="7"/>
      <c r="B57" s="2" t="n">
        <v>53</v>
      </c>
      <c r="C57" s="11" t="n">
        <v>2731</v>
      </c>
      <c r="D57" s="12" t="n">
        <v>157269</v>
      </c>
      <c r="E57" s="2" t="n">
        <v>2687</v>
      </c>
      <c r="F57" s="13" t="n">
        <v>157313</v>
      </c>
      <c r="G57" s="2" t="n">
        <v>2728</v>
      </c>
      <c r="H57" s="12" t="n">
        <v>157272</v>
      </c>
    </row>
    <row r="58" customFormat="false" ht="15" hidden="false" customHeight="false" outlineLevel="0" collapsed="false">
      <c r="A58" s="7"/>
      <c r="B58" s="2" t="n">
        <v>54</v>
      </c>
      <c r="C58" s="11" t="n">
        <v>2725</v>
      </c>
      <c r="D58" s="12" t="n">
        <v>157275</v>
      </c>
      <c r="E58" s="2" t="n">
        <v>2718</v>
      </c>
      <c r="F58" s="13" t="n">
        <v>157282</v>
      </c>
      <c r="G58" s="2" t="n">
        <v>2723</v>
      </c>
      <c r="H58" s="12" t="n">
        <v>157277</v>
      </c>
    </row>
    <row r="59" customFormat="false" ht="15" hidden="false" customHeight="false" outlineLevel="0" collapsed="false">
      <c r="A59" s="7"/>
      <c r="B59" s="2" t="n">
        <v>55</v>
      </c>
      <c r="C59" s="11" t="n">
        <v>2697</v>
      </c>
      <c r="D59" s="12" t="n">
        <v>157303</v>
      </c>
      <c r="E59" s="2" t="n">
        <v>2653</v>
      </c>
      <c r="F59" s="13" t="n">
        <v>157347</v>
      </c>
      <c r="G59" s="2" t="n">
        <v>2696</v>
      </c>
      <c r="H59" s="12" t="n">
        <v>157304</v>
      </c>
    </row>
    <row r="60" customFormat="false" ht="15" hidden="false" customHeight="false" outlineLevel="0" collapsed="false">
      <c r="A60" s="7"/>
      <c r="B60" s="2" t="n">
        <v>56</v>
      </c>
      <c r="C60" s="11" t="n">
        <v>2676</v>
      </c>
      <c r="D60" s="12" t="n">
        <v>157324</v>
      </c>
      <c r="E60" s="2" t="n">
        <v>2640</v>
      </c>
      <c r="F60" s="13" t="n">
        <v>157360</v>
      </c>
      <c r="G60" s="2" t="n">
        <v>2677</v>
      </c>
      <c r="H60" s="12" t="n">
        <v>157323</v>
      </c>
    </row>
    <row r="61" customFormat="false" ht="15" hidden="false" customHeight="false" outlineLevel="0" collapsed="false">
      <c r="A61" s="7"/>
      <c r="B61" s="2" t="n">
        <v>57</v>
      </c>
      <c r="C61" s="11" t="n">
        <v>2651</v>
      </c>
      <c r="D61" s="12" t="n">
        <v>157349</v>
      </c>
      <c r="E61" s="2" t="n">
        <v>2635</v>
      </c>
      <c r="F61" s="13" t="n">
        <v>157365</v>
      </c>
      <c r="G61" s="2" t="n">
        <v>2651</v>
      </c>
      <c r="H61" s="12" t="n">
        <v>157349</v>
      </c>
    </row>
    <row r="62" customFormat="false" ht="15" hidden="false" customHeight="false" outlineLevel="0" collapsed="false">
      <c r="A62" s="7"/>
      <c r="B62" s="2" t="n">
        <v>58</v>
      </c>
      <c r="C62" s="11" t="n">
        <v>2642</v>
      </c>
      <c r="D62" s="12" t="n">
        <v>157358</v>
      </c>
      <c r="E62" s="2" t="n">
        <v>2619</v>
      </c>
      <c r="F62" s="13" t="n">
        <v>157381</v>
      </c>
      <c r="G62" s="2" t="n">
        <v>2642</v>
      </c>
      <c r="H62" s="12" t="n">
        <v>157358</v>
      </c>
    </row>
    <row r="63" customFormat="false" ht="15" hidden="false" customHeight="false" outlineLevel="0" collapsed="false">
      <c r="A63" s="7"/>
      <c r="B63" s="2" t="n">
        <v>59</v>
      </c>
      <c r="C63" s="11" t="n">
        <v>2627</v>
      </c>
      <c r="D63" s="12" t="n">
        <v>157373</v>
      </c>
      <c r="E63" s="2" t="n">
        <v>2606</v>
      </c>
      <c r="F63" s="13" t="n">
        <v>157394</v>
      </c>
      <c r="G63" s="2" t="n">
        <v>2628</v>
      </c>
      <c r="H63" s="12" t="n">
        <v>157372</v>
      </c>
    </row>
    <row r="64" customFormat="false" ht="15" hidden="false" customHeight="false" outlineLevel="0" collapsed="false">
      <c r="A64" s="7"/>
      <c r="B64" s="2" t="n">
        <v>60</v>
      </c>
      <c r="C64" s="11" t="n">
        <v>2596</v>
      </c>
      <c r="D64" s="12" t="n">
        <v>157404</v>
      </c>
      <c r="E64" s="2" t="n">
        <v>2562</v>
      </c>
      <c r="F64" s="13" t="n">
        <v>157438</v>
      </c>
      <c r="G64" s="2" t="n">
        <v>2596</v>
      </c>
      <c r="H64" s="12" t="n">
        <v>157404</v>
      </c>
    </row>
    <row r="65" customFormat="false" ht="15" hidden="false" customHeight="false" outlineLevel="0" collapsed="false">
      <c r="A65" s="7"/>
      <c r="B65" s="2" t="n">
        <v>61</v>
      </c>
      <c r="C65" s="11" t="n">
        <v>2593</v>
      </c>
      <c r="D65" s="12" t="n">
        <v>157407</v>
      </c>
      <c r="E65" s="2" t="n">
        <v>2555</v>
      </c>
      <c r="F65" s="13" t="n">
        <v>157445</v>
      </c>
      <c r="G65" s="2" t="n">
        <v>2591</v>
      </c>
      <c r="H65" s="12" t="n">
        <v>157409</v>
      </c>
    </row>
    <row r="66" customFormat="false" ht="15" hidden="false" customHeight="false" outlineLevel="0" collapsed="false">
      <c r="A66" s="7"/>
      <c r="B66" s="2" t="n">
        <v>62</v>
      </c>
      <c r="C66" s="11" t="n">
        <v>2592</v>
      </c>
      <c r="D66" s="12" t="n">
        <v>157408</v>
      </c>
      <c r="E66" s="2" t="n">
        <v>2567</v>
      </c>
      <c r="F66" s="13" t="n">
        <v>157433</v>
      </c>
      <c r="G66" s="2" t="n">
        <v>2594</v>
      </c>
      <c r="H66" s="12" t="n">
        <v>157406</v>
      </c>
    </row>
    <row r="67" customFormat="false" ht="15" hidden="false" customHeight="false" outlineLevel="0" collapsed="false">
      <c r="A67" s="7"/>
      <c r="B67" s="2" t="n">
        <v>63</v>
      </c>
      <c r="C67" s="11" t="n">
        <v>2568</v>
      </c>
      <c r="D67" s="12" t="n">
        <v>157432</v>
      </c>
      <c r="E67" s="2" t="n">
        <v>2525</v>
      </c>
      <c r="F67" s="13" t="n">
        <v>157475</v>
      </c>
      <c r="G67" s="2" t="n">
        <v>2565</v>
      </c>
      <c r="H67" s="12" t="n">
        <v>157435</v>
      </c>
    </row>
    <row r="68" customFormat="false" ht="15" hidden="false" customHeight="false" outlineLevel="0" collapsed="false">
      <c r="A68" s="7"/>
      <c r="B68" s="2" t="n">
        <v>64</v>
      </c>
      <c r="C68" s="11" t="n">
        <v>2562</v>
      </c>
      <c r="D68" s="12" t="n">
        <v>157438</v>
      </c>
      <c r="E68" s="2" t="n">
        <v>2507</v>
      </c>
      <c r="F68" s="13" t="n">
        <v>157493</v>
      </c>
      <c r="G68" s="2" t="n">
        <v>2562</v>
      </c>
      <c r="H68" s="12" t="n">
        <v>157438</v>
      </c>
    </row>
    <row r="69" customFormat="false" ht="15" hidden="false" customHeight="false" outlineLevel="0" collapsed="false">
      <c r="A69" s="7"/>
      <c r="B69" s="2" t="n">
        <v>65</v>
      </c>
      <c r="C69" s="11" t="n">
        <v>2546</v>
      </c>
      <c r="D69" s="12" t="n">
        <v>157454</v>
      </c>
      <c r="E69" s="2" t="n">
        <v>2509</v>
      </c>
      <c r="F69" s="13" t="n">
        <v>157491</v>
      </c>
      <c r="G69" s="2" t="n">
        <v>2546</v>
      </c>
      <c r="H69" s="12" t="n">
        <v>157454</v>
      </c>
    </row>
    <row r="70" customFormat="false" ht="15" hidden="false" customHeight="false" outlineLevel="0" collapsed="false">
      <c r="A70" s="7"/>
      <c r="B70" s="2" t="n">
        <v>66</v>
      </c>
      <c r="C70" s="11" t="n">
        <v>2531</v>
      </c>
      <c r="D70" s="12" t="n">
        <v>157469</v>
      </c>
      <c r="E70" s="2" t="n">
        <v>2504</v>
      </c>
      <c r="F70" s="13" t="n">
        <v>157496</v>
      </c>
      <c r="G70" s="2" t="n">
        <v>2530</v>
      </c>
      <c r="H70" s="12" t="n">
        <v>157470</v>
      </c>
    </row>
    <row r="71" customFormat="false" ht="15" hidden="false" customHeight="false" outlineLevel="0" collapsed="false">
      <c r="A71" s="7"/>
      <c r="B71" s="2" t="n">
        <v>67</v>
      </c>
      <c r="C71" s="11" t="n">
        <v>2517</v>
      </c>
      <c r="D71" s="12" t="n">
        <v>157483</v>
      </c>
      <c r="E71" s="2" t="n">
        <v>2502</v>
      </c>
      <c r="F71" s="13" t="n">
        <v>157498</v>
      </c>
      <c r="G71" s="2" t="n">
        <v>2515</v>
      </c>
      <c r="H71" s="12" t="n">
        <v>157485</v>
      </c>
    </row>
    <row r="72" customFormat="false" ht="15" hidden="false" customHeight="false" outlineLevel="0" collapsed="false">
      <c r="A72" s="7"/>
      <c r="B72" s="2" t="n">
        <v>68</v>
      </c>
      <c r="C72" s="11" t="n">
        <v>2523</v>
      </c>
      <c r="D72" s="12" t="n">
        <v>157477</v>
      </c>
      <c r="E72" s="2" t="n">
        <v>2492</v>
      </c>
      <c r="F72" s="13" t="n">
        <v>157508</v>
      </c>
      <c r="G72" s="2" t="n">
        <v>2525</v>
      </c>
      <c r="H72" s="12" t="n">
        <v>157475</v>
      </c>
    </row>
    <row r="73" customFormat="false" ht="15" hidden="false" customHeight="false" outlineLevel="0" collapsed="false">
      <c r="A73" s="7"/>
      <c r="B73" s="2" t="n">
        <v>69</v>
      </c>
      <c r="C73" s="11" t="n">
        <v>2525</v>
      </c>
      <c r="D73" s="12" t="n">
        <v>157475</v>
      </c>
      <c r="E73" s="2" t="n">
        <v>2492</v>
      </c>
      <c r="F73" s="13" t="n">
        <v>157508</v>
      </c>
      <c r="G73" s="2" t="n">
        <v>2526</v>
      </c>
      <c r="H73" s="12" t="n">
        <v>157474</v>
      </c>
    </row>
    <row r="74" customFormat="false" ht="15" hidden="false" customHeight="false" outlineLevel="0" collapsed="false">
      <c r="A74" s="7"/>
      <c r="B74" s="2" t="n">
        <v>70</v>
      </c>
      <c r="C74" s="11" t="n">
        <v>2512</v>
      </c>
      <c r="D74" s="12" t="n">
        <v>157488</v>
      </c>
      <c r="E74" s="2" t="n">
        <v>2485</v>
      </c>
      <c r="F74" s="13" t="n">
        <v>157515</v>
      </c>
      <c r="G74" s="2" t="n">
        <v>2512</v>
      </c>
      <c r="H74" s="12" t="n">
        <v>157488</v>
      </c>
    </row>
    <row r="75" customFormat="false" ht="15" hidden="false" customHeight="false" outlineLevel="0" collapsed="false">
      <c r="A75" s="7"/>
      <c r="B75" s="2" t="n">
        <v>71</v>
      </c>
      <c r="C75" s="11" t="n">
        <v>2515</v>
      </c>
      <c r="D75" s="12" t="n">
        <v>157485</v>
      </c>
      <c r="E75" s="2" t="n">
        <v>2498</v>
      </c>
      <c r="F75" s="13" t="n">
        <v>157502</v>
      </c>
      <c r="G75" s="2" t="n">
        <v>2518</v>
      </c>
      <c r="H75" s="12" t="n">
        <v>157482</v>
      </c>
    </row>
    <row r="76" customFormat="false" ht="15" hidden="false" customHeight="false" outlineLevel="0" collapsed="false">
      <c r="A76" s="7"/>
      <c r="B76" s="2" t="n">
        <v>72</v>
      </c>
      <c r="C76" s="11" t="n">
        <v>2512</v>
      </c>
      <c r="D76" s="12" t="n">
        <v>157488</v>
      </c>
      <c r="E76" s="2" t="n">
        <v>2476</v>
      </c>
      <c r="F76" s="13" t="n">
        <v>157524</v>
      </c>
      <c r="G76" s="2" t="n">
        <v>2514</v>
      </c>
      <c r="H76" s="12" t="n">
        <v>157486</v>
      </c>
    </row>
    <row r="77" customFormat="false" ht="15" hidden="false" customHeight="false" outlineLevel="0" collapsed="false">
      <c r="A77" s="7"/>
      <c r="B77" s="2" t="n">
        <v>73</v>
      </c>
      <c r="C77" s="11" t="n">
        <v>2508</v>
      </c>
      <c r="D77" s="12" t="n">
        <v>157492</v>
      </c>
      <c r="E77" s="2" t="n">
        <v>2466</v>
      </c>
      <c r="F77" s="13" t="n">
        <v>157534</v>
      </c>
      <c r="G77" s="2" t="n">
        <v>2505</v>
      </c>
      <c r="H77" s="12" t="n">
        <v>157495</v>
      </c>
    </row>
    <row r="78" customFormat="false" ht="15" hidden="false" customHeight="false" outlineLevel="0" collapsed="false">
      <c r="A78" s="7"/>
      <c r="B78" s="2" t="n">
        <v>74</v>
      </c>
      <c r="C78" s="11" t="n">
        <v>2492</v>
      </c>
      <c r="D78" s="12" t="n">
        <v>157508</v>
      </c>
      <c r="E78" s="2" t="n">
        <v>2456</v>
      </c>
      <c r="F78" s="13" t="n">
        <v>157544</v>
      </c>
      <c r="G78" s="2" t="n">
        <v>2494</v>
      </c>
      <c r="H78" s="12" t="n">
        <v>157506</v>
      </c>
    </row>
    <row r="79" customFormat="false" ht="15" hidden="false" customHeight="false" outlineLevel="0" collapsed="false">
      <c r="A79" s="7"/>
      <c r="B79" s="2" t="n">
        <v>75</v>
      </c>
      <c r="C79" s="11" t="n">
        <v>2506</v>
      </c>
      <c r="D79" s="12" t="n">
        <v>157494</v>
      </c>
      <c r="E79" s="2" t="n">
        <v>2455</v>
      </c>
      <c r="F79" s="13" t="n">
        <v>157545</v>
      </c>
      <c r="G79" s="2" t="n">
        <v>2505</v>
      </c>
      <c r="H79" s="12" t="n">
        <v>157495</v>
      </c>
    </row>
    <row r="80" customFormat="false" ht="15" hidden="false" customHeight="false" outlineLevel="0" collapsed="false">
      <c r="A80" s="7"/>
      <c r="B80" s="2" t="n">
        <v>76</v>
      </c>
      <c r="C80" s="11" t="n">
        <v>2506</v>
      </c>
      <c r="D80" s="12" t="n">
        <v>157494</v>
      </c>
      <c r="E80" s="2" t="n">
        <v>2481</v>
      </c>
      <c r="F80" s="13" t="n">
        <v>157519</v>
      </c>
      <c r="G80" s="2" t="n">
        <v>2507</v>
      </c>
      <c r="H80" s="12" t="n">
        <v>157493</v>
      </c>
    </row>
    <row r="81" customFormat="false" ht="15" hidden="false" customHeight="false" outlineLevel="0" collapsed="false">
      <c r="A81" s="7"/>
      <c r="B81" s="2" t="n">
        <v>77</v>
      </c>
      <c r="C81" s="11" t="n">
        <v>2514</v>
      </c>
      <c r="D81" s="12" t="n">
        <v>157486</v>
      </c>
      <c r="E81" s="2" t="n">
        <v>2460</v>
      </c>
      <c r="F81" s="13" t="n">
        <v>157540</v>
      </c>
      <c r="G81" s="2" t="n">
        <v>2517</v>
      </c>
      <c r="H81" s="12" t="n">
        <v>157483</v>
      </c>
    </row>
    <row r="82" customFormat="false" ht="15" hidden="false" customHeight="false" outlineLevel="0" collapsed="false">
      <c r="A82" s="7"/>
      <c r="B82" s="2" t="n">
        <v>78</v>
      </c>
      <c r="C82" s="11" t="n">
        <v>2512</v>
      </c>
      <c r="D82" s="12" t="n">
        <v>157488</v>
      </c>
      <c r="E82" s="2" t="n">
        <v>2455</v>
      </c>
      <c r="F82" s="13" t="n">
        <v>157545</v>
      </c>
      <c r="G82" s="2" t="n">
        <v>2512</v>
      </c>
      <c r="H82" s="12" t="n">
        <v>157488</v>
      </c>
    </row>
    <row r="83" customFormat="false" ht="15" hidden="false" customHeight="false" outlineLevel="0" collapsed="false">
      <c r="A83" s="7"/>
      <c r="B83" s="2" t="n">
        <v>79</v>
      </c>
      <c r="C83" s="11" t="n">
        <v>2523</v>
      </c>
      <c r="D83" s="12" t="n">
        <v>157477</v>
      </c>
      <c r="E83" s="2" t="n">
        <v>2510</v>
      </c>
      <c r="F83" s="13" t="n">
        <v>157490</v>
      </c>
      <c r="G83" s="2" t="n">
        <v>2519</v>
      </c>
      <c r="H83" s="12" t="n">
        <v>157481</v>
      </c>
    </row>
    <row r="84" customFormat="false" ht="15" hidden="false" customHeight="false" outlineLevel="0" collapsed="false">
      <c r="A84" s="7"/>
      <c r="B84" s="2" t="n">
        <v>80</v>
      </c>
      <c r="C84" s="11" t="n">
        <v>2518</v>
      </c>
      <c r="D84" s="12" t="n">
        <v>157482</v>
      </c>
      <c r="E84" s="2" t="n">
        <v>2481</v>
      </c>
      <c r="F84" s="13" t="n">
        <v>157519</v>
      </c>
      <c r="G84" s="2" t="n">
        <v>2521</v>
      </c>
      <c r="H84" s="12" t="n">
        <v>157479</v>
      </c>
    </row>
    <row r="85" customFormat="false" ht="15" hidden="false" customHeight="false" outlineLevel="0" collapsed="false">
      <c r="A85" s="7"/>
      <c r="B85" s="2" t="n">
        <v>81</v>
      </c>
      <c r="C85" s="11" t="n">
        <v>2522</v>
      </c>
      <c r="D85" s="12" t="n">
        <v>157478</v>
      </c>
      <c r="E85" s="2" t="n">
        <v>2496</v>
      </c>
      <c r="F85" s="13" t="n">
        <v>157504</v>
      </c>
      <c r="G85" s="2" t="n">
        <v>2519</v>
      </c>
      <c r="H85" s="12" t="n">
        <v>157481</v>
      </c>
    </row>
    <row r="86" customFormat="false" ht="15" hidden="false" customHeight="false" outlineLevel="0" collapsed="false">
      <c r="A86" s="7"/>
      <c r="B86" s="2" t="n">
        <v>82</v>
      </c>
      <c r="C86" s="11" t="n">
        <v>2528</v>
      </c>
      <c r="D86" s="12" t="n">
        <v>157472</v>
      </c>
      <c r="E86" s="2" t="n">
        <v>2495</v>
      </c>
      <c r="F86" s="13" t="n">
        <v>157505</v>
      </c>
      <c r="G86" s="2" t="n">
        <v>2528</v>
      </c>
      <c r="H86" s="12" t="n">
        <v>157472</v>
      </c>
    </row>
    <row r="87" customFormat="false" ht="15" hidden="false" customHeight="false" outlineLevel="0" collapsed="false">
      <c r="A87" s="7"/>
      <c r="B87" s="2" t="n">
        <v>83</v>
      </c>
      <c r="C87" s="11" t="n">
        <v>2548</v>
      </c>
      <c r="D87" s="12" t="n">
        <v>157452</v>
      </c>
      <c r="E87" s="2" t="n">
        <v>2486</v>
      </c>
      <c r="F87" s="13" t="n">
        <v>157514</v>
      </c>
      <c r="G87" s="2" t="n">
        <v>2547</v>
      </c>
      <c r="H87" s="12" t="n">
        <v>157453</v>
      </c>
    </row>
    <row r="88" customFormat="false" ht="15" hidden="false" customHeight="false" outlineLevel="0" collapsed="false">
      <c r="A88" s="7"/>
      <c r="B88" s="2" t="n">
        <v>84</v>
      </c>
      <c r="C88" s="11" t="n">
        <v>2562</v>
      </c>
      <c r="D88" s="12" t="n">
        <v>157438</v>
      </c>
      <c r="E88" s="2" t="n">
        <v>2532</v>
      </c>
      <c r="F88" s="13" t="n">
        <v>157468</v>
      </c>
      <c r="G88" s="2" t="n">
        <v>2563</v>
      </c>
      <c r="H88" s="12" t="n">
        <v>157437</v>
      </c>
    </row>
    <row r="89" customFormat="false" ht="15" hidden="false" customHeight="false" outlineLevel="0" collapsed="false">
      <c r="A89" s="7"/>
      <c r="B89" s="2" t="n">
        <v>85</v>
      </c>
      <c r="C89" s="11" t="n">
        <v>2568</v>
      </c>
      <c r="D89" s="12" t="n">
        <v>157432</v>
      </c>
      <c r="E89" s="2" t="n">
        <v>2551</v>
      </c>
      <c r="F89" s="13" t="n">
        <v>157449</v>
      </c>
      <c r="G89" s="2" t="n">
        <v>2568</v>
      </c>
      <c r="H89" s="12" t="n">
        <v>157432</v>
      </c>
    </row>
    <row r="90" customFormat="false" ht="15" hidden="false" customHeight="false" outlineLevel="0" collapsed="false">
      <c r="A90" s="7"/>
      <c r="B90" s="2" t="n">
        <v>86</v>
      </c>
      <c r="C90" s="11" t="n">
        <v>2579</v>
      </c>
      <c r="D90" s="12" t="n">
        <v>157421</v>
      </c>
      <c r="E90" s="2" t="n">
        <v>2546</v>
      </c>
      <c r="F90" s="13" t="n">
        <v>157454</v>
      </c>
      <c r="G90" s="2" t="n">
        <v>2578</v>
      </c>
      <c r="H90" s="12" t="n">
        <v>157422</v>
      </c>
    </row>
    <row r="91" customFormat="false" ht="15" hidden="false" customHeight="false" outlineLevel="0" collapsed="false">
      <c r="A91" s="7"/>
      <c r="B91" s="2" t="n">
        <v>87</v>
      </c>
      <c r="C91" s="11" t="n">
        <v>2593</v>
      </c>
      <c r="D91" s="12" t="n">
        <v>157407</v>
      </c>
      <c r="E91" s="2" t="n">
        <v>2559</v>
      </c>
      <c r="F91" s="13" t="n">
        <v>157441</v>
      </c>
      <c r="G91" s="2" t="n">
        <v>2595</v>
      </c>
      <c r="H91" s="12" t="n">
        <v>157405</v>
      </c>
    </row>
    <row r="92" customFormat="false" ht="15" hidden="false" customHeight="false" outlineLevel="0" collapsed="false">
      <c r="A92" s="7"/>
      <c r="B92" s="2" t="n">
        <v>88</v>
      </c>
      <c r="C92" s="11" t="n">
        <v>2593</v>
      </c>
      <c r="D92" s="12" t="n">
        <v>157407</v>
      </c>
      <c r="E92" s="2" t="n">
        <v>2562</v>
      </c>
      <c r="F92" s="13" t="n">
        <v>157438</v>
      </c>
      <c r="G92" s="2" t="n">
        <v>2591</v>
      </c>
      <c r="H92" s="12" t="n">
        <v>157409</v>
      </c>
    </row>
    <row r="93" customFormat="false" ht="15" hidden="false" customHeight="false" outlineLevel="0" collapsed="false">
      <c r="A93" s="7"/>
      <c r="B93" s="2" t="n">
        <v>89</v>
      </c>
      <c r="C93" s="11" t="n">
        <v>2624</v>
      </c>
      <c r="D93" s="12" t="n">
        <v>157376</v>
      </c>
      <c r="E93" s="2" t="n">
        <v>2584</v>
      </c>
      <c r="F93" s="13" t="n">
        <v>157416</v>
      </c>
      <c r="G93" s="2" t="n">
        <v>2623</v>
      </c>
      <c r="H93" s="12" t="n">
        <v>157377</v>
      </c>
    </row>
    <row r="94" customFormat="false" ht="15" hidden="false" customHeight="false" outlineLevel="0" collapsed="false">
      <c r="A94" s="7"/>
      <c r="B94" s="2" t="n">
        <v>90</v>
      </c>
      <c r="C94" s="11" t="n">
        <v>2642</v>
      </c>
      <c r="D94" s="12" t="n">
        <v>157358</v>
      </c>
      <c r="E94" s="2" t="n">
        <v>2604</v>
      </c>
      <c r="F94" s="13" t="n">
        <v>157396</v>
      </c>
      <c r="G94" s="2" t="n">
        <v>2641</v>
      </c>
      <c r="H94" s="12" t="n">
        <v>157359</v>
      </c>
    </row>
    <row r="95" customFormat="false" ht="15" hidden="false" customHeight="false" outlineLevel="0" collapsed="false">
      <c r="A95" s="7"/>
      <c r="B95" s="2" t="n">
        <v>91</v>
      </c>
      <c r="C95" s="11" t="n">
        <v>2653</v>
      </c>
      <c r="D95" s="12" t="n">
        <v>157347</v>
      </c>
      <c r="E95" s="2" t="n">
        <v>2601</v>
      </c>
      <c r="F95" s="13" t="n">
        <v>157399</v>
      </c>
      <c r="G95" s="2" t="n">
        <v>2653</v>
      </c>
      <c r="H95" s="12" t="n">
        <v>157347</v>
      </c>
    </row>
    <row r="96" customFormat="false" ht="15" hidden="false" customHeight="false" outlineLevel="0" collapsed="false">
      <c r="A96" s="7"/>
      <c r="B96" s="2" t="n">
        <v>92</v>
      </c>
      <c r="C96" s="11" t="n">
        <v>2669</v>
      </c>
      <c r="D96" s="12" t="n">
        <v>157331</v>
      </c>
      <c r="E96" s="2" t="n">
        <v>2650</v>
      </c>
      <c r="F96" s="13" t="n">
        <v>157350</v>
      </c>
      <c r="G96" s="2" t="n">
        <v>2669</v>
      </c>
      <c r="H96" s="12" t="n">
        <v>157331</v>
      </c>
    </row>
    <row r="97" customFormat="false" ht="15" hidden="false" customHeight="false" outlineLevel="0" collapsed="false">
      <c r="A97" s="7"/>
      <c r="B97" s="2" t="n">
        <v>93</v>
      </c>
      <c r="C97" s="11" t="n">
        <v>2694</v>
      </c>
      <c r="D97" s="12" t="n">
        <v>157306</v>
      </c>
      <c r="E97" s="2" t="n">
        <v>2660</v>
      </c>
      <c r="F97" s="13" t="n">
        <v>157340</v>
      </c>
      <c r="G97" s="2" t="n">
        <v>2693</v>
      </c>
      <c r="H97" s="12" t="n">
        <v>157307</v>
      </c>
    </row>
    <row r="98" customFormat="false" ht="15" hidden="false" customHeight="false" outlineLevel="0" collapsed="false">
      <c r="A98" s="7"/>
      <c r="B98" s="2" t="n">
        <v>94</v>
      </c>
      <c r="C98" s="11" t="n">
        <v>2729</v>
      </c>
      <c r="D98" s="12" t="n">
        <v>157271</v>
      </c>
      <c r="E98" s="2" t="n">
        <v>2702</v>
      </c>
      <c r="F98" s="13" t="n">
        <v>157298</v>
      </c>
      <c r="G98" s="2" t="n">
        <v>2724</v>
      </c>
      <c r="H98" s="12" t="n">
        <v>157276</v>
      </c>
    </row>
    <row r="99" customFormat="false" ht="15" hidden="false" customHeight="false" outlineLevel="0" collapsed="false">
      <c r="A99" s="7"/>
      <c r="B99" s="2" t="n">
        <v>95</v>
      </c>
      <c r="C99" s="11" t="n">
        <v>2731</v>
      </c>
      <c r="D99" s="12" t="n">
        <v>157269</v>
      </c>
      <c r="E99" s="2" t="n">
        <v>2670</v>
      </c>
      <c r="F99" s="13" t="n">
        <v>157330</v>
      </c>
      <c r="G99" s="2" t="n">
        <v>2731</v>
      </c>
      <c r="H99" s="12" t="n">
        <v>157269</v>
      </c>
    </row>
    <row r="100" customFormat="false" ht="15" hidden="false" customHeight="false" outlineLevel="0" collapsed="false">
      <c r="A100" s="7"/>
      <c r="B100" s="2" t="n">
        <v>96</v>
      </c>
      <c r="C100" s="11" t="n">
        <v>2768</v>
      </c>
      <c r="D100" s="12" t="n">
        <v>157232</v>
      </c>
      <c r="E100" s="2" t="n">
        <v>2741</v>
      </c>
      <c r="F100" s="13" t="n">
        <v>157259</v>
      </c>
      <c r="G100" s="2" t="n">
        <v>2772</v>
      </c>
      <c r="H100" s="12" t="n">
        <v>157228</v>
      </c>
    </row>
    <row r="101" customFormat="false" ht="15" hidden="false" customHeight="false" outlineLevel="0" collapsed="false">
      <c r="A101" s="7"/>
      <c r="B101" s="2" t="n">
        <v>97</v>
      </c>
      <c r="C101" s="11" t="n">
        <v>2792</v>
      </c>
      <c r="D101" s="12" t="n">
        <v>157208</v>
      </c>
      <c r="E101" s="2" t="n">
        <v>2774</v>
      </c>
      <c r="F101" s="13" t="n">
        <v>157226</v>
      </c>
      <c r="G101" s="2" t="n">
        <v>2791</v>
      </c>
      <c r="H101" s="12" t="n">
        <v>157209</v>
      </c>
    </row>
    <row r="102" customFormat="false" ht="15" hidden="false" customHeight="false" outlineLevel="0" collapsed="false">
      <c r="A102" s="7"/>
      <c r="B102" s="2" t="n">
        <v>98</v>
      </c>
      <c r="C102" s="11" t="n">
        <v>2835</v>
      </c>
      <c r="D102" s="12" t="n">
        <v>157165</v>
      </c>
      <c r="E102" s="2" t="n">
        <v>2818</v>
      </c>
      <c r="F102" s="13" t="n">
        <v>157182</v>
      </c>
      <c r="G102" s="2" t="n">
        <v>2834</v>
      </c>
      <c r="H102" s="12" t="n">
        <v>157166</v>
      </c>
    </row>
    <row r="103" customFormat="false" ht="15" hidden="false" customHeight="false" outlineLevel="0" collapsed="false">
      <c r="A103" s="7"/>
      <c r="B103" s="2" t="n">
        <v>99</v>
      </c>
      <c r="C103" s="11" t="n">
        <v>2875</v>
      </c>
      <c r="D103" s="12" t="n">
        <v>157125</v>
      </c>
      <c r="E103" s="2" t="n">
        <v>2830</v>
      </c>
      <c r="F103" s="13" t="n">
        <v>157170</v>
      </c>
      <c r="G103" s="2" t="n">
        <v>2875</v>
      </c>
      <c r="H103" s="12" t="n">
        <v>157125</v>
      </c>
    </row>
    <row r="104" customFormat="false" ht="15" hidden="false" customHeight="false" outlineLevel="0" collapsed="false">
      <c r="A104" s="7"/>
      <c r="B104" s="2" t="n">
        <v>100</v>
      </c>
      <c r="C104" s="11" t="n">
        <v>2916</v>
      </c>
      <c r="D104" s="12" t="n">
        <v>157084</v>
      </c>
      <c r="E104" s="2" t="n">
        <v>2868</v>
      </c>
      <c r="F104" s="13" t="n">
        <v>157132</v>
      </c>
      <c r="G104" s="2" t="n">
        <v>2917</v>
      </c>
      <c r="H104" s="12" t="n">
        <v>157083</v>
      </c>
    </row>
    <row r="105" customFormat="false" ht="15" hidden="false" customHeight="false" outlineLevel="0" collapsed="false">
      <c r="A105" s="7"/>
      <c r="B105" s="2" t="n">
        <v>101</v>
      </c>
      <c r="C105" s="11" t="n">
        <v>2948</v>
      </c>
      <c r="D105" s="12" t="n">
        <v>157052</v>
      </c>
      <c r="E105" s="2" t="n">
        <v>2922</v>
      </c>
      <c r="F105" s="13" t="n">
        <v>157078</v>
      </c>
      <c r="G105" s="2" t="n">
        <v>2948</v>
      </c>
      <c r="H105" s="12" t="n">
        <v>157052</v>
      </c>
    </row>
    <row r="106" customFormat="false" ht="15" hidden="false" customHeight="false" outlineLevel="0" collapsed="false">
      <c r="A106" s="7"/>
      <c r="B106" s="2" t="n">
        <v>102</v>
      </c>
      <c r="C106" s="11" t="n">
        <v>3002</v>
      </c>
      <c r="D106" s="12" t="n">
        <v>156998</v>
      </c>
      <c r="E106" s="2" t="n">
        <v>2975</v>
      </c>
      <c r="F106" s="13" t="n">
        <v>157025</v>
      </c>
      <c r="G106" s="2" t="n">
        <v>3001</v>
      </c>
      <c r="H106" s="12" t="n">
        <v>156999</v>
      </c>
    </row>
    <row r="107" customFormat="false" ht="15" hidden="false" customHeight="false" outlineLevel="0" collapsed="false">
      <c r="A107" s="7"/>
      <c r="B107" s="2" t="n">
        <v>103</v>
      </c>
      <c r="C107" s="11" t="n">
        <v>3045</v>
      </c>
      <c r="D107" s="12" t="n">
        <v>156955</v>
      </c>
      <c r="E107" s="2" t="n">
        <v>3009</v>
      </c>
      <c r="F107" s="13" t="n">
        <v>156991</v>
      </c>
      <c r="G107" s="2" t="n">
        <v>3045</v>
      </c>
      <c r="H107" s="12" t="n">
        <v>156955</v>
      </c>
    </row>
    <row r="108" customFormat="false" ht="15" hidden="false" customHeight="false" outlineLevel="0" collapsed="false">
      <c r="A108" s="7"/>
      <c r="B108" s="2" t="n">
        <v>104</v>
      </c>
      <c r="C108" s="11" t="n">
        <v>3118</v>
      </c>
      <c r="D108" s="12" t="n">
        <v>156882</v>
      </c>
      <c r="E108" s="2" t="n">
        <v>3060</v>
      </c>
      <c r="F108" s="13" t="n">
        <v>156940</v>
      </c>
      <c r="G108" s="2" t="n">
        <v>3122</v>
      </c>
      <c r="H108" s="12" t="n">
        <v>156878</v>
      </c>
    </row>
    <row r="109" customFormat="false" ht="15" hidden="false" customHeight="false" outlineLevel="0" collapsed="false">
      <c r="A109" s="7"/>
      <c r="B109" s="2" t="n">
        <v>105</v>
      </c>
      <c r="C109" s="11" t="n">
        <v>3188</v>
      </c>
      <c r="D109" s="12" t="n">
        <v>156812</v>
      </c>
      <c r="E109" s="2" t="n">
        <v>3134</v>
      </c>
      <c r="F109" s="13" t="n">
        <v>156866</v>
      </c>
      <c r="G109" s="2" t="n">
        <v>3188</v>
      </c>
      <c r="H109" s="12" t="n">
        <v>156812</v>
      </c>
    </row>
    <row r="110" customFormat="false" ht="15" hidden="false" customHeight="false" outlineLevel="0" collapsed="false">
      <c r="A110" s="7"/>
      <c r="B110" s="2" t="n">
        <v>106</v>
      </c>
      <c r="C110" s="11" t="n">
        <v>3268</v>
      </c>
      <c r="D110" s="12" t="n">
        <v>156732</v>
      </c>
      <c r="E110" s="2" t="n">
        <v>3228</v>
      </c>
      <c r="F110" s="13" t="n">
        <v>156772</v>
      </c>
      <c r="G110" s="2" t="n">
        <v>3267</v>
      </c>
      <c r="H110" s="12" t="n">
        <v>156733</v>
      </c>
    </row>
    <row r="111" customFormat="false" ht="15" hidden="false" customHeight="false" outlineLevel="0" collapsed="false">
      <c r="A111" s="7"/>
      <c r="B111" s="2" t="n">
        <v>107</v>
      </c>
      <c r="C111" s="11" t="n">
        <v>3380</v>
      </c>
      <c r="D111" s="12" t="n">
        <v>156620</v>
      </c>
      <c r="E111" s="2" t="n">
        <v>3339</v>
      </c>
      <c r="F111" s="13" t="n">
        <v>156661</v>
      </c>
      <c r="G111" s="2" t="n">
        <v>3379</v>
      </c>
      <c r="H111" s="12" t="n">
        <v>156621</v>
      </c>
    </row>
    <row r="112" customFormat="false" ht="15" hidden="false" customHeight="false" outlineLevel="0" collapsed="false">
      <c r="A112" s="7"/>
      <c r="B112" s="2" t="n">
        <v>108</v>
      </c>
      <c r="C112" s="11" t="n">
        <v>3491</v>
      </c>
      <c r="D112" s="12" t="n">
        <v>156509</v>
      </c>
      <c r="E112" s="2" t="n">
        <v>3397</v>
      </c>
      <c r="F112" s="13" t="n">
        <v>156603</v>
      </c>
      <c r="G112" s="2" t="n">
        <v>3494</v>
      </c>
      <c r="H112" s="12" t="n">
        <v>156506</v>
      </c>
    </row>
    <row r="113" customFormat="false" ht="15" hidden="false" customHeight="false" outlineLevel="0" collapsed="false">
      <c r="A113" s="7"/>
      <c r="B113" s="2" t="n">
        <v>109</v>
      </c>
      <c r="C113" s="11" t="n">
        <v>3680</v>
      </c>
      <c r="D113" s="12" t="n">
        <v>156320</v>
      </c>
      <c r="E113" s="2" t="n">
        <v>3626</v>
      </c>
      <c r="F113" s="13" t="n">
        <v>156374</v>
      </c>
      <c r="G113" s="2" t="n">
        <v>3681</v>
      </c>
      <c r="H113" s="12" t="n">
        <v>156319</v>
      </c>
    </row>
    <row r="114" customFormat="false" ht="15" hidden="false" customHeight="false" outlineLevel="0" collapsed="false">
      <c r="A114" s="7"/>
      <c r="B114" s="2" t="n">
        <v>110</v>
      </c>
      <c r="C114" s="11" t="n">
        <v>3855</v>
      </c>
      <c r="D114" s="12" t="n">
        <v>156145</v>
      </c>
      <c r="E114" s="2" t="n">
        <v>3791</v>
      </c>
      <c r="F114" s="13" t="n">
        <v>156209</v>
      </c>
      <c r="G114" s="2" t="n">
        <v>3855</v>
      </c>
      <c r="H114" s="12" t="n">
        <v>156145</v>
      </c>
    </row>
    <row r="115" customFormat="false" ht="15" hidden="false" customHeight="false" outlineLevel="0" collapsed="false">
      <c r="A115" s="7"/>
      <c r="B115" s="2" t="n">
        <v>111</v>
      </c>
      <c r="C115" s="11" t="n">
        <v>3966</v>
      </c>
      <c r="D115" s="12" t="n">
        <v>156034</v>
      </c>
      <c r="E115" s="2" t="n">
        <v>3893</v>
      </c>
      <c r="F115" s="13" t="n">
        <v>156107</v>
      </c>
      <c r="G115" s="2" t="n">
        <v>3966</v>
      </c>
      <c r="H115" s="12" t="n">
        <v>156034</v>
      </c>
    </row>
    <row r="116" customFormat="false" ht="15" hidden="false" customHeight="false" outlineLevel="0" collapsed="false">
      <c r="A116" s="7"/>
      <c r="B116" s="2" t="n">
        <v>112</v>
      </c>
      <c r="C116" s="11" t="n">
        <v>4059</v>
      </c>
      <c r="D116" s="12" t="n">
        <v>155941</v>
      </c>
      <c r="E116" s="2" t="n">
        <v>3996</v>
      </c>
      <c r="F116" s="13" t="n">
        <v>156004</v>
      </c>
      <c r="G116" s="2" t="n">
        <v>4056</v>
      </c>
      <c r="H116" s="12" t="n">
        <v>155944</v>
      </c>
    </row>
    <row r="117" customFormat="false" ht="15" hidden="false" customHeight="false" outlineLevel="0" collapsed="false">
      <c r="A117" s="7"/>
      <c r="B117" s="2" t="n">
        <v>113</v>
      </c>
      <c r="C117" s="11" t="n">
        <v>4123</v>
      </c>
      <c r="D117" s="12" t="n">
        <v>155877</v>
      </c>
      <c r="E117" s="2" t="n">
        <v>4063</v>
      </c>
      <c r="F117" s="13" t="n">
        <v>155937</v>
      </c>
      <c r="G117" s="2" t="n">
        <v>4123</v>
      </c>
      <c r="H117" s="12" t="n">
        <v>155877</v>
      </c>
    </row>
    <row r="118" customFormat="false" ht="15" hidden="false" customHeight="false" outlineLevel="0" collapsed="false">
      <c r="A118" s="7"/>
      <c r="B118" s="2" t="n">
        <v>114</v>
      </c>
      <c r="C118" s="11" t="n">
        <v>4148</v>
      </c>
      <c r="D118" s="12" t="n">
        <v>155852</v>
      </c>
      <c r="E118" s="2" t="n">
        <v>4139</v>
      </c>
      <c r="F118" s="13" t="n">
        <v>155861</v>
      </c>
      <c r="G118" s="2" t="n">
        <v>4146</v>
      </c>
      <c r="H118" s="12" t="n">
        <v>155854</v>
      </c>
    </row>
    <row r="119" customFormat="false" ht="15" hidden="false" customHeight="false" outlineLevel="0" collapsed="false">
      <c r="A119" s="7"/>
      <c r="B119" s="2" t="n">
        <v>115</v>
      </c>
      <c r="C119" s="11" t="n">
        <v>4177</v>
      </c>
      <c r="D119" s="12" t="n">
        <v>155823</v>
      </c>
      <c r="E119" s="2" t="n">
        <v>4147</v>
      </c>
      <c r="F119" s="13" t="n">
        <v>155853</v>
      </c>
      <c r="G119" s="2" t="n">
        <v>4179</v>
      </c>
      <c r="H119" s="12" t="n">
        <v>155821</v>
      </c>
    </row>
    <row r="120" customFormat="false" ht="15" hidden="false" customHeight="false" outlineLevel="0" collapsed="false">
      <c r="A120" s="7"/>
      <c r="B120" s="2" t="n">
        <v>116</v>
      </c>
      <c r="C120" s="11" t="n">
        <v>4204</v>
      </c>
      <c r="D120" s="12" t="n">
        <v>155796</v>
      </c>
      <c r="E120" s="2" t="n">
        <v>4148</v>
      </c>
      <c r="F120" s="13" t="n">
        <v>155852</v>
      </c>
      <c r="G120" s="2" t="n">
        <v>4204</v>
      </c>
      <c r="H120" s="12" t="n">
        <v>155796</v>
      </c>
    </row>
    <row r="121" customFormat="false" ht="15" hidden="false" customHeight="false" outlineLevel="0" collapsed="false">
      <c r="A121" s="7"/>
      <c r="B121" s="2" t="n">
        <v>117</v>
      </c>
      <c r="C121" s="11" t="n">
        <v>4202</v>
      </c>
      <c r="D121" s="12" t="n">
        <v>155798</v>
      </c>
      <c r="E121" s="2" t="n">
        <v>4175</v>
      </c>
      <c r="F121" s="13" t="n">
        <v>155825</v>
      </c>
      <c r="G121" s="2" t="n">
        <v>4203</v>
      </c>
      <c r="H121" s="12" t="n">
        <v>155797</v>
      </c>
    </row>
    <row r="122" customFormat="false" ht="15" hidden="false" customHeight="false" outlineLevel="0" collapsed="false">
      <c r="A122" s="7"/>
      <c r="B122" s="2" t="n">
        <v>118</v>
      </c>
      <c r="C122" s="11" t="n">
        <v>4180</v>
      </c>
      <c r="D122" s="12" t="n">
        <v>155820</v>
      </c>
      <c r="E122" s="2" t="n">
        <v>4126</v>
      </c>
      <c r="F122" s="13" t="n">
        <v>155874</v>
      </c>
      <c r="G122" s="2" t="n">
        <v>4180</v>
      </c>
      <c r="H122" s="12" t="n">
        <v>155820</v>
      </c>
    </row>
    <row r="123" customFormat="false" ht="15" hidden="false" customHeight="false" outlineLevel="0" collapsed="false">
      <c r="A123" s="7"/>
      <c r="B123" s="2" t="n">
        <v>119</v>
      </c>
      <c r="C123" s="11" t="n">
        <v>4160</v>
      </c>
      <c r="D123" s="12" t="n">
        <v>155840</v>
      </c>
      <c r="E123" s="2" t="n">
        <v>4081</v>
      </c>
      <c r="F123" s="13" t="n">
        <v>155919</v>
      </c>
      <c r="G123" s="2" t="n">
        <v>4157</v>
      </c>
      <c r="H123" s="12" t="n">
        <v>155843</v>
      </c>
    </row>
    <row r="124" customFormat="false" ht="15" hidden="false" customHeight="false" outlineLevel="0" collapsed="false">
      <c r="A124" s="7"/>
      <c r="B124" s="2" t="n">
        <v>120</v>
      </c>
      <c r="C124" s="11" t="n">
        <v>4140</v>
      </c>
      <c r="D124" s="12" t="n">
        <v>155860</v>
      </c>
      <c r="E124" s="2" t="n">
        <v>4120</v>
      </c>
      <c r="F124" s="13" t="n">
        <v>155880</v>
      </c>
      <c r="G124" s="2" t="n">
        <v>4141</v>
      </c>
      <c r="H124" s="12" t="n">
        <v>155859</v>
      </c>
    </row>
    <row r="125" customFormat="false" ht="15" hidden="false" customHeight="false" outlineLevel="0" collapsed="false">
      <c r="A125" s="7"/>
      <c r="B125" s="2" t="n">
        <v>121</v>
      </c>
      <c r="C125" s="11" t="n">
        <v>4103</v>
      </c>
      <c r="D125" s="12" t="n">
        <v>155897</v>
      </c>
      <c r="E125" s="2" t="n">
        <v>4060</v>
      </c>
      <c r="F125" s="13" t="n">
        <v>155940</v>
      </c>
      <c r="G125" s="2" t="n">
        <v>4105</v>
      </c>
      <c r="H125" s="12" t="n">
        <v>155895</v>
      </c>
    </row>
    <row r="126" customFormat="false" ht="15" hidden="false" customHeight="false" outlineLevel="0" collapsed="false">
      <c r="A126" s="7"/>
      <c r="B126" s="2" t="n">
        <v>122</v>
      </c>
      <c r="C126" s="11" t="n">
        <v>4043</v>
      </c>
      <c r="D126" s="12" t="n">
        <v>155957</v>
      </c>
      <c r="E126" s="2" t="n">
        <v>4009</v>
      </c>
      <c r="F126" s="13" t="n">
        <v>155991</v>
      </c>
      <c r="G126" s="2" t="n">
        <v>4050</v>
      </c>
      <c r="H126" s="12" t="n">
        <v>155950</v>
      </c>
    </row>
    <row r="127" customFormat="false" ht="15" hidden="false" customHeight="false" outlineLevel="0" collapsed="false">
      <c r="A127" s="7"/>
      <c r="B127" s="2" t="n">
        <v>123</v>
      </c>
      <c r="C127" s="11" t="n">
        <v>4003</v>
      </c>
      <c r="D127" s="12" t="n">
        <v>155997</v>
      </c>
      <c r="E127" s="2" t="n">
        <v>3993</v>
      </c>
      <c r="F127" s="13" t="n">
        <v>156007</v>
      </c>
      <c r="G127" s="2" t="n">
        <v>4003</v>
      </c>
      <c r="H127" s="12" t="n">
        <v>155997</v>
      </c>
    </row>
    <row r="128" customFormat="false" ht="15" hidden="false" customHeight="false" outlineLevel="0" collapsed="false">
      <c r="A128" s="7"/>
      <c r="B128" s="2" t="n">
        <v>124</v>
      </c>
      <c r="C128" s="11" t="n">
        <v>3937</v>
      </c>
      <c r="D128" s="12" t="n">
        <v>156063</v>
      </c>
      <c r="E128" s="2" t="n">
        <v>3912</v>
      </c>
      <c r="F128" s="13" t="n">
        <v>156088</v>
      </c>
      <c r="G128" s="2" t="n">
        <v>3934</v>
      </c>
      <c r="H128" s="12" t="n">
        <v>156066</v>
      </c>
    </row>
    <row r="129" customFormat="false" ht="15" hidden="false" customHeight="false" outlineLevel="0" collapsed="false">
      <c r="A129" s="7"/>
      <c r="B129" s="2" t="n">
        <v>125</v>
      </c>
      <c r="C129" s="11" t="n">
        <v>3851</v>
      </c>
      <c r="D129" s="12" t="n">
        <v>156149</v>
      </c>
      <c r="E129" s="2" t="n">
        <v>3837</v>
      </c>
      <c r="F129" s="13" t="n">
        <v>156163</v>
      </c>
      <c r="G129" s="2" t="n">
        <v>3854</v>
      </c>
      <c r="H129" s="12" t="n">
        <v>156146</v>
      </c>
    </row>
    <row r="130" customFormat="false" ht="15" hidden="false" customHeight="false" outlineLevel="0" collapsed="false">
      <c r="A130" s="7"/>
      <c r="B130" s="2" t="n">
        <v>126</v>
      </c>
      <c r="C130" s="11" t="n">
        <v>3765</v>
      </c>
      <c r="D130" s="12" t="n">
        <v>156235</v>
      </c>
      <c r="E130" s="2" t="n">
        <v>3729</v>
      </c>
      <c r="F130" s="13" t="n">
        <v>156271</v>
      </c>
      <c r="G130" s="2" t="n">
        <v>3766</v>
      </c>
      <c r="H130" s="12" t="n">
        <v>156234</v>
      </c>
    </row>
    <row r="131" customFormat="false" ht="15" hidden="false" customHeight="false" outlineLevel="0" collapsed="false">
      <c r="A131" s="7"/>
      <c r="B131" s="2" t="n">
        <v>127</v>
      </c>
      <c r="C131" s="11" t="n">
        <v>3672</v>
      </c>
      <c r="D131" s="12" t="n">
        <v>156328</v>
      </c>
      <c r="E131" s="2" t="n">
        <v>3649</v>
      </c>
      <c r="F131" s="13" t="n">
        <v>156351</v>
      </c>
      <c r="G131" s="2" t="n">
        <v>3683</v>
      </c>
      <c r="H131" s="12" t="n">
        <v>156317</v>
      </c>
    </row>
    <row r="132" customFormat="false" ht="15" hidden="false" customHeight="false" outlineLevel="0" collapsed="false">
      <c r="A132" s="7"/>
      <c r="B132" s="2" t="n">
        <v>128</v>
      </c>
      <c r="C132" s="11" t="n">
        <v>3587</v>
      </c>
      <c r="D132" s="12" t="n">
        <v>156413</v>
      </c>
      <c r="E132" s="2" t="n">
        <v>3542</v>
      </c>
      <c r="F132" s="13" t="n">
        <v>156458</v>
      </c>
      <c r="G132" s="2" t="n">
        <v>3589</v>
      </c>
      <c r="H132" s="12" t="n">
        <v>156411</v>
      </c>
    </row>
    <row r="133" customFormat="false" ht="15" hidden="false" customHeight="false" outlineLevel="0" collapsed="false">
      <c r="A133" s="7"/>
      <c r="B133" s="2" t="n">
        <v>129</v>
      </c>
      <c r="C133" s="11" t="n">
        <v>3485</v>
      </c>
      <c r="D133" s="12" t="n">
        <v>156515</v>
      </c>
      <c r="E133" s="2" t="n">
        <v>3458</v>
      </c>
      <c r="F133" s="13" t="n">
        <v>156542</v>
      </c>
      <c r="G133" s="2" t="n">
        <v>3486</v>
      </c>
      <c r="H133" s="12" t="n">
        <v>156514</v>
      </c>
    </row>
    <row r="134" customFormat="false" ht="15" hidden="false" customHeight="false" outlineLevel="0" collapsed="false">
      <c r="A134" s="7"/>
      <c r="B134" s="2" t="n">
        <v>130</v>
      </c>
      <c r="C134" s="11" t="n">
        <v>3375</v>
      </c>
      <c r="D134" s="12" t="n">
        <v>156625</v>
      </c>
      <c r="E134" s="2" t="n">
        <v>3355</v>
      </c>
      <c r="F134" s="13" t="n">
        <v>156645</v>
      </c>
      <c r="G134" s="2" t="n">
        <v>3374</v>
      </c>
      <c r="H134" s="12" t="n">
        <v>156626</v>
      </c>
    </row>
    <row r="135" customFormat="false" ht="15" hidden="false" customHeight="false" outlineLevel="0" collapsed="false">
      <c r="A135" s="7"/>
      <c r="B135" s="2" t="n">
        <v>131</v>
      </c>
      <c r="C135" s="11" t="n">
        <v>3282</v>
      </c>
      <c r="D135" s="12" t="n">
        <v>156718</v>
      </c>
      <c r="E135" s="2" t="n">
        <v>3237</v>
      </c>
      <c r="F135" s="13" t="n">
        <v>156763</v>
      </c>
      <c r="G135" s="2" t="n">
        <v>3277</v>
      </c>
      <c r="H135" s="12" t="n">
        <v>156723</v>
      </c>
    </row>
    <row r="136" customFormat="false" ht="15" hidden="false" customHeight="false" outlineLevel="0" collapsed="false">
      <c r="A136" s="7"/>
      <c r="B136" s="2" t="n">
        <v>132</v>
      </c>
      <c r="C136" s="11" t="n">
        <v>3160</v>
      </c>
      <c r="D136" s="12" t="n">
        <v>156840</v>
      </c>
      <c r="E136" s="2" t="n">
        <v>3105</v>
      </c>
      <c r="F136" s="13" t="n">
        <v>156895</v>
      </c>
      <c r="G136" s="2" t="n">
        <v>3160</v>
      </c>
      <c r="H136" s="12" t="n">
        <v>156840</v>
      </c>
    </row>
    <row r="137" customFormat="false" ht="15" hidden="false" customHeight="false" outlineLevel="0" collapsed="false">
      <c r="A137" s="7"/>
      <c r="B137" s="2" t="n">
        <v>133</v>
      </c>
      <c r="C137" s="11" t="n">
        <v>3043</v>
      </c>
      <c r="D137" s="12" t="n">
        <v>156957</v>
      </c>
      <c r="E137" s="2" t="n">
        <v>3020</v>
      </c>
      <c r="F137" s="13" t="n">
        <v>156980</v>
      </c>
      <c r="G137" s="2" t="n">
        <v>3044</v>
      </c>
      <c r="H137" s="12" t="n">
        <v>156956</v>
      </c>
    </row>
    <row r="138" customFormat="false" ht="15" hidden="false" customHeight="false" outlineLevel="0" collapsed="false">
      <c r="A138" s="7"/>
      <c r="B138" s="2" t="n">
        <v>134</v>
      </c>
      <c r="C138" s="11" t="n">
        <v>2904</v>
      </c>
      <c r="D138" s="12" t="n">
        <v>157096</v>
      </c>
      <c r="E138" s="2" t="n">
        <v>2885</v>
      </c>
      <c r="F138" s="13" t="n">
        <v>157115</v>
      </c>
      <c r="G138" s="2" t="n">
        <v>2903</v>
      </c>
      <c r="H138" s="12" t="n">
        <v>157097</v>
      </c>
    </row>
    <row r="139" customFormat="false" ht="15" hidden="false" customHeight="false" outlineLevel="0" collapsed="false">
      <c r="A139" s="7"/>
      <c r="B139" s="2" t="n">
        <v>135</v>
      </c>
      <c r="C139" s="11" t="n">
        <v>2748</v>
      </c>
      <c r="D139" s="12" t="n">
        <v>157252</v>
      </c>
      <c r="E139" s="2" t="n">
        <v>2750</v>
      </c>
      <c r="F139" s="13" t="n">
        <v>157250</v>
      </c>
      <c r="G139" s="2" t="n">
        <v>2749</v>
      </c>
      <c r="H139" s="12" t="n">
        <v>157251</v>
      </c>
    </row>
    <row r="140" customFormat="false" ht="15" hidden="false" customHeight="false" outlineLevel="0" collapsed="false">
      <c r="A140" s="7"/>
      <c r="B140" s="2" t="n">
        <v>136</v>
      </c>
      <c r="C140" s="11" t="n">
        <v>2606</v>
      </c>
      <c r="D140" s="12" t="n">
        <v>157394</v>
      </c>
      <c r="E140" s="2" t="n">
        <v>2605</v>
      </c>
      <c r="F140" s="13" t="n">
        <v>157395</v>
      </c>
      <c r="G140" s="2" t="n">
        <v>2606</v>
      </c>
      <c r="H140" s="12" t="n">
        <v>157394</v>
      </c>
    </row>
    <row r="141" customFormat="false" ht="15" hidden="false" customHeight="false" outlineLevel="0" collapsed="false">
      <c r="A141" s="7"/>
      <c r="B141" s="2" t="n">
        <v>137</v>
      </c>
      <c r="C141" s="11" t="n">
        <v>2445</v>
      </c>
      <c r="D141" s="12" t="n">
        <v>157555</v>
      </c>
      <c r="E141" s="2" t="n">
        <v>2427</v>
      </c>
      <c r="F141" s="13" t="n">
        <v>157573</v>
      </c>
      <c r="G141" s="2" t="n">
        <v>2446</v>
      </c>
      <c r="H141" s="12" t="n">
        <v>157554</v>
      </c>
    </row>
    <row r="142" customFormat="false" ht="15" hidden="false" customHeight="false" outlineLevel="0" collapsed="false">
      <c r="A142" s="7"/>
      <c r="B142" s="2" t="n">
        <v>138</v>
      </c>
      <c r="C142" s="11" t="n">
        <v>2263</v>
      </c>
      <c r="D142" s="12" t="n">
        <v>157737</v>
      </c>
      <c r="E142" s="2" t="n">
        <v>2237</v>
      </c>
      <c r="F142" s="13" t="n">
        <v>157763</v>
      </c>
      <c r="G142" s="2" t="n">
        <v>2263</v>
      </c>
      <c r="H142" s="12" t="n">
        <v>157737</v>
      </c>
    </row>
    <row r="143" customFormat="false" ht="15" hidden="false" customHeight="false" outlineLevel="0" collapsed="false">
      <c r="A143" s="7"/>
      <c r="B143" s="2" t="n">
        <v>139</v>
      </c>
      <c r="C143" s="11" t="n">
        <v>2103</v>
      </c>
      <c r="D143" s="12" t="n">
        <v>157897</v>
      </c>
      <c r="E143" s="2" t="n">
        <v>2076</v>
      </c>
      <c r="F143" s="13" t="n">
        <v>157924</v>
      </c>
      <c r="G143" s="2" t="n">
        <v>2102</v>
      </c>
      <c r="H143" s="12" t="n">
        <v>157898</v>
      </c>
    </row>
    <row r="144" customFormat="false" ht="15" hidden="false" customHeight="false" outlineLevel="0" collapsed="false">
      <c r="A144" s="7"/>
      <c r="B144" s="2" t="n">
        <v>140</v>
      </c>
      <c r="C144" s="11" t="n">
        <v>1924</v>
      </c>
      <c r="D144" s="12" t="n">
        <v>158076</v>
      </c>
      <c r="E144" s="2" t="n">
        <v>1916</v>
      </c>
      <c r="F144" s="13" t="n">
        <v>158084</v>
      </c>
      <c r="G144" s="2" t="n">
        <v>1924</v>
      </c>
      <c r="H144" s="12" t="n">
        <v>158076</v>
      </c>
    </row>
    <row r="145" customFormat="false" ht="15" hidden="false" customHeight="false" outlineLevel="0" collapsed="false">
      <c r="A145" s="7"/>
      <c r="B145" s="2" t="n">
        <v>141</v>
      </c>
      <c r="C145" s="11" t="n">
        <v>1723</v>
      </c>
      <c r="D145" s="12" t="n">
        <v>158277</v>
      </c>
      <c r="E145" s="2" t="n">
        <v>1717</v>
      </c>
      <c r="F145" s="13" t="n">
        <v>158283</v>
      </c>
      <c r="G145" s="2" t="n">
        <v>1725</v>
      </c>
      <c r="H145" s="12" t="n">
        <v>158275</v>
      </c>
    </row>
    <row r="146" customFormat="false" ht="15" hidden="false" customHeight="false" outlineLevel="0" collapsed="false">
      <c r="A146" s="7"/>
      <c r="B146" s="2" t="n">
        <v>142</v>
      </c>
      <c r="C146" s="11" t="n">
        <v>1554</v>
      </c>
      <c r="D146" s="12" t="n">
        <v>158446</v>
      </c>
      <c r="E146" s="2" t="n">
        <v>1538</v>
      </c>
      <c r="F146" s="13" t="n">
        <v>158462</v>
      </c>
      <c r="G146" s="2" t="n">
        <v>1556</v>
      </c>
      <c r="H146" s="12" t="n">
        <v>158444</v>
      </c>
    </row>
    <row r="147" customFormat="false" ht="15" hidden="false" customHeight="false" outlineLevel="0" collapsed="false">
      <c r="A147" s="7"/>
      <c r="B147" s="2" t="n">
        <v>143</v>
      </c>
      <c r="C147" s="11" t="n">
        <v>1343</v>
      </c>
      <c r="D147" s="12" t="n">
        <v>158657</v>
      </c>
      <c r="E147" s="2" t="n">
        <v>1312</v>
      </c>
      <c r="F147" s="13" t="n">
        <v>158688</v>
      </c>
      <c r="G147" s="2" t="n">
        <v>1344</v>
      </c>
      <c r="H147" s="12" t="n">
        <v>158656</v>
      </c>
    </row>
    <row r="148" customFormat="false" ht="15" hidden="false" customHeight="false" outlineLevel="0" collapsed="false">
      <c r="A148" s="7"/>
      <c r="B148" s="2" t="n">
        <v>144</v>
      </c>
      <c r="C148" s="11" t="n">
        <v>1140</v>
      </c>
      <c r="D148" s="12" t="n">
        <v>158860</v>
      </c>
      <c r="E148" s="2" t="n">
        <v>1117</v>
      </c>
      <c r="F148" s="13" t="n">
        <v>158883</v>
      </c>
      <c r="G148" s="2" t="n">
        <v>1138</v>
      </c>
      <c r="H148" s="12" t="n">
        <v>158862</v>
      </c>
    </row>
    <row r="149" customFormat="false" ht="15" hidden="false" customHeight="false" outlineLevel="0" collapsed="false">
      <c r="A149" s="7"/>
      <c r="B149" s="2" t="n">
        <v>145</v>
      </c>
      <c r="C149" s="11" t="n">
        <v>916</v>
      </c>
      <c r="D149" s="12" t="n">
        <v>159084</v>
      </c>
      <c r="E149" s="2" t="n">
        <v>889</v>
      </c>
      <c r="F149" s="13" t="n">
        <v>159111</v>
      </c>
      <c r="G149" s="2" t="n">
        <v>916</v>
      </c>
      <c r="H149" s="12" t="n">
        <v>159084</v>
      </c>
    </row>
    <row r="150" customFormat="false" ht="15" hidden="false" customHeight="false" outlineLevel="0" collapsed="false">
      <c r="A150" s="7"/>
      <c r="B150" s="2" t="n">
        <v>146</v>
      </c>
      <c r="C150" s="11" t="n">
        <v>702</v>
      </c>
      <c r="D150" s="12" t="n">
        <v>159298</v>
      </c>
      <c r="E150" s="2" t="n">
        <v>714</v>
      </c>
      <c r="F150" s="13" t="n">
        <v>159286</v>
      </c>
      <c r="G150" s="2" t="n">
        <v>700</v>
      </c>
      <c r="H150" s="12" t="n">
        <v>159300</v>
      </c>
    </row>
    <row r="151" customFormat="false" ht="15" hidden="false" customHeight="false" outlineLevel="0" collapsed="false">
      <c r="A151" s="7"/>
      <c r="B151" s="2" t="n">
        <v>147</v>
      </c>
      <c r="C151" s="11" t="n">
        <v>476</v>
      </c>
      <c r="D151" s="12" t="n">
        <v>159524</v>
      </c>
      <c r="E151" s="2" t="n">
        <v>461</v>
      </c>
      <c r="F151" s="13" t="n">
        <v>159539</v>
      </c>
      <c r="G151" s="2" t="n">
        <v>476</v>
      </c>
      <c r="H151" s="12" t="n">
        <v>159524</v>
      </c>
    </row>
    <row r="152" customFormat="false" ht="15" hidden="false" customHeight="false" outlineLevel="0" collapsed="false">
      <c r="A152" s="7"/>
      <c r="B152" s="2" t="n">
        <v>148</v>
      </c>
      <c r="C152" s="11" t="n">
        <v>245</v>
      </c>
      <c r="D152" s="12" t="n">
        <v>159755</v>
      </c>
      <c r="E152" s="2" t="n">
        <v>234</v>
      </c>
      <c r="F152" s="13" t="n">
        <v>159766</v>
      </c>
      <c r="G152" s="2" t="n">
        <v>245</v>
      </c>
      <c r="H152" s="12" t="n">
        <v>159755</v>
      </c>
    </row>
    <row r="153" customFormat="false" ht="15" hidden="false" customHeight="false" outlineLevel="0" collapsed="false">
      <c r="A153" s="7"/>
      <c r="B153" s="14" t="s">
        <v>8</v>
      </c>
      <c r="C153" s="15" t="n">
        <f aca="false">SUM(C4:C152)</f>
        <v>432981</v>
      </c>
      <c r="D153" s="16" t="n">
        <f aca="false">SUM(D4:D152)</f>
        <v>23407019</v>
      </c>
      <c r="E153" s="17" t="n">
        <f aca="false">SUM(E4:E152)</f>
        <v>428170</v>
      </c>
      <c r="F153" s="18" t="n">
        <f aca="false">SUM(F4:F152)</f>
        <v>23411830</v>
      </c>
      <c r="G153" s="17" t="n">
        <f aca="false">SUM(G4:G152)</f>
        <v>432978</v>
      </c>
      <c r="H153" s="16" t="n">
        <f aca="false">SUM(H4:H152)</f>
        <v>23407022</v>
      </c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</row>
    <row r="158" customFormat="false" ht="15" hidden="false" customHeight="false" outlineLevel="0" collapsed="false">
      <c r="A158" s="2"/>
      <c r="B158" s="19" t="s">
        <v>0</v>
      </c>
      <c r="C158" s="20" t="s">
        <v>9</v>
      </c>
      <c r="D158" s="20"/>
      <c r="E158" s="20"/>
      <c r="F158" s="20"/>
      <c r="G158" s="20"/>
      <c r="H158" s="20"/>
    </row>
    <row r="159" customFormat="false" ht="15" hidden="false" customHeight="false" outlineLevel="0" collapsed="false">
      <c r="A159" s="2"/>
      <c r="B159" s="19"/>
      <c r="C159" s="20" t="s">
        <v>3</v>
      </c>
      <c r="D159" s="20"/>
      <c r="E159" s="20"/>
      <c r="F159" s="6" t="s">
        <v>4</v>
      </c>
      <c r="G159" s="6"/>
      <c r="H159" s="6"/>
    </row>
    <row r="160" customFormat="false" ht="15" hidden="false" customHeight="false" outlineLevel="0" collapsed="false">
      <c r="A160" s="7" t="s">
        <v>10</v>
      </c>
      <c r="B160" s="19"/>
      <c r="C160" s="21" t="str">
        <f aca="false">C3</f>
        <v>#e65c4c</v>
      </c>
      <c r="D160" s="22" t="str">
        <f aca="false">D3</f>
        <v>#ffffff</v>
      </c>
      <c r="E160" s="23"/>
      <c r="F160" s="24" t="str">
        <f aca="false">G3</f>
        <v>#e65c4c</v>
      </c>
      <c r="G160" s="22" t="str">
        <f aca="false">H3</f>
        <v>#ffffff</v>
      </c>
      <c r="H160" s="23"/>
    </row>
    <row r="161" customFormat="false" ht="15" hidden="false" customHeight="false" outlineLevel="0" collapsed="false">
      <c r="A161" s="7"/>
      <c r="B161" s="25" t="n">
        <v>0</v>
      </c>
      <c r="C161" s="11" t="n">
        <f aca="false">(ABS(C4-E4)/C4)*100</f>
        <v>0</v>
      </c>
      <c r="D161" s="25" t="n">
        <f aca="false">(ABS(D4-F4)/D4)*100</f>
        <v>0</v>
      </c>
      <c r="E161" s="23"/>
      <c r="F161" s="25" t="n">
        <f aca="false">(ABS(C4-G4)/C4)*100</f>
        <v>0</v>
      </c>
      <c r="G161" s="25" t="n">
        <f aca="false">(ABS(D4-H4)/D4)*100</f>
        <v>0</v>
      </c>
      <c r="H161" s="23"/>
    </row>
    <row r="162" customFormat="false" ht="15" hidden="false" customHeight="false" outlineLevel="0" collapsed="false">
      <c r="A162" s="7"/>
      <c r="B162" s="25" t="n">
        <v>1</v>
      </c>
      <c r="C162" s="11" t="n">
        <f aca="false">(ABS(C5-E5)/C5)*100</f>
        <v>2.52100840336134</v>
      </c>
      <c r="D162" s="25" t="n">
        <f aca="false">(ABS(D5-F5)/D5)*100</f>
        <v>0.00752237907775633</v>
      </c>
      <c r="E162" s="23"/>
      <c r="F162" s="25" t="n">
        <f aca="false">(ABS(C5-G5)/C5)*100</f>
        <v>0</v>
      </c>
      <c r="G162" s="25" t="n">
        <f aca="false">(ABS(D5-H5)/D5)*100</f>
        <v>0</v>
      </c>
      <c r="H162" s="23"/>
    </row>
    <row r="163" customFormat="false" ht="15" hidden="false" customHeight="false" outlineLevel="0" collapsed="false">
      <c r="A163" s="7"/>
      <c r="B163" s="25" t="n">
        <v>2</v>
      </c>
      <c r="C163" s="11" t="n">
        <f aca="false">(ABS(C6-E6)/C6)*100</f>
        <v>1.28571428571429</v>
      </c>
      <c r="D163" s="25" t="n">
        <f aca="false">(ABS(D6-F6)/D6)*100</f>
        <v>0.00564971751412429</v>
      </c>
      <c r="E163" s="23"/>
      <c r="F163" s="25" t="n">
        <f aca="false">(ABS(C6-G6)/C6)*100</f>
        <v>0</v>
      </c>
      <c r="G163" s="25" t="n">
        <f aca="false">(ABS(D6-H6)/D6)*100</f>
        <v>0</v>
      </c>
      <c r="H163" s="23"/>
    </row>
    <row r="164" customFormat="false" ht="15" hidden="false" customHeight="false" outlineLevel="0" collapsed="false">
      <c r="A164" s="7"/>
      <c r="B164" s="25" t="n">
        <v>3</v>
      </c>
      <c r="C164" s="11" t="n">
        <f aca="false">(ABS(C7-E7)/C7)*100</f>
        <v>0.327153762268266</v>
      </c>
      <c r="D164" s="25" t="n">
        <f aca="false">(ABS(D7-F7)/D7)*100</f>
        <v>0.00188580803731385</v>
      </c>
      <c r="E164" s="23"/>
      <c r="F164" s="25" t="n">
        <f aca="false">(ABS(C7-G7)/C7)*100</f>
        <v>0</v>
      </c>
      <c r="G164" s="25" t="n">
        <f aca="false">(ABS(D7-H7)/D7)*100</f>
        <v>0</v>
      </c>
      <c r="H164" s="23"/>
    </row>
    <row r="165" customFormat="false" ht="15" hidden="false" customHeight="false" outlineLevel="0" collapsed="false">
      <c r="A165" s="7"/>
      <c r="B165" s="25" t="n">
        <v>4</v>
      </c>
      <c r="C165" s="11" t="n">
        <f aca="false">(ABS(C8-E8)/C8)*100</f>
        <v>1.92307692307692</v>
      </c>
      <c r="D165" s="25" t="n">
        <f aca="false">(ABS(D8-F8)/D8)*100</f>
        <v>0.0138490204965503</v>
      </c>
      <c r="E165" s="23"/>
      <c r="F165" s="25" t="n">
        <f aca="false">(ABS(C8-G8)/C8)*100</f>
        <v>0.0874125874125874</v>
      </c>
      <c r="G165" s="25" t="n">
        <f aca="false">(ABS(D8-H8)/D8)*100</f>
        <v>0.000629500931661379</v>
      </c>
      <c r="H165" s="23"/>
    </row>
    <row r="166" customFormat="false" ht="15" hidden="false" customHeight="false" outlineLevel="0" collapsed="false">
      <c r="A166" s="7"/>
      <c r="B166" s="25" t="n">
        <v>5</v>
      </c>
      <c r="C166" s="11" t="n">
        <f aca="false">(ABS(C9-E9)/C9)*100</f>
        <v>0.820283370618941</v>
      </c>
      <c r="D166" s="25" t="n">
        <f aca="false">(ABS(D9-F9)/D9)*100</f>
        <v>0.00693310811236677</v>
      </c>
      <c r="E166" s="23"/>
      <c r="F166" s="25" t="n">
        <f aca="false">(ABS(C9-G9)/C9)*100</f>
        <v>0</v>
      </c>
      <c r="G166" s="25" t="n">
        <f aca="false">(ABS(D9-H9)/D9)*100</f>
        <v>0</v>
      </c>
      <c r="H166" s="23"/>
    </row>
    <row r="167" customFormat="false" ht="15" hidden="false" customHeight="false" outlineLevel="0" collapsed="false">
      <c r="A167" s="7"/>
      <c r="B167" s="25" t="n">
        <v>6</v>
      </c>
      <c r="C167" s="11" t="n">
        <f aca="false">(ABS(C10-E10)/C10)*100</f>
        <v>0.515796260477112</v>
      </c>
      <c r="D167" s="25" t="n">
        <f aca="false">(ABS(D10-F10)/D10)*100</f>
        <v>0.0050489431930779</v>
      </c>
      <c r="E167" s="23"/>
      <c r="F167" s="25" t="n">
        <f aca="false">(ABS(C10-G10)/C10)*100</f>
        <v>0.257898130238556</v>
      </c>
      <c r="G167" s="25" t="n">
        <f aca="false">(ABS(D10-H10)/D10)*100</f>
        <v>0.00252447159653895</v>
      </c>
      <c r="H167" s="23"/>
    </row>
    <row r="168" customFormat="false" ht="15" hidden="false" customHeight="false" outlineLevel="0" collapsed="false">
      <c r="A168" s="7"/>
      <c r="B168" s="25" t="n">
        <v>7</v>
      </c>
      <c r="C168" s="11" t="n">
        <f aca="false">(ABS(C11-E11)/C11)*100</f>
        <v>1.6250725478816</v>
      </c>
      <c r="D168" s="25" t="n">
        <f aca="false">(ABS(D11-F11)/D11)*100</f>
        <v>0.0176905046216443</v>
      </c>
      <c r="E168" s="23"/>
      <c r="F168" s="25" t="n">
        <f aca="false">(ABS(C11-G11)/C11)*100</f>
        <v>0.464306442251886</v>
      </c>
      <c r="G168" s="25" t="n">
        <f aca="false">(ABS(D11-H11)/D11)*100</f>
        <v>0.00505442989189838</v>
      </c>
      <c r="H168" s="23"/>
    </row>
    <row r="169" customFormat="false" ht="15" hidden="false" customHeight="false" outlineLevel="0" collapsed="false">
      <c r="A169" s="7"/>
      <c r="B169" s="25" t="n">
        <v>8</v>
      </c>
      <c r="C169" s="11" t="n">
        <f aca="false">(ABS(C12-E12)/C12)*100</f>
        <v>0.675675675675676</v>
      </c>
      <c r="D169" s="25" t="n">
        <f aca="false">(ABS(D12-F12)/D12)*100</f>
        <v>0.00822389230496723</v>
      </c>
      <c r="E169" s="23"/>
      <c r="F169" s="25" t="n">
        <f aca="false">(ABS(C12-G12)/C12)*100</f>
        <v>0.103950103950104</v>
      </c>
      <c r="G169" s="25" t="n">
        <f aca="false">(ABS(D12-H12)/D12)*100</f>
        <v>0.00126521420076419</v>
      </c>
      <c r="H169" s="23"/>
    </row>
    <row r="170" customFormat="false" ht="15" hidden="false" customHeight="false" outlineLevel="0" collapsed="false">
      <c r="A170" s="7"/>
      <c r="B170" s="25" t="n">
        <v>9</v>
      </c>
      <c r="C170" s="11" t="n">
        <f aca="false">(ABS(C13-E13)/C13)*100</f>
        <v>2.80018984337921</v>
      </c>
      <c r="D170" s="25" t="n">
        <f aca="false">(ABS(D13-F13)/D13)*100</f>
        <v>0.0373670777045214</v>
      </c>
      <c r="E170" s="23"/>
      <c r="F170" s="25" t="n">
        <f aca="false">(ABS(C13-G13)/C13)*100</f>
        <v>0.142382534409112</v>
      </c>
      <c r="G170" s="25" t="n">
        <f aca="false">(ABS(D13-H13)/D13)*100</f>
        <v>0.0019000209002299</v>
      </c>
      <c r="H170" s="23"/>
    </row>
    <row r="171" customFormat="false" ht="15" hidden="false" customHeight="false" outlineLevel="0" collapsed="false">
      <c r="A171" s="7"/>
      <c r="B171" s="25" t="n">
        <v>10</v>
      </c>
      <c r="C171" s="11" t="n">
        <f aca="false">(ABS(C14-E14)/C14)*100</f>
        <v>0.925925925925926</v>
      </c>
      <c r="D171" s="25" t="n">
        <f aca="false">(ABS(D14-F14)/D14)*100</f>
        <v>0.0133137220094844</v>
      </c>
      <c r="E171" s="23"/>
      <c r="F171" s="25" t="n">
        <f aca="false">(ABS(C14-G14)/C14)*100</f>
        <v>0.0440917107583774</v>
      </c>
      <c r="G171" s="25" t="n">
        <f aca="false">(ABS(D14-H14)/D14)*100</f>
        <v>0.000633986762356402</v>
      </c>
      <c r="H171" s="23"/>
    </row>
    <row r="172" customFormat="false" ht="15" hidden="false" customHeight="false" outlineLevel="0" collapsed="false">
      <c r="A172" s="7"/>
      <c r="B172" s="25" t="n">
        <v>11</v>
      </c>
      <c r="C172" s="11" t="n">
        <f aca="false">(ABS(C15-E15)/C15)*100</f>
        <v>1.18464052287582</v>
      </c>
      <c r="D172" s="25" t="n">
        <f aca="false">(ABS(D15-F15)/D15)*100</f>
        <v>0.0184066213059815</v>
      </c>
      <c r="E172" s="23"/>
      <c r="F172" s="25" t="n">
        <f aca="false">(ABS(C15-G15)/C15)*100</f>
        <v>0.326797385620915</v>
      </c>
      <c r="G172" s="25" t="n">
        <f aca="false">(ABS(D15-H15)/D15)*100</f>
        <v>0.00507768863613283</v>
      </c>
      <c r="H172" s="23"/>
    </row>
    <row r="173" customFormat="false" ht="15" hidden="false" customHeight="false" outlineLevel="0" collapsed="false">
      <c r="A173" s="7"/>
      <c r="B173" s="25" t="n">
        <v>12</v>
      </c>
      <c r="C173" s="11" t="n">
        <f aca="false">(ABS(C16-E16)/C16)*100</f>
        <v>0.843558282208589</v>
      </c>
      <c r="D173" s="25" t="n">
        <f aca="false">(ABS(D16-F16)/D16)*100</f>
        <v>0.0139778387719833</v>
      </c>
      <c r="E173" s="23"/>
      <c r="F173" s="25" t="n">
        <f aca="false">(ABS(C16-G16)/C16)*100</f>
        <v>0.0766871165644172</v>
      </c>
      <c r="G173" s="25" t="n">
        <f aca="false">(ABS(D16-H16)/D16)*100</f>
        <v>0.00127071261563485</v>
      </c>
      <c r="H173" s="23"/>
    </row>
    <row r="174" customFormat="false" ht="15" hidden="false" customHeight="false" outlineLevel="0" collapsed="false">
      <c r="A174" s="7"/>
      <c r="B174" s="25" t="n">
        <v>13</v>
      </c>
      <c r="C174" s="11" t="n">
        <f aca="false">(ABS(C17-E17)/C17)*100</f>
        <v>0.182083029861617</v>
      </c>
      <c r="D174" s="25" t="n">
        <f aca="false">(ABS(D17-F17)/D17)*100</f>
        <v>0.003179569359126</v>
      </c>
      <c r="E174" s="23"/>
      <c r="F174" s="25" t="n">
        <f aca="false">(ABS(C17-G17)/C17)*100</f>
        <v>0.0728332119446468</v>
      </c>
      <c r="G174" s="25" t="n">
        <f aca="false">(ABS(D17-H17)/D17)*100</f>
        <v>0.0012718277436504</v>
      </c>
      <c r="H174" s="23"/>
    </row>
    <row r="175" customFormat="false" ht="15" hidden="false" customHeight="false" outlineLevel="0" collapsed="false">
      <c r="A175" s="7"/>
      <c r="B175" s="25" t="n">
        <v>14</v>
      </c>
      <c r="C175" s="11" t="n">
        <f aca="false">(ABS(C18-E18)/C18)*100</f>
        <v>0.757575757575758</v>
      </c>
      <c r="D175" s="25" t="n">
        <f aca="false">(ABS(D18-F18)/D18)*100</f>
        <v>0.0140041757905994</v>
      </c>
      <c r="E175" s="23"/>
      <c r="F175" s="25" t="n">
        <f aca="false">(ABS(C18-G18)/C18)*100</f>
        <v>0.034435261707989</v>
      </c>
      <c r="G175" s="25" t="n">
        <f aca="false">(ABS(D18-H18)/D18)*100</f>
        <v>0.000636553445027245</v>
      </c>
      <c r="H175" s="23"/>
    </row>
    <row r="176" customFormat="false" ht="15" hidden="false" customHeight="false" outlineLevel="0" collapsed="false">
      <c r="A176" s="7"/>
      <c r="B176" s="25" t="n">
        <v>15</v>
      </c>
      <c r="C176" s="11" t="n">
        <f aca="false">(ABS(C19-E19)/C19)*100</f>
        <v>0.920447074293228</v>
      </c>
      <c r="D176" s="25" t="n">
        <f aca="false">(ABS(D19-F19)/D19)*100</f>
        <v>0.0178391671657386</v>
      </c>
      <c r="E176" s="23"/>
      <c r="F176" s="25" t="n">
        <f aca="false">(ABS(C19-G19)/C19)*100</f>
        <v>0</v>
      </c>
      <c r="G176" s="25" t="n">
        <f aca="false">(ABS(D19-H19)/D19)*100</f>
        <v>0</v>
      </c>
      <c r="H176" s="23"/>
    </row>
    <row r="177" customFormat="false" ht="15" hidden="false" customHeight="false" outlineLevel="0" collapsed="false">
      <c r="A177" s="7"/>
      <c r="B177" s="25" t="n">
        <v>16</v>
      </c>
      <c r="C177" s="11" t="n">
        <f aca="false">(ABS(C20-E20)/C20)*100</f>
        <v>0.4739336492891</v>
      </c>
      <c r="D177" s="25" t="n">
        <f aca="false">(ABS(D20-F20)/D20)*100</f>
        <v>0.009564191666401</v>
      </c>
      <c r="E177" s="23"/>
      <c r="F177" s="25" t="n">
        <f aca="false">(ABS(C20-G20)/C20)*100</f>
        <v>0.0315955766192733</v>
      </c>
      <c r="G177" s="25" t="n">
        <f aca="false">(ABS(D20-H20)/D20)*100</f>
        <v>0.000637612777760066</v>
      </c>
      <c r="H177" s="23"/>
    </row>
    <row r="178" customFormat="false" ht="15" hidden="false" customHeight="false" outlineLevel="0" collapsed="false">
      <c r="A178" s="7"/>
      <c r="B178" s="25" t="n">
        <v>17</v>
      </c>
      <c r="C178" s="11" t="n">
        <f aca="false">(ABS(C21-E21)/C21)*100</f>
        <v>1.09555690809495</v>
      </c>
      <c r="D178" s="25" t="n">
        <f aca="false">(ABS(D21-F21)/D21)*100</f>
        <v>0.0229717829932233</v>
      </c>
      <c r="E178" s="23"/>
      <c r="F178" s="25" t="n">
        <f aca="false">(ABS(C21-G21)/C21)*100</f>
        <v>0.0304321363359708</v>
      </c>
      <c r="G178" s="25" t="n">
        <f aca="false">(ABS(D21-H21)/D21)*100</f>
        <v>0.000638105083145092</v>
      </c>
      <c r="H178" s="23"/>
    </row>
    <row r="179" customFormat="false" ht="15" hidden="false" customHeight="false" outlineLevel="0" collapsed="false">
      <c r="A179" s="7"/>
      <c r="B179" s="25" t="n">
        <v>18</v>
      </c>
      <c r="C179" s="11" t="n">
        <f aca="false">(ABS(C22-E22)/C22)*100</f>
        <v>0.948148148148148</v>
      </c>
      <c r="D179" s="25" t="n">
        <f aca="false">(ABS(D22-F22)/D22)*100</f>
        <v>0.0204309656823623</v>
      </c>
      <c r="E179" s="23"/>
      <c r="F179" s="25" t="n">
        <f aca="false">(ABS(C22-G22)/C22)*100</f>
        <v>0.0296296296296296</v>
      </c>
      <c r="G179" s="25" t="n">
        <f aca="false">(ABS(D22-H22)/D22)*100</f>
        <v>0.000638467677573823</v>
      </c>
      <c r="H179" s="23"/>
    </row>
    <row r="180" customFormat="false" ht="15" hidden="false" customHeight="false" outlineLevel="0" collapsed="false">
      <c r="A180" s="7"/>
      <c r="B180" s="25" t="n">
        <v>19</v>
      </c>
      <c r="C180" s="11" t="n">
        <f aca="false">(ABS(C23-E23)/C23)*100</f>
        <v>0.919012062033314</v>
      </c>
      <c r="D180" s="25" t="n">
        <f aca="false">(ABS(D23-F23)/D23)*100</f>
        <v>0.0204449328511737</v>
      </c>
      <c r="E180" s="23"/>
      <c r="F180" s="25" t="n">
        <f aca="false">(ABS(C23-G23)/C23)*100</f>
        <v>0.344629523262493</v>
      </c>
      <c r="G180" s="25" t="n">
        <f aca="false">(ABS(D23-H23)/D23)*100</f>
        <v>0.00766684981919012</v>
      </c>
      <c r="H180" s="23"/>
    </row>
    <row r="181" customFormat="false" ht="15" hidden="false" customHeight="false" outlineLevel="0" collapsed="false">
      <c r="A181" s="7"/>
      <c r="B181" s="25" t="n">
        <v>20</v>
      </c>
      <c r="C181" s="11" t="n">
        <f aca="false">(ABS(C24-E24)/C24)*100</f>
        <v>0.698129014241832</v>
      </c>
      <c r="D181" s="25" t="n">
        <f aca="false">(ABS(D24-F24)/D24)*100</f>
        <v>0.0159827130975137</v>
      </c>
      <c r="E181" s="23"/>
      <c r="F181" s="25" t="n">
        <f aca="false">(ABS(C24-G24)/C24)*100</f>
        <v>0</v>
      </c>
      <c r="G181" s="25" t="n">
        <f aca="false">(ABS(D24-H24)/D24)*100</f>
        <v>0</v>
      </c>
      <c r="H181" s="23"/>
    </row>
    <row r="182" customFormat="false" ht="15" hidden="false" customHeight="false" outlineLevel="0" collapsed="false">
      <c r="A182" s="7"/>
      <c r="B182" s="25" t="n">
        <v>21</v>
      </c>
      <c r="C182" s="11" t="n">
        <f aca="false">(ABS(C25-E25)/C25)*100</f>
        <v>0.843537414965986</v>
      </c>
      <c r="D182" s="25" t="n">
        <f aca="false">(ABS(D25-F25)/D25)*100</f>
        <v>0.0198304813689429</v>
      </c>
      <c r="E182" s="23"/>
      <c r="F182" s="25" t="n">
        <f aca="false">(ABS(C25-G25)/C25)*100</f>
        <v>0.054421768707483</v>
      </c>
      <c r="G182" s="25" t="n">
        <f aca="false">(ABS(D25-H25)/D25)*100</f>
        <v>0.00127938589477051</v>
      </c>
      <c r="H182" s="23"/>
    </row>
    <row r="183" customFormat="false" ht="15" hidden="false" customHeight="false" outlineLevel="0" collapsed="false">
      <c r="A183" s="7"/>
      <c r="B183" s="25" t="n">
        <v>22</v>
      </c>
      <c r="C183" s="11" t="n">
        <f aca="false">(ABS(C26-E26)/C26)*100</f>
        <v>1.40658174097665</v>
      </c>
      <c r="D183" s="25" t="n">
        <f aca="false">(ABS(D26-F26)/D26)*100</f>
        <v>0.0339239080342055</v>
      </c>
      <c r="E183" s="23"/>
      <c r="F183" s="25" t="n">
        <f aca="false">(ABS(C26-G26)/C26)*100</f>
        <v>0.0265392781316348</v>
      </c>
      <c r="G183" s="25" t="n">
        <f aca="false">(ABS(D26-H26)/D26)*100</f>
        <v>0.000640073736494444</v>
      </c>
      <c r="H183" s="23"/>
    </row>
    <row r="184" customFormat="false" ht="15" hidden="false" customHeight="false" outlineLevel="0" collapsed="false">
      <c r="A184" s="7"/>
      <c r="B184" s="25" t="n">
        <v>23</v>
      </c>
      <c r="C184" s="11" t="n">
        <f aca="false">(ABS(C27-E27)/C27)*100</f>
        <v>0.363825363825364</v>
      </c>
      <c r="D184" s="25" t="n">
        <f aca="false">(ABS(D27-F27)/D27)*100</f>
        <v>0.00896562323889544</v>
      </c>
      <c r="E184" s="23"/>
      <c r="F184" s="25" t="n">
        <f aca="false">(ABS(C27-G27)/C27)*100</f>
        <v>0</v>
      </c>
      <c r="G184" s="25" t="n">
        <f aca="false">(ABS(D27-H27)/D27)*100</f>
        <v>0</v>
      </c>
      <c r="H184" s="23"/>
    </row>
    <row r="185" customFormat="false" ht="15" hidden="false" customHeight="false" outlineLevel="0" collapsed="false">
      <c r="A185" s="7"/>
      <c r="B185" s="25" t="n">
        <v>24</v>
      </c>
      <c r="C185" s="11" t="n">
        <f aca="false">(ABS(C28-E28)/C28)*100</f>
        <v>1.24808965868569</v>
      </c>
      <c r="D185" s="25" t="n">
        <f aca="false">(ABS(D28-F28)/D28)*100</f>
        <v>0.0313953637377142</v>
      </c>
      <c r="E185" s="23"/>
      <c r="F185" s="25" t="n">
        <f aca="false">(ABS(C28-G28)/C28)*100</f>
        <v>0.0509424350483953</v>
      </c>
      <c r="G185" s="25" t="n">
        <f aca="false">(ABS(D28-H28)/D28)*100</f>
        <v>0.00128144341786588</v>
      </c>
      <c r="H185" s="23"/>
    </row>
    <row r="186" customFormat="false" ht="15" hidden="false" customHeight="false" outlineLevel="0" collapsed="false">
      <c r="A186" s="7"/>
      <c r="B186" s="25" t="n">
        <v>25</v>
      </c>
      <c r="C186" s="11" t="n">
        <f aca="false">(ABS(C29-E29)/C29)*100</f>
        <v>0.54945054945055</v>
      </c>
      <c r="D186" s="25" t="n">
        <f aca="false">(ABS(D29-F29)/D29)*100</f>
        <v>0.014102925716044</v>
      </c>
      <c r="E186" s="23"/>
      <c r="F186" s="25" t="n">
        <f aca="false">(ABS(C29-G29)/C29)*100</f>
        <v>0.024975024975025</v>
      </c>
      <c r="G186" s="25" t="n">
        <f aca="false">(ABS(D29-H29)/D29)*100</f>
        <v>0.000641042078002</v>
      </c>
      <c r="H186" s="23"/>
    </row>
    <row r="187" customFormat="false" ht="15" hidden="false" customHeight="false" outlineLevel="0" collapsed="false">
      <c r="A187" s="7"/>
      <c r="B187" s="25" t="n">
        <v>26</v>
      </c>
      <c r="C187" s="11" t="n">
        <f aca="false">(ABS(C30-E30)/C30)*100</f>
        <v>0.148404650012367</v>
      </c>
      <c r="D187" s="25" t="n">
        <f aca="false">(ABS(D30-F30)/D30)*100</f>
        <v>0.00384721429624832</v>
      </c>
      <c r="E187" s="23"/>
      <c r="F187" s="25" t="n">
        <f aca="false">(ABS(C30-G30)/C30)*100</f>
        <v>0</v>
      </c>
      <c r="G187" s="25" t="n">
        <f aca="false">(ABS(D30-H30)/D30)*100</f>
        <v>0</v>
      </c>
      <c r="H187" s="23"/>
    </row>
    <row r="188" customFormat="false" ht="15" hidden="false" customHeight="false" outlineLevel="0" collapsed="false">
      <c r="A188" s="7"/>
      <c r="B188" s="25" t="n">
        <v>27</v>
      </c>
      <c r="C188" s="11" t="n">
        <f aca="false">(ABS(C31-E31)/C31)*100</f>
        <v>0.585223116313094</v>
      </c>
      <c r="D188" s="25" t="n">
        <f aca="false">(ABS(D31-F31)/D31)*100</f>
        <v>0.0153945823898806</v>
      </c>
      <c r="E188" s="23"/>
      <c r="F188" s="25" t="n">
        <f aca="false">(ABS(C31-G31)/C31)*100</f>
        <v>0.0243842965130456</v>
      </c>
      <c r="G188" s="25" t="n">
        <f aca="false">(ABS(D31-H31)/D31)*100</f>
        <v>0.000641440932911693</v>
      </c>
      <c r="H188" s="23"/>
    </row>
    <row r="189" customFormat="false" ht="15" hidden="false" customHeight="false" outlineLevel="0" collapsed="false">
      <c r="A189" s="7"/>
      <c r="B189" s="25" t="n">
        <v>28</v>
      </c>
      <c r="C189" s="11" t="n">
        <f aca="false">(ABS(C32-E32)/C32)*100</f>
        <v>1.32882338729162</v>
      </c>
      <c r="D189" s="25" t="n">
        <f aca="false">(ABS(D32-F32)/D32)*100</f>
        <v>0.0352878526379274</v>
      </c>
      <c r="E189" s="23"/>
      <c r="F189" s="25" t="n">
        <f aca="false">(ABS(C32-G32)/C32)*100</f>
        <v>0.0724812756704518</v>
      </c>
      <c r="G189" s="25" t="n">
        <f aca="false">(ABS(D32-H32)/D32)*100</f>
        <v>0.00192479196206877</v>
      </c>
      <c r="H189" s="23"/>
    </row>
    <row r="190" customFormat="false" ht="15" hidden="false" customHeight="false" outlineLevel="0" collapsed="false">
      <c r="A190" s="7"/>
      <c r="B190" s="25" t="n">
        <v>29</v>
      </c>
      <c r="C190" s="11" t="n">
        <f aca="false">(ABS(C33-E33)/C33)*100</f>
        <v>0.240326844508532</v>
      </c>
      <c r="D190" s="25" t="n">
        <f aca="false">(ABS(D33-F33)/D33)*100</f>
        <v>0.00641687895841221</v>
      </c>
      <c r="E190" s="23"/>
      <c r="F190" s="25" t="n">
        <f aca="false">(ABS(C33-G33)/C33)*100</f>
        <v>0.0240326844508532</v>
      </c>
      <c r="G190" s="25" t="n">
        <f aca="false">(ABS(D33-H33)/D33)*100</f>
        <v>0.000641687895841221</v>
      </c>
      <c r="H190" s="23"/>
    </row>
    <row r="191" customFormat="false" ht="15" hidden="false" customHeight="false" outlineLevel="0" collapsed="false">
      <c r="A191" s="7"/>
      <c r="B191" s="25" t="n">
        <v>30</v>
      </c>
      <c r="C191" s="11" t="n">
        <f aca="false">(ABS(C34-E34)/C34)*100</f>
        <v>0.78909612625538</v>
      </c>
      <c r="D191" s="25" t="n">
        <f aca="false">(ABS(D34-F34)/D34)*100</f>
        <v>0.0211785544673914</v>
      </c>
      <c r="E191" s="23"/>
      <c r="F191" s="25" t="n">
        <f aca="false">(ABS(C34-G34)/C34)*100</f>
        <v>0</v>
      </c>
      <c r="G191" s="25" t="n">
        <f aca="false">(ABS(D34-H34)/D34)*100</f>
        <v>0</v>
      </c>
      <c r="H191" s="23"/>
    </row>
    <row r="192" customFormat="false" ht="15" hidden="false" customHeight="false" outlineLevel="0" collapsed="false">
      <c r="A192" s="7"/>
      <c r="B192" s="25" t="n">
        <v>31</v>
      </c>
      <c r="C192" s="11" t="n">
        <f aca="false">(ABS(C35-E35)/C35)*100</f>
        <v>0.832738520104687</v>
      </c>
      <c r="D192" s="25" t="n">
        <f aca="false">(ABS(D35-F35)/D35)*100</f>
        <v>0.0224651309075271</v>
      </c>
      <c r="E192" s="23"/>
      <c r="F192" s="25" t="n">
        <f aca="false">(ABS(C35-G35)/C35)*100</f>
        <v>0.0475850582916964</v>
      </c>
      <c r="G192" s="25" t="n">
        <f aca="false">(ABS(D35-H35)/D35)*100</f>
        <v>0.00128372176614441</v>
      </c>
      <c r="H192" s="23"/>
    </row>
    <row r="193" customFormat="false" ht="15" hidden="false" customHeight="false" outlineLevel="0" collapsed="false">
      <c r="A193" s="7"/>
      <c r="B193" s="25" t="n">
        <v>32</v>
      </c>
      <c r="C193" s="11" t="n">
        <f aca="false">(ABS(C36-E36)/C36)*100</f>
        <v>1.04637336504162</v>
      </c>
      <c r="D193" s="25" t="n">
        <f aca="false">(ABS(D36-F36)/D36)*100</f>
        <v>0.0282422414069771</v>
      </c>
      <c r="E193" s="23"/>
      <c r="F193" s="25" t="n">
        <f aca="false">(ABS(C36-G36)/C36)*100</f>
        <v>0.0475624256837099</v>
      </c>
      <c r="G193" s="25" t="n">
        <f aca="false">(ABS(D36-H36)/D36)*100</f>
        <v>0.00128373824577169</v>
      </c>
      <c r="H193" s="23"/>
    </row>
    <row r="194" customFormat="false" ht="15" hidden="false" customHeight="false" outlineLevel="0" collapsed="false">
      <c r="A194" s="7"/>
      <c r="B194" s="25" t="n">
        <v>33</v>
      </c>
      <c r="C194" s="11" t="n">
        <f aca="false">(ABS(C37-E37)/C37)*100</f>
        <v>1.10338210602063</v>
      </c>
      <c r="D194" s="25" t="n">
        <f aca="false">(ABS(D37-F37)/D37)*100</f>
        <v>0.0295191585756364</v>
      </c>
      <c r="E194" s="23"/>
      <c r="F194" s="25" t="n">
        <f aca="false">(ABS(C37-G37)/C37)*100</f>
        <v>0.0479731350443752</v>
      </c>
      <c r="G194" s="25" t="n">
        <f aca="false">(ABS(D37-H37)/D37)*100</f>
        <v>0.00128344167720158</v>
      </c>
      <c r="H194" s="23"/>
    </row>
    <row r="195" customFormat="false" ht="15" hidden="false" customHeight="false" outlineLevel="0" collapsed="false">
      <c r="A195" s="7"/>
      <c r="B195" s="25" t="n">
        <v>34</v>
      </c>
      <c r="C195" s="11" t="n">
        <f aca="false">(ABS(C38-E38)/C38)*100</f>
        <v>0.867888138862102</v>
      </c>
      <c r="D195" s="25" t="n">
        <f aca="false">(ABS(D38-F38)/D38)*100</f>
        <v>0.0230988373585196</v>
      </c>
      <c r="E195" s="23"/>
      <c r="F195" s="25" t="n">
        <f aca="false">(ABS(C38-G38)/C38)*100</f>
        <v>0.0723240115718419</v>
      </c>
      <c r="G195" s="25" t="n">
        <f aca="false">(ABS(D38-H38)/D38)*100</f>
        <v>0.00192490311320997</v>
      </c>
      <c r="H195" s="23"/>
    </row>
    <row r="196" customFormat="false" ht="15" hidden="false" customHeight="false" outlineLevel="0" collapsed="false">
      <c r="A196" s="7"/>
      <c r="B196" s="25" t="n">
        <v>35</v>
      </c>
      <c r="C196" s="11" t="n">
        <f aca="false">(ABS(C39-E39)/C39)*100</f>
        <v>0.63030303030303</v>
      </c>
      <c r="D196" s="25" t="n">
        <f aca="false">(ABS(D39-F39)/D39)*100</f>
        <v>0.0166800320769848</v>
      </c>
      <c r="E196" s="23"/>
      <c r="F196" s="25" t="n">
        <f aca="false">(ABS(C39-G39)/C39)*100</f>
        <v>0.096969696969697</v>
      </c>
      <c r="G196" s="25" t="n">
        <f aca="false">(ABS(D39-H39)/D39)*100</f>
        <v>0.00256615878107458</v>
      </c>
      <c r="H196" s="23"/>
    </row>
    <row r="197" customFormat="false" ht="15" hidden="false" customHeight="false" outlineLevel="0" collapsed="false">
      <c r="A197" s="7"/>
      <c r="B197" s="25" t="n">
        <v>36</v>
      </c>
      <c r="C197" s="11" t="n">
        <f aca="false">(ABS(C40-E40)/C40)*100</f>
        <v>1.23487280810077</v>
      </c>
      <c r="D197" s="25" t="n">
        <f aca="false">(ABS(D40-F40)/D40)*100</f>
        <v>0.0320613526043437</v>
      </c>
      <c r="E197" s="23"/>
      <c r="F197" s="25" t="n">
        <f aca="false">(ABS(C40-G40)/C40)*100</f>
        <v>0.0246974561620153</v>
      </c>
      <c r="G197" s="25" t="n">
        <f aca="false">(ABS(D40-H40)/D40)*100</f>
        <v>0.000641227052086873</v>
      </c>
      <c r="H197" s="23"/>
    </row>
    <row r="198" customFormat="false" ht="15" hidden="false" customHeight="false" outlineLevel="0" collapsed="false">
      <c r="A198" s="7"/>
      <c r="B198" s="25" t="n">
        <v>37</v>
      </c>
      <c r="C198" s="11" t="n">
        <f aca="false">(ABS(C41-E41)/C41)*100</f>
        <v>1.2817290776577</v>
      </c>
      <c r="D198" s="25" t="n">
        <f aca="false">(ABS(D41-F41)/D41)*100</f>
        <v>0.0326879073970812</v>
      </c>
      <c r="E198" s="23"/>
      <c r="F198" s="25" t="n">
        <f aca="false">(ABS(C41-G41)/C41)*100</f>
        <v>0</v>
      </c>
      <c r="G198" s="25" t="n">
        <f aca="false">(ABS(D41-H41)/D41)*100</f>
        <v>0</v>
      </c>
      <c r="H198" s="23"/>
    </row>
    <row r="199" customFormat="false" ht="15" hidden="false" customHeight="false" outlineLevel="0" collapsed="false">
      <c r="A199" s="7"/>
      <c r="B199" s="25" t="n">
        <v>38</v>
      </c>
      <c r="C199" s="11" t="n">
        <f aca="false">(ABS(C42-E42)/C42)*100</f>
        <v>1.21887966804979</v>
      </c>
      <c r="D199" s="25" t="n">
        <f aca="false">(ABS(D42-F42)/D42)*100</f>
        <v>0.0301004201250128</v>
      </c>
      <c r="E199" s="23"/>
      <c r="F199" s="25" t="n">
        <f aca="false">(ABS(C42-G42)/C42)*100</f>
        <v>0.0259336099585062</v>
      </c>
      <c r="G199" s="25" t="n">
        <f aca="false">(ABS(D42-H42)/D42)*100</f>
        <v>0.000640434470744953</v>
      </c>
      <c r="H199" s="23"/>
    </row>
    <row r="200" customFormat="false" ht="15" hidden="false" customHeight="false" outlineLevel="0" collapsed="false">
      <c r="A200" s="7"/>
      <c r="B200" s="25" t="n">
        <v>39</v>
      </c>
      <c r="C200" s="11" t="n">
        <f aca="false">(ABS(C43-E43)/C43)*100</f>
        <v>1.89753320683112</v>
      </c>
      <c r="D200" s="25" t="n">
        <f aca="false">(ABS(D43-F43)/D43)*100</f>
        <v>0.0447825169054001</v>
      </c>
      <c r="E200" s="23"/>
      <c r="F200" s="25" t="n">
        <f aca="false">(ABS(C43-G43)/C43)*100</f>
        <v>0.0271076172404446</v>
      </c>
      <c r="G200" s="25" t="n">
        <f aca="false">(ABS(D43-H43)/D43)*100</f>
        <v>0.000639750241505716</v>
      </c>
      <c r="H200" s="23"/>
    </row>
    <row r="201" customFormat="false" ht="15" hidden="false" customHeight="false" outlineLevel="0" collapsed="false">
      <c r="A201" s="7"/>
      <c r="B201" s="25" t="n">
        <v>40</v>
      </c>
      <c r="C201" s="11" t="n">
        <f aca="false">(ABS(C44-E44)/C44)*100</f>
        <v>2.09409064830752</v>
      </c>
      <c r="D201" s="25" t="n">
        <f aca="false">(ABS(D44-F44)/D44)*100</f>
        <v>0.0466411950368657</v>
      </c>
      <c r="E201" s="23"/>
      <c r="F201" s="25" t="n">
        <f aca="false">(ABS(C44-G44)/C44)*100</f>
        <v>0</v>
      </c>
      <c r="G201" s="25" t="n">
        <f aca="false">(ABS(D44-H44)/D44)*100</f>
        <v>0</v>
      </c>
      <c r="H201" s="23"/>
    </row>
    <row r="202" customFormat="false" ht="15" hidden="false" customHeight="false" outlineLevel="0" collapsed="false">
      <c r="A202" s="7"/>
      <c r="B202" s="25" t="n">
        <v>41</v>
      </c>
      <c r="C202" s="11" t="n">
        <f aca="false">(ABS(C45-E45)/C45)*100</f>
        <v>1.60666468313002</v>
      </c>
      <c r="D202" s="25" t="n">
        <f aca="false">(ABS(D45-F45)/D45)*100</f>
        <v>0.0344741730986536</v>
      </c>
      <c r="E202" s="23"/>
      <c r="F202" s="25" t="n">
        <f aca="false">(ABS(C45-G45)/C45)*100</f>
        <v>0.029753049687593</v>
      </c>
      <c r="G202" s="25" t="n">
        <f aca="false">(ABS(D45-H45)/D45)*100</f>
        <v>0.00063841061293803</v>
      </c>
      <c r="H202" s="23"/>
    </row>
    <row r="203" customFormat="false" ht="15" hidden="false" customHeight="false" outlineLevel="0" collapsed="false">
      <c r="A203" s="7"/>
      <c r="B203" s="25" t="n">
        <v>42</v>
      </c>
      <c r="C203" s="11" t="n">
        <f aca="false">(ABS(C46-E46)/C46)*100</f>
        <v>0.945121951219512</v>
      </c>
      <c r="D203" s="25" t="n">
        <f aca="false">(ABS(D46-F46)/D46)*100</f>
        <v>0.0197805002552323</v>
      </c>
      <c r="E203" s="23"/>
      <c r="F203" s="25" t="n">
        <f aca="false">(ABS(C46-G46)/C46)*100</f>
        <v>0.0304878048780488</v>
      </c>
      <c r="G203" s="25" t="n">
        <f aca="false">(ABS(D46-H46)/D46)*100</f>
        <v>0.000638080653394589</v>
      </c>
      <c r="H203" s="23"/>
    </row>
    <row r="204" customFormat="false" ht="15" hidden="false" customHeight="false" outlineLevel="0" collapsed="false">
      <c r="A204" s="7"/>
      <c r="B204" s="25" t="n">
        <v>43</v>
      </c>
      <c r="C204" s="11" t="n">
        <f aca="false">(ABS(C47-E47)/C47)*100</f>
        <v>0.722815839094909</v>
      </c>
      <c r="D204" s="25" t="n">
        <f aca="false">(ABS(D47-F47)/D47)*100</f>
        <v>0.0146666836715173</v>
      </c>
      <c r="E204" s="23"/>
      <c r="F204" s="25" t="n">
        <f aca="false">(ABS(C47-G47)/C47)*100</f>
        <v>0.157133878064111</v>
      </c>
      <c r="G204" s="25" t="n">
        <f aca="false">(ABS(D47-H47)/D47)*100</f>
        <v>0.00318840949380811</v>
      </c>
      <c r="H204" s="23"/>
    </row>
    <row r="205" customFormat="false" ht="15" hidden="false" customHeight="false" outlineLevel="0" collapsed="false">
      <c r="A205" s="7"/>
      <c r="B205" s="25" t="n">
        <v>44</v>
      </c>
      <c r="C205" s="11" t="n">
        <f aca="false">(ABS(C48-E48)/C48)*100</f>
        <v>0.705128205128205</v>
      </c>
      <c r="D205" s="25" t="n">
        <f aca="false">(ABS(D48-F48)/D48)*100</f>
        <v>0.0140234574196838</v>
      </c>
      <c r="E205" s="23"/>
      <c r="F205" s="25" t="n">
        <f aca="false">(ABS(C48-G48)/C48)*100</f>
        <v>0.0961538461538462</v>
      </c>
      <c r="G205" s="25" t="n">
        <f aca="false">(ABS(D48-H48)/D48)*100</f>
        <v>0.0019122896481387</v>
      </c>
      <c r="H205" s="23"/>
    </row>
    <row r="206" customFormat="false" ht="15" hidden="false" customHeight="false" outlineLevel="0" collapsed="false">
      <c r="A206" s="7"/>
      <c r="B206" s="25" t="n">
        <v>45</v>
      </c>
      <c r="C206" s="11" t="n">
        <f aca="false">(ABS(C49-E49)/C49)*100</f>
        <v>2.06692913385827</v>
      </c>
      <c r="D206" s="25" t="n">
        <f aca="false">(ABS(D49-F49)/D49)*100</f>
        <v>0.0401396605331566</v>
      </c>
      <c r="E206" s="23"/>
      <c r="F206" s="25" t="n">
        <f aca="false">(ABS(C49-G49)/C49)*100</f>
        <v>0.0656167979002625</v>
      </c>
      <c r="G206" s="25" t="n">
        <f aca="false">(ABS(D49-H49)/D49)*100</f>
        <v>0.00127427493756053</v>
      </c>
      <c r="H206" s="23"/>
    </row>
    <row r="207" customFormat="false" ht="15" hidden="false" customHeight="false" outlineLevel="0" collapsed="false">
      <c r="A207" s="7"/>
      <c r="B207" s="25" t="n">
        <v>46</v>
      </c>
      <c r="C207" s="11" t="n">
        <f aca="false">(ABS(C50-E50)/C50)*100</f>
        <v>1.29956681106298</v>
      </c>
      <c r="D207" s="25" t="n">
        <f aca="false">(ABS(D50-F50)/D50)*100</f>
        <v>0.0248409225536468</v>
      </c>
      <c r="E207" s="23"/>
      <c r="F207" s="25" t="n">
        <f aca="false">(ABS(C50-G50)/C50)*100</f>
        <v>0.0666444518493835</v>
      </c>
      <c r="G207" s="25" t="n">
        <f aca="false">(ABS(D50-H50)/D50)*100</f>
        <v>0.00127389346428958</v>
      </c>
      <c r="H207" s="23"/>
    </row>
    <row r="208" customFormat="false" ht="15" hidden="false" customHeight="false" outlineLevel="0" collapsed="false">
      <c r="A208" s="7"/>
      <c r="B208" s="25" t="n">
        <v>47</v>
      </c>
      <c r="C208" s="11" t="n">
        <f aca="false">(ABS(C51-E51)/C51)*100</f>
        <v>1.46109412164458</v>
      </c>
      <c r="D208" s="25" t="n">
        <f aca="false">(ABS(D51-F51)/D51)*100</f>
        <v>0.0273785950323768</v>
      </c>
      <c r="E208" s="23"/>
      <c r="F208" s="25" t="n">
        <f aca="false">(ABS(C51-G51)/C51)*100</f>
        <v>0</v>
      </c>
      <c r="G208" s="25" t="n">
        <f aca="false">(ABS(D51-H51)/D51)*100</f>
        <v>0</v>
      </c>
      <c r="H208" s="23"/>
    </row>
    <row r="209" customFormat="false" ht="15" hidden="false" customHeight="false" outlineLevel="0" collapsed="false">
      <c r="A209" s="7"/>
      <c r="B209" s="25" t="n">
        <v>48</v>
      </c>
      <c r="C209" s="11" t="n">
        <f aca="false">(ABS(C52-E52)/C52)*100</f>
        <v>0.550395596835225</v>
      </c>
      <c r="D209" s="25" t="n">
        <f aca="false">(ABS(D52-F52)/D52)*100</f>
        <v>0.0101850496202886</v>
      </c>
      <c r="E209" s="23"/>
      <c r="F209" s="25" t="n">
        <f aca="false">(ABS(C52-G52)/C52)*100</f>
        <v>0.0687994496044032</v>
      </c>
      <c r="G209" s="25" t="n">
        <f aca="false">(ABS(D52-H52)/D52)*100</f>
        <v>0.00127313120253608</v>
      </c>
      <c r="H209" s="23"/>
    </row>
    <row r="210" customFormat="false" ht="15" hidden="false" customHeight="false" outlineLevel="0" collapsed="false">
      <c r="A210" s="7"/>
      <c r="B210" s="25" t="n">
        <v>49</v>
      </c>
      <c r="C210" s="11" t="n">
        <f aca="false">(ABS(C53-E53)/C53)*100</f>
        <v>1.1142061281337</v>
      </c>
      <c r="D210" s="25" t="n">
        <f aca="false">(ABS(D53-F53)/D53)*100</f>
        <v>0.0203655618349371</v>
      </c>
      <c r="E210" s="23"/>
      <c r="F210" s="25" t="n">
        <f aca="false">(ABS(C53-G53)/C53)*100</f>
        <v>0.174094707520891</v>
      </c>
      <c r="G210" s="25" t="n">
        <f aca="false">(ABS(D53-H53)/D53)*100</f>
        <v>0.00318211903670893</v>
      </c>
      <c r="H210" s="23"/>
    </row>
    <row r="211" customFormat="false" ht="15" hidden="false" customHeight="false" outlineLevel="0" collapsed="false">
      <c r="A211" s="7"/>
      <c r="B211" s="25" t="n">
        <v>50</v>
      </c>
      <c r="C211" s="11" t="n">
        <f aca="false">(ABS(C54-E54)/C54)*100</f>
        <v>0.848956490979837</v>
      </c>
      <c r="D211" s="25" t="n">
        <f aca="false">(ABS(D54-F54)/D54)*100</f>
        <v>0.0152697982477907</v>
      </c>
      <c r="E211" s="23"/>
      <c r="F211" s="25" t="n">
        <f aca="false">(ABS(C54-G54)/C54)*100</f>
        <v>0.14149274849664</v>
      </c>
      <c r="G211" s="25" t="n">
        <f aca="false">(ABS(D54-H54)/D54)*100</f>
        <v>0.00254496637463178</v>
      </c>
      <c r="H211" s="23"/>
    </row>
    <row r="212" customFormat="false" ht="15" hidden="false" customHeight="false" outlineLevel="0" collapsed="false">
      <c r="A212" s="7"/>
      <c r="B212" s="25" t="n">
        <v>51</v>
      </c>
      <c r="C212" s="11" t="n">
        <f aca="false">(ABS(C55-E55)/C55)*100</f>
        <v>1.46115466856736</v>
      </c>
      <c r="D212" s="25" t="n">
        <f aca="false">(ABS(D55-F55)/D55)*100</f>
        <v>0.0260824204486176</v>
      </c>
      <c r="E212" s="23"/>
      <c r="F212" s="25" t="n">
        <f aca="false">(ABS(C55-G55)/C55)*100</f>
        <v>0</v>
      </c>
      <c r="G212" s="25" t="n">
        <f aca="false">(ABS(D55-H55)/D55)*100</f>
        <v>0</v>
      </c>
      <c r="H212" s="23"/>
    </row>
    <row r="213" customFormat="false" ht="15" hidden="false" customHeight="false" outlineLevel="0" collapsed="false">
      <c r="A213" s="7"/>
      <c r="B213" s="25" t="n">
        <v>52</v>
      </c>
      <c r="C213" s="11" t="n">
        <f aca="false">(ABS(C56-E56)/C56)*100</f>
        <v>1.6955266955267</v>
      </c>
      <c r="D213" s="25" t="n">
        <f aca="false">(ABS(D56-F56)/D56)*100</f>
        <v>0.0298928943954003</v>
      </c>
      <c r="E213" s="23"/>
      <c r="F213" s="25" t="n">
        <f aca="false">(ABS(C56-G56)/C56)*100</f>
        <v>0.0360750360750361</v>
      </c>
      <c r="G213" s="25" t="n">
        <f aca="false">(ABS(D56-H56)/D56)*100</f>
        <v>0.000636019029689368</v>
      </c>
      <c r="H213" s="23"/>
    </row>
    <row r="214" customFormat="false" ht="15" hidden="false" customHeight="false" outlineLevel="0" collapsed="false">
      <c r="A214" s="7"/>
      <c r="B214" s="25" t="n">
        <v>53</v>
      </c>
      <c r="C214" s="11" t="n">
        <f aca="false">(ABS(C57-E57)/C57)*100</f>
        <v>1.61113145367997</v>
      </c>
      <c r="D214" s="25" t="n">
        <f aca="false">(ABS(D57-F57)/D57)*100</f>
        <v>0.0279775416642822</v>
      </c>
      <c r="E214" s="23"/>
      <c r="F214" s="25" t="n">
        <f aca="false">(ABS(C57-G57)/C57)*100</f>
        <v>0.109849871841816</v>
      </c>
      <c r="G214" s="25" t="n">
        <f aca="false">(ABS(D57-H57)/D57)*100</f>
        <v>0.00190755965892833</v>
      </c>
      <c r="H214" s="23"/>
    </row>
    <row r="215" customFormat="false" ht="15" hidden="false" customHeight="false" outlineLevel="0" collapsed="false">
      <c r="A215" s="7"/>
      <c r="B215" s="25" t="n">
        <v>54</v>
      </c>
      <c r="C215" s="11" t="n">
        <f aca="false">(ABS(C58-E58)/C58)*100</f>
        <v>0.256880733944954</v>
      </c>
      <c r="D215" s="25" t="n">
        <f aca="false">(ABS(D58-F58)/D58)*100</f>
        <v>0.00445080273406454</v>
      </c>
      <c r="E215" s="23"/>
      <c r="F215" s="25" t="n">
        <f aca="false">(ABS(C58-G58)/C58)*100</f>
        <v>0.073394495412844</v>
      </c>
      <c r="G215" s="25" t="n">
        <f aca="false">(ABS(D58-H58)/D58)*100</f>
        <v>0.00127165792401844</v>
      </c>
      <c r="H215" s="23"/>
    </row>
    <row r="216" customFormat="false" ht="15" hidden="false" customHeight="false" outlineLevel="0" collapsed="false">
      <c r="A216" s="7"/>
      <c r="B216" s="25" t="n">
        <v>55</v>
      </c>
      <c r="C216" s="11" t="n">
        <f aca="false">(ABS(C59-E59)/C59)*100</f>
        <v>1.63144234334446</v>
      </c>
      <c r="D216" s="25" t="n">
        <f aca="false">(ABS(D59-F59)/D59)*100</f>
        <v>0.027971494504237</v>
      </c>
      <c r="E216" s="23"/>
      <c r="F216" s="25" t="n">
        <f aca="false">(ABS(C59-G59)/C59)*100</f>
        <v>0.0370782350760104</v>
      </c>
      <c r="G216" s="25" t="n">
        <f aca="false">(ABS(D59-H59)/D59)*100</f>
        <v>0.000635715784187206</v>
      </c>
      <c r="H216" s="23"/>
    </row>
    <row r="217" customFormat="false" ht="15" hidden="false" customHeight="false" outlineLevel="0" collapsed="false">
      <c r="A217" s="7"/>
      <c r="B217" s="25" t="n">
        <v>56</v>
      </c>
      <c r="C217" s="11" t="n">
        <f aca="false">(ABS(C60-E60)/C60)*100</f>
        <v>1.34529147982063</v>
      </c>
      <c r="D217" s="25" t="n">
        <f aca="false">(ABS(D60-F60)/D60)*100</f>
        <v>0.0228827133813023</v>
      </c>
      <c r="E217" s="23"/>
      <c r="F217" s="25" t="n">
        <f aca="false">(ABS(C60-G60)/C60)*100</f>
        <v>0.0373692077727952</v>
      </c>
      <c r="G217" s="25" t="n">
        <f aca="false">(ABS(D60-H60)/D60)*100</f>
        <v>0.000635630927258397</v>
      </c>
      <c r="H217" s="23"/>
    </row>
    <row r="218" customFormat="false" ht="15" hidden="false" customHeight="false" outlineLevel="0" collapsed="false">
      <c r="A218" s="7"/>
      <c r="B218" s="25" t="n">
        <v>57</v>
      </c>
      <c r="C218" s="11" t="n">
        <f aca="false">(ABS(C61-E61)/C61)*100</f>
        <v>0.603545831761599</v>
      </c>
      <c r="D218" s="25" t="n">
        <f aca="false">(ABS(D61-F61)/D61)*100</f>
        <v>0.0101684789862026</v>
      </c>
      <c r="E218" s="23"/>
      <c r="F218" s="25" t="n">
        <f aca="false">(ABS(C61-G61)/C61)*100</f>
        <v>0</v>
      </c>
      <c r="G218" s="25" t="n">
        <f aca="false">(ABS(D61-H61)/D61)*100</f>
        <v>0</v>
      </c>
      <c r="H218" s="23"/>
    </row>
    <row r="219" customFormat="false" ht="15" hidden="false" customHeight="false" outlineLevel="0" collapsed="false">
      <c r="A219" s="7"/>
      <c r="B219" s="25" t="n">
        <v>58</v>
      </c>
      <c r="C219" s="11" t="n">
        <f aca="false">(ABS(C62-E62)/C62)*100</f>
        <v>0.870552611657835</v>
      </c>
      <c r="D219" s="25" t="n">
        <f aca="false">(ABS(D62-F62)/D62)*100</f>
        <v>0.0146163525210031</v>
      </c>
      <c r="E219" s="23"/>
      <c r="F219" s="25" t="n">
        <f aca="false">(ABS(C62-G62)/C62)*100</f>
        <v>0</v>
      </c>
      <c r="G219" s="25" t="n">
        <f aca="false">(ABS(D62-H62)/D62)*100</f>
        <v>0</v>
      </c>
      <c r="H219" s="23"/>
    </row>
    <row r="220" customFormat="false" ht="15" hidden="false" customHeight="false" outlineLevel="0" collapsed="false">
      <c r="A220" s="7"/>
      <c r="B220" s="25" t="n">
        <v>59</v>
      </c>
      <c r="C220" s="11" t="n">
        <f aca="false">(ABS(C63-E63)/C63)*100</f>
        <v>0.799390940236011</v>
      </c>
      <c r="D220" s="25" t="n">
        <f aca="false">(ABS(D63-F63)/D63)*100</f>
        <v>0.0133440933324014</v>
      </c>
      <c r="E220" s="23"/>
      <c r="F220" s="25" t="n">
        <f aca="false">(ABS(C63-G63)/C63)*100</f>
        <v>0.0380662352493338</v>
      </c>
      <c r="G220" s="25" t="n">
        <f aca="false">(ABS(D63-H63)/D63)*100</f>
        <v>0.000635433015828636</v>
      </c>
      <c r="H220" s="23"/>
    </row>
    <row r="221" customFormat="false" ht="15" hidden="false" customHeight="false" outlineLevel="0" collapsed="false">
      <c r="A221" s="7"/>
      <c r="B221" s="25" t="n">
        <v>60</v>
      </c>
      <c r="C221" s="11" t="n">
        <f aca="false">(ABS(C64-E64)/C64)*100</f>
        <v>1.30970724191063</v>
      </c>
      <c r="D221" s="25" t="n">
        <f aca="false">(ABS(D64-F64)/D64)*100</f>
        <v>0.0216004675865925</v>
      </c>
      <c r="E221" s="23"/>
      <c r="F221" s="25" t="n">
        <f aca="false">(ABS(C64-G64)/C64)*100</f>
        <v>0</v>
      </c>
      <c r="G221" s="25" t="n">
        <f aca="false">(ABS(D64-H64)/D64)*100</f>
        <v>0</v>
      </c>
      <c r="H221" s="23"/>
    </row>
    <row r="222" customFormat="false" ht="15" hidden="false" customHeight="false" outlineLevel="0" collapsed="false">
      <c r="A222" s="7"/>
      <c r="B222" s="25" t="n">
        <v>61</v>
      </c>
      <c r="C222" s="11" t="n">
        <f aca="false">(ABS(C65-E65)/C65)*100</f>
        <v>1.46548399537216</v>
      </c>
      <c r="D222" s="25" t="n">
        <f aca="false">(ABS(D65-F65)/D65)*100</f>
        <v>0.0241412389537949</v>
      </c>
      <c r="E222" s="23"/>
      <c r="F222" s="25" t="n">
        <f aca="false">(ABS(C65-G65)/C65)*100</f>
        <v>0.0771307365985345</v>
      </c>
      <c r="G222" s="25" t="n">
        <f aca="false">(ABS(D65-H65)/D65)*100</f>
        <v>0.00127059152388394</v>
      </c>
      <c r="H222" s="23"/>
    </row>
    <row r="223" customFormat="false" ht="15" hidden="false" customHeight="false" outlineLevel="0" collapsed="false">
      <c r="A223" s="7"/>
      <c r="B223" s="25" t="n">
        <v>62</v>
      </c>
      <c r="C223" s="11" t="n">
        <f aca="false">(ABS(C66-E66)/C66)*100</f>
        <v>0.964506172839506</v>
      </c>
      <c r="D223" s="25" t="n">
        <f aca="false">(ABS(D66-F66)/D66)*100</f>
        <v>0.015882293149014</v>
      </c>
      <c r="E223" s="23"/>
      <c r="F223" s="25" t="n">
        <f aca="false">(ABS(C66-G66)/C66)*100</f>
        <v>0.0771604938271605</v>
      </c>
      <c r="G223" s="25" t="n">
        <f aca="false">(ABS(D66-H66)/D66)*100</f>
        <v>0.00127058345192112</v>
      </c>
      <c r="H223" s="23"/>
    </row>
    <row r="224" customFormat="false" ht="15" hidden="false" customHeight="false" outlineLevel="0" collapsed="false">
      <c r="A224" s="7"/>
      <c r="B224" s="25" t="n">
        <v>63</v>
      </c>
      <c r="C224" s="11" t="n">
        <f aca="false">(ABS(C67-E67)/C67)*100</f>
        <v>1.67445482866044</v>
      </c>
      <c r="D224" s="25" t="n">
        <f aca="false">(ABS(D67-F67)/D67)*100</f>
        <v>0.0273133797449057</v>
      </c>
      <c r="E224" s="23"/>
      <c r="F224" s="25" t="n">
        <f aca="false">(ABS(C67-G67)/C67)*100</f>
        <v>0.116822429906542</v>
      </c>
      <c r="G224" s="25" t="n">
        <f aca="false">(ABS(D67-H67)/D67)*100</f>
        <v>0.00190558463336552</v>
      </c>
      <c r="H224" s="23"/>
    </row>
    <row r="225" customFormat="false" ht="15" hidden="false" customHeight="false" outlineLevel="0" collapsed="false">
      <c r="A225" s="7"/>
      <c r="B225" s="25" t="n">
        <v>64</v>
      </c>
      <c r="C225" s="11" t="n">
        <f aca="false">(ABS(C68-E68)/C68)*100</f>
        <v>2.14676034348166</v>
      </c>
      <c r="D225" s="25" t="n">
        <f aca="false">(ABS(D68-F68)/D68)*100</f>
        <v>0.0349343868697519</v>
      </c>
      <c r="E225" s="23"/>
      <c r="F225" s="25" t="n">
        <f aca="false">(ABS(C68-G68)/C68)*100</f>
        <v>0</v>
      </c>
      <c r="G225" s="25" t="n">
        <f aca="false">(ABS(D68-H68)/D68)*100</f>
        <v>0</v>
      </c>
      <c r="H225" s="23"/>
    </row>
    <row r="226" customFormat="false" ht="15" hidden="false" customHeight="false" outlineLevel="0" collapsed="false">
      <c r="A226" s="7"/>
      <c r="B226" s="25" t="n">
        <v>65</v>
      </c>
      <c r="C226" s="11" t="n">
        <f aca="false">(ABS(C69-E69)/C69)*100</f>
        <v>1.45326001571092</v>
      </c>
      <c r="D226" s="25" t="n">
        <f aca="false">(ABS(D69-F69)/D69)*100</f>
        <v>0.0234989266706467</v>
      </c>
      <c r="E226" s="23"/>
      <c r="F226" s="25" t="n">
        <f aca="false">(ABS(C69-G69)/C69)*100</f>
        <v>0</v>
      </c>
      <c r="G226" s="25" t="n">
        <f aca="false">(ABS(D69-H69)/D69)*100</f>
        <v>0</v>
      </c>
      <c r="H226" s="23"/>
    </row>
    <row r="227" customFormat="false" ht="15" hidden="false" customHeight="false" outlineLevel="0" collapsed="false">
      <c r="A227" s="7"/>
      <c r="B227" s="25" t="n">
        <v>66</v>
      </c>
      <c r="C227" s="11" t="n">
        <f aca="false">(ABS(C70-E70)/C70)*100</f>
        <v>1.06677202686685</v>
      </c>
      <c r="D227" s="25" t="n">
        <f aca="false">(ABS(D70-F70)/D70)*100</f>
        <v>0.0171462319567661</v>
      </c>
      <c r="E227" s="23"/>
      <c r="F227" s="25" t="n">
        <f aca="false">(ABS(C70-G70)/C70)*100</f>
        <v>0.0395100750691426</v>
      </c>
      <c r="G227" s="25" t="n">
        <f aca="false">(ABS(D70-H70)/D70)*100</f>
        <v>0.000635045628028374</v>
      </c>
      <c r="H227" s="23"/>
    </row>
    <row r="228" customFormat="false" ht="15" hidden="false" customHeight="false" outlineLevel="0" collapsed="false">
      <c r="A228" s="7"/>
      <c r="B228" s="25" t="n">
        <v>67</v>
      </c>
      <c r="C228" s="11" t="n">
        <f aca="false">(ABS(C71-E71)/C71)*100</f>
        <v>0.595947556615018</v>
      </c>
      <c r="D228" s="25" t="n">
        <f aca="false">(ABS(D71-F71)/D71)*100</f>
        <v>0.00952483760151889</v>
      </c>
      <c r="E228" s="23"/>
      <c r="F228" s="25" t="n">
        <f aca="false">(ABS(C71-G71)/C71)*100</f>
        <v>0.0794596742153357</v>
      </c>
      <c r="G228" s="25" t="n">
        <f aca="false">(ABS(D71-H71)/D71)*100</f>
        <v>0.00126997834686919</v>
      </c>
      <c r="H228" s="23"/>
    </row>
    <row r="229" customFormat="false" ht="15" hidden="false" customHeight="false" outlineLevel="0" collapsed="false">
      <c r="A229" s="7"/>
      <c r="B229" s="25" t="n">
        <v>68</v>
      </c>
      <c r="C229" s="11" t="n">
        <f aca="false">(ABS(C72-E72)/C72)*100</f>
        <v>1.22869599682917</v>
      </c>
      <c r="D229" s="25" t="n">
        <f aca="false">(ABS(D72-F72)/D72)*100</f>
        <v>0.0196854143779727</v>
      </c>
      <c r="E229" s="23"/>
      <c r="F229" s="25" t="n">
        <f aca="false">(ABS(C72-G72)/C72)*100</f>
        <v>0.0792707094728498</v>
      </c>
      <c r="G229" s="25" t="n">
        <f aca="false">(ABS(D72-H72)/D72)*100</f>
        <v>0.00127002673406275</v>
      </c>
      <c r="H229" s="23"/>
    </row>
    <row r="230" customFormat="false" ht="15" hidden="false" customHeight="false" outlineLevel="0" collapsed="false">
      <c r="A230" s="7"/>
      <c r="B230" s="25" t="n">
        <v>69</v>
      </c>
      <c r="C230" s="11" t="n">
        <f aca="false">(ABS(C73-E73)/C73)*100</f>
        <v>1.30693069306931</v>
      </c>
      <c r="D230" s="25" t="n">
        <f aca="false">(ABS(D73-F73)/D73)*100</f>
        <v>0.0209557072551199</v>
      </c>
      <c r="E230" s="23"/>
      <c r="F230" s="25" t="n">
        <f aca="false">(ABS(C73-G73)/C73)*100</f>
        <v>0.0396039603960396</v>
      </c>
      <c r="G230" s="25" t="n">
        <f aca="false">(ABS(D73-H73)/D73)*100</f>
        <v>0.000635021431973329</v>
      </c>
      <c r="H230" s="23"/>
    </row>
    <row r="231" customFormat="false" ht="15" hidden="false" customHeight="false" outlineLevel="0" collapsed="false">
      <c r="A231" s="7"/>
      <c r="B231" s="25" t="n">
        <v>70</v>
      </c>
      <c r="C231" s="11" t="n">
        <f aca="false">(ABS(C74-E74)/C74)*100</f>
        <v>1.07484076433121</v>
      </c>
      <c r="D231" s="25" t="n">
        <f aca="false">(ABS(D74-F74)/D74)*100</f>
        <v>0.0171441633648278</v>
      </c>
      <c r="E231" s="23"/>
      <c r="F231" s="25" t="n">
        <f aca="false">(ABS(C74-G74)/C74)*100</f>
        <v>0</v>
      </c>
      <c r="G231" s="25" t="n">
        <f aca="false">(ABS(D74-H74)/D74)*100</f>
        <v>0</v>
      </c>
      <c r="H231" s="23"/>
    </row>
    <row r="232" customFormat="false" ht="15" hidden="false" customHeight="false" outlineLevel="0" collapsed="false">
      <c r="A232" s="7"/>
      <c r="B232" s="25" t="n">
        <v>71</v>
      </c>
      <c r="C232" s="11" t="n">
        <f aca="false">(ABS(C75-E75)/C75)*100</f>
        <v>0.675944333996024</v>
      </c>
      <c r="D232" s="25" t="n">
        <f aca="false">(ABS(D75-F75)/D75)*100</f>
        <v>0.010794678858304</v>
      </c>
      <c r="E232" s="23"/>
      <c r="F232" s="25" t="n">
        <f aca="false">(ABS(C75-G75)/C75)*100</f>
        <v>0.119284294234592</v>
      </c>
      <c r="G232" s="25" t="n">
        <f aca="false">(ABS(D75-H75)/D75)*100</f>
        <v>0.00190494332793599</v>
      </c>
      <c r="H232" s="23"/>
    </row>
    <row r="233" customFormat="false" ht="15" hidden="false" customHeight="false" outlineLevel="0" collapsed="false">
      <c r="A233" s="7"/>
      <c r="B233" s="25" t="n">
        <v>72</v>
      </c>
      <c r="C233" s="11" t="n">
        <f aca="false">(ABS(C76-E76)/C76)*100</f>
        <v>1.43312101910828</v>
      </c>
      <c r="D233" s="25" t="n">
        <f aca="false">(ABS(D76-F76)/D76)*100</f>
        <v>0.0228588844864371</v>
      </c>
      <c r="E233" s="23"/>
      <c r="F233" s="25" t="n">
        <f aca="false">(ABS(C76-G76)/C76)*100</f>
        <v>0.0796178343949045</v>
      </c>
      <c r="G233" s="25" t="n">
        <f aca="false">(ABS(D76-H76)/D76)*100</f>
        <v>0.00126993802702428</v>
      </c>
      <c r="H233" s="23"/>
    </row>
    <row r="234" customFormat="false" ht="15" hidden="false" customHeight="false" outlineLevel="0" collapsed="false">
      <c r="A234" s="7"/>
      <c r="B234" s="25" t="n">
        <v>73</v>
      </c>
      <c r="C234" s="11" t="n">
        <f aca="false">(ABS(C77-E77)/C77)*100</f>
        <v>1.67464114832536</v>
      </c>
      <c r="D234" s="25" t="n">
        <f aca="false">(ABS(D77-F77)/D77)*100</f>
        <v>0.0266680212328245</v>
      </c>
      <c r="E234" s="23"/>
      <c r="F234" s="25" t="n">
        <f aca="false">(ABS(C77-G77)/C77)*100</f>
        <v>0.119617224880383</v>
      </c>
      <c r="G234" s="25" t="n">
        <f aca="false">(ABS(D77-H77)/D77)*100</f>
        <v>0.00190485865948747</v>
      </c>
      <c r="H234" s="23"/>
    </row>
    <row r="235" customFormat="false" ht="15" hidden="false" customHeight="false" outlineLevel="0" collapsed="false">
      <c r="A235" s="7"/>
      <c r="B235" s="25" t="n">
        <v>74</v>
      </c>
      <c r="C235" s="11" t="n">
        <f aca="false">(ABS(C78-E78)/C78)*100</f>
        <v>1.4446227929374</v>
      </c>
      <c r="D235" s="25" t="n">
        <f aca="false">(ABS(D78-F78)/D78)*100</f>
        <v>0.0228559819183788</v>
      </c>
      <c r="E235" s="23"/>
      <c r="F235" s="25" t="n">
        <f aca="false">(ABS(C78-G78)/C78)*100</f>
        <v>0.0802568218298555</v>
      </c>
      <c r="G235" s="25" t="n">
        <f aca="false">(ABS(D78-H78)/D78)*100</f>
        <v>0.00126977677324326</v>
      </c>
      <c r="H235" s="23"/>
    </row>
    <row r="236" customFormat="false" ht="15" hidden="false" customHeight="false" outlineLevel="0" collapsed="false">
      <c r="A236" s="7"/>
      <c r="B236" s="25" t="n">
        <v>75</v>
      </c>
      <c r="C236" s="11" t="n">
        <f aca="false">(ABS(C79-E79)/C79)*100</f>
        <v>2.03511572226656</v>
      </c>
      <c r="D236" s="25" t="n">
        <f aca="false">(ABS(D79-F79)/D79)*100</f>
        <v>0.0323821859880376</v>
      </c>
      <c r="E236" s="23"/>
      <c r="F236" s="25" t="n">
        <f aca="false">(ABS(C79-G79)/C79)*100</f>
        <v>0.0399042298483639</v>
      </c>
      <c r="G236" s="25" t="n">
        <f aca="false">(ABS(D79-H79)/D79)*100</f>
        <v>0.000634944823294856</v>
      </c>
      <c r="H236" s="23"/>
    </row>
    <row r="237" customFormat="false" ht="15" hidden="false" customHeight="false" outlineLevel="0" collapsed="false">
      <c r="A237" s="7"/>
      <c r="B237" s="25" t="n">
        <v>76</v>
      </c>
      <c r="C237" s="11" t="n">
        <f aca="false">(ABS(C80-E80)/C80)*100</f>
        <v>0.997605746209098</v>
      </c>
      <c r="D237" s="25" t="n">
        <f aca="false">(ABS(D80-F80)/D80)*100</f>
        <v>0.0158736205823714</v>
      </c>
      <c r="E237" s="23"/>
      <c r="F237" s="25" t="n">
        <f aca="false">(ABS(C80-G80)/C80)*100</f>
        <v>0.0399042298483639</v>
      </c>
      <c r="G237" s="25" t="n">
        <f aca="false">(ABS(D80-H80)/D80)*100</f>
        <v>0.000634944823294856</v>
      </c>
      <c r="H237" s="23"/>
    </row>
    <row r="238" customFormat="false" ht="15" hidden="false" customHeight="false" outlineLevel="0" collapsed="false">
      <c r="A238" s="7"/>
      <c r="B238" s="25" t="n">
        <v>77</v>
      </c>
      <c r="C238" s="11" t="n">
        <f aca="false">(ABS(C81-E81)/C81)*100</f>
        <v>2.14797136038186</v>
      </c>
      <c r="D238" s="25" t="n">
        <f aca="false">(ABS(D81-F81)/D81)*100</f>
        <v>0.0342887621756855</v>
      </c>
      <c r="E238" s="23"/>
      <c r="F238" s="25" t="n">
        <f aca="false">(ABS(C81-G81)/C81)*100</f>
        <v>0.119331742243437</v>
      </c>
      <c r="G238" s="25" t="n">
        <f aca="false">(ABS(D81-H81)/D81)*100</f>
        <v>0.00190493123198253</v>
      </c>
      <c r="H238" s="23"/>
    </row>
    <row r="239" customFormat="false" ht="15" hidden="false" customHeight="false" outlineLevel="0" collapsed="false">
      <c r="A239" s="7"/>
      <c r="B239" s="25" t="n">
        <v>78</v>
      </c>
      <c r="C239" s="11" t="n">
        <f aca="false">(ABS(C82-E82)/C82)*100</f>
        <v>2.26910828025478</v>
      </c>
      <c r="D239" s="25" t="n">
        <f aca="false">(ABS(D82-F82)/D82)*100</f>
        <v>0.036193233770192</v>
      </c>
      <c r="E239" s="23"/>
      <c r="F239" s="25" t="n">
        <f aca="false">(ABS(C82-G82)/C82)*100</f>
        <v>0</v>
      </c>
      <c r="G239" s="25" t="n">
        <f aca="false">(ABS(D82-H82)/D82)*100</f>
        <v>0</v>
      </c>
      <c r="H239" s="23"/>
    </row>
    <row r="240" customFormat="false" ht="15" hidden="false" customHeight="false" outlineLevel="0" collapsed="false">
      <c r="A240" s="7"/>
      <c r="B240" s="25" t="n">
        <v>79</v>
      </c>
      <c r="C240" s="11" t="n">
        <f aca="false">(ABS(C83-E83)/C83)*100</f>
        <v>0.515259611573524</v>
      </c>
      <c r="D240" s="25" t="n">
        <f aca="false">(ABS(D83-F83)/D83)*100</f>
        <v>0.00825517377140789</v>
      </c>
      <c r="E240" s="23"/>
      <c r="F240" s="25" t="n">
        <f aca="false">(ABS(C83-G83)/C83)*100</f>
        <v>0.1585414189457</v>
      </c>
      <c r="G240" s="25" t="n">
        <f aca="false">(ABS(D83-H83)/D83)*100</f>
        <v>0.0025400534681255</v>
      </c>
      <c r="H240" s="23"/>
    </row>
    <row r="241" customFormat="false" ht="15" hidden="false" customHeight="false" outlineLevel="0" collapsed="false">
      <c r="A241" s="7"/>
      <c r="B241" s="25" t="n">
        <v>80</v>
      </c>
      <c r="C241" s="11" t="n">
        <f aca="false">(ABS(C84-E84)/C84)*100</f>
        <v>1.46942017474186</v>
      </c>
      <c r="D241" s="25" t="n">
        <f aca="false">(ABS(D84-F84)/D84)*100</f>
        <v>0.0234947486061899</v>
      </c>
      <c r="E241" s="23"/>
      <c r="F241" s="25" t="n">
        <f aca="false">(ABS(C84-G84)/C84)*100</f>
        <v>0.119142176330421</v>
      </c>
      <c r="G241" s="25" t="n">
        <f aca="false">(ABS(D84-H84)/D84)*100</f>
        <v>0.0019049796167181</v>
      </c>
      <c r="H241" s="23"/>
    </row>
    <row r="242" customFormat="false" ht="15" hidden="false" customHeight="false" outlineLevel="0" collapsed="false">
      <c r="A242" s="7"/>
      <c r="B242" s="25" t="n">
        <v>81</v>
      </c>
      <c r="C242" s="11" t="n">
        <f aca="false">(ABS(C85-E85)/C85)*100</f>
        <v>1.03092783505155</v>
      </c>
      <c r="D242" s="25" t="n">
        <f aca="false">(ABS(D85-F85)/D85)*100</f>
        <v>0.0165102427005677</v>
      </c>
      <c r="E242" s="23"/>
      <c r="F242" s="25" t="n">
        <f aca="false">(ABS(C85-G85)/C85)*100</f>
        <v>0.118953211736717</v>
      </c>
      <c r="G242" s="25" t="n">
        <f aca="false">(ABS(D85-H85)/D85)*100</f>
        <v>0.00190502800391166</v>
      </c>
      <c r="H242" s="23"/>
    </row>
    <row r="243" customFormat="false" ht="15" hidden="false" customHeight="false" outlineLevel="0" collapsed="false">
      <c r="A243" s="7"/>
      <c r="B243" s="25" t="n">
        <v>82</v>
      </c>
      <c r="C243" s="11" t="n">
        <f aca="false">(ABS(C86-E86)/C86)*100</f>
        <v>1.30537974683544</v>
      </c>
      <c r="D243" s="25" t="n">
        <f aca="false">(ABS(D86-F86)/D86)*100</f>
        <v>0.0209561064824223</v>
      </c>
      <c r="E243" s="23"/>
      <c r="F243" s="25" t="n">
        <f aca="false">(ABS(C86-G86)/C86)*100</f>
        <v>0</v>
      </c>
      <c r="G243" s="25" t="n">
        <f aca="false">(ABS(D86-H86)/D86)*100</f>
        <v>0</v>
      </c>
      <c r="H243" s="23"/>
    </row>
    <row r="244" customFormat="false" ht="15" hidden="false" customHeight="false" outlineLevel="0" collapsed="false">
      <c r="A244" s="7"/>
      <c r="B244" s="25" t="n">
        <v>83</v>
      </c>
      <c r="C244" s="11" t="n">
        <f aca="false">(ABS(C87-E87)/C87)*100</f>
        <v>2.43328100470958</v>
      </c>
      <c r="D244" s="25" t="n">
        <f aca="false">(ABS(D87-F87)/D87)*100</f>
        <v>0.0393770799989838</v>
      </c>
      <c r="E244" s="23"/>
      <c r="F244" s="25" t="n">
        <f aca="false">(ABS(C87-G87)/C87)*100</f>
        <v>0.0392464678178964</v>
      </c>
      <c r="G244" s="25" t="n">
        <f aca="false">(ABS(D87-H87)/D87)*100</f>
        <v>0.000635114193531997</v>
      </c>
      <c r="H244" s="23"/>
    </row>
    <row r="245" customFormat="false" ht="15" hidden="false" customHeight="false" outlineLevel="0" collapsed="false">
      <c r="A245" s="7"/>
      <c r="B245" s="25" t="n">
        <v>84</v>
      </c>
      <c r="C245" s="11" t="n">
        <f aca="false">(ABS(C88-E88)/C88)*100</f>
        <v>1.17096018735363</v>
      </c>
      <c r="D245" s="25" t="n">
        <f aca="false">(ABS(D88-F88)/D88)*100</f>
        <v>0.0190551201107738</v>
      </c>
      <c r="E245" s="23"/>
      <c r="F245" s="25" t="n">
        <f aca="false">(ABS(C88-G88)/C88)*100</f>
        <v>0.039032006245121</v>
      </c>
      <c r="G245" s="25" t="n">
        <f aca="false">(ABS(D88-H88)/D88)*100</f>
        <v>0.000635170670359126</v>
      </c>
      <c r="H245" s="23"/>
    </row>
    <row r="246" customFormat="false" ht="15" hidden="false" customHeight="false" outlineLevel="0" collapsed="false">
      <c r="A246" s="7"/>
      <c r="B246" s="25" t="n">
        <v>85</v>
      </c>
      <c r="C246" s="11" t="n">
        <f aca="false">(ABS(C89-E89)/C89)*100</f>
        <v>0.661993769470405</v>
      </c>
      <c r="D246" s="25" t="n">
        <f aca="false">(ABS(D89-F89)/D89)*100</f>
        <v>0.0107983129224046</v>
      </c>
      <c r="E246" s="23"/>
      <c r="F246" s="25" t="n">
        <f aca="false">(ABS(C89-G89)/C89)*100</f>
        <v>0</v>
      </c>
      <c r="G246" s="25" t="n">
        <f aca="false">(ABS(D89-H89)/D89)*100</f>
        <v>0</v>
      </c>
      <c r="H246" s="23"/>
    </row>
    <row r="247" customFormat="false" ht="15" hidden="false" customHeight="false" outlineLevel="0" collapsed="false">
      <c r="A247" s="7"/>
      <c r="B247" s="25" t="n">
        <v>86</v>
      </c>
      <c r="C247" s="11" t="n">
        <f aca="false">(ABS(C90-E90)/C90)*100</f>
        <v>1.27956572314851</v>
      </c>
      <c r="D247" s="25" t="n">
        <f aca="false">(ABS(D90-F90)/D90)*100</f>
        <v>0.0209628956746559</v>
      </c>
      <c r="E247" s="23"/>
      <c r="F247" s="25" t="n">
        <f aca="false">(ABS(C90-G90)/C90)*100</f>
        <v>0.0387747188832881</v>
      </c>
      <c r="G247" s="25" t="n">
        <f aca="false">(ABS(D90-H90)/D90)*100</f>
        <v>0.000635239262868359</v>
      </c>
      <c r="H247" s="23"/>
    </row>
    <row r="248" customFormat="false" ht="15" hidden="false" customHeight="false" outlineLevel="0" collapsed="false">
      <c r="A248" s="7"/>
      <c r="B248" s="25" t="n">
        <v>87</v>
      </c>
      <c r="C248" s="11" t="n">
        <f aca="false">(ABS(C91-E91)/C91)*100</f>
        <v>1.31122252217509</v>
      </c>
      <c r="D248" s="25" t="n">
        <f aca="false">(ABS(D91-F91)/D91)*100</f>
        <v>0.0216000559060271</v>
      </c>
      <c r="E248" s="23"/>
      <c r="F248" s="25" t="n">
        <f aca="false">(ABS(C91-G91)/C91)*100</f>
        <v>0.0771307365985345</v>
      </c>
      <c r="G248" s="25" t="n">
        <f aca="false">(ABS(D91-H91)/D91)*100</f>
        <v>0.00127059152388394</v>
      </c>
      <c r="H248" s="23"/>
    </row>
    <row r="249" customFormat="false" ht="15" hidden="false" customHeight="false" outlineLevel="0" collapsed="false">
      <c r="A249" s="7"/>
      <c r="B249" s="25" t="n">
        <v>88</v>
      </c>
      <c r="C249" s="11" t="n">
        <f aca="false">(ABS(C92-E92)/C92)*100</f>
        <v>1.19552641727729</v>
      </c>
      <c r="D249" s="25" t="n">
        <f aca="false">(ABS(D92-F92)/D92)*100</f>
        <v>0.0196941686202011</v>
      </c>
      <c r="E249" s="23"/>
      <c r="F249" s="25" t="n">
        <f aca="false">(ABS(C92-G92)/C92)*100</f>
        <v>0.0771307365985345</v>
      </c>
      <c r="G249" s="25" t="n">
        <f aca="false">(ABS(D92-H92)/D92)*100</f>
        <v>0.00127059152388394</v>
      </c>
      <c r="H249" s="23"/>
    </row>
    <row r="250" customFormat="false" ht="15" hidden="false" customHeight="false" outlineLevel="0" collapsed="false">
      <c r="A250" s="7"/>
      <c r="B250" s="25" t="n">
        <v>89</v>
      </c>
      <c r="C250" s="11" t="n">
        <f aca="false">(ABS(C93-E93)/C93)*100</f>
        <v>1.52439024390244</v>
      </c>
      <c r="D250" s="25" t="n">
        <f aca="false">(ABS(D93-F93)/D93)*100</f>
        <v>0.0254168361122407</v>
      </c>
      <c r="E250" s="23"/>
      <c r="F250" s="25" t="n">
        <f aca="false">(ABS(C93-G93)/C93)*100</f>
        <v>0.038109756097561</v>
      </c>
      <c r="G250" s="25" t="n">
        <f aca="false">(ABS(D93-H93)/D93)*100</f>
        <v>0.000635420902806019</v>
      </c>
      <c r="H250" s="23"/>
    </row>
    <row r="251" customFormat="false" ht="15" hidden="false" customHeight="false" outlineLevel="0" collapsed="false">
      <c r="A251" s="7"/>
      <c r="B251" s="25" t="n">
        <v>90</v>
      </c>
      <c r="C251" s="11" t="n">
        <f aca="false">(ABS(C94-E94)/C94)*100</f>
        <v>1.43830431491294</v>
      </c>
      <c r="D251" s="25" t="n">
        <f aca="false">(ABS(D94-F94)/D94)*100</f>
        <v>0.0241487563390485</v>
      </c>
      <c r="E251" s="23"/>
      <c r="F251" s="25" t="n">
        <f aca="false">(ABS(C94-G94)/C94)*100</f>
        <v>0.0378501135503407</v>
      </c>
      <c r="G251" s="25" t="n">
        <f aca="false">(ABS(D94-H94)/D94)*100</f>
        <v>0.000635493587869698</v>
      </c>
      <c r="H251" s="23"/>
    </row>
    <row r="252" customFormat="false" ht="15" hidden="false" customHeight="false" outlineLevel="0" collapsed="false">
      <c r="A252" s="7"/>
      <c r="B252" s="25" t="n">
        <v>91</v>
      </c>
      <c r="C252" s="11" t="n">
        <f aca="false">(ABS(C95-E95)/C95)*100</f>
        <v>1.96004523181304</v>
      </c>
      <c r="D252" s="25" t="n">
        <f aca="false">(ABS(D95-F95)/D95)*100</f>
        <v>0.0330479767647302</v>
      </c>
      <c r="E252" s="23"/>
      <c r="F252" s="25" t="n">
        <f aca="false">(ABS(C95-G95)/C95)*100</f>
        <v>0</v>
      </c>
      <c r="G252" s="25" t="n">
        <f aca="false">(ABS(D95-H95)/D95)*100</f>
        <v>0</v>
      </c>
      <c r="H252" s="23"/>
    </row>
    <row r="253" customFormat="false" ht="15" hidden="false" customHeight="false" outlineLevel="0" collapsed="false">
      <c r="A253" s="7"/>
      <c r="B253" s="25" t="n">
        <v>92</v>
      </c>
      <c r="C253" s="11" t="n">
        <f aca="false">(ABS(C96-E96)/C96)*100</f>
        <v>0.711877107530911</v>
      </c>
      <c r="D253" s="25" t="n">
        <f aca="false">(ABS(D96-F96)/D96)*100</f>
        <v>0.012076450286339</v>
      </c>
      <c r="E253" s="23"/>
      <c r="F253" s="25" t="n">
        <f aca="false">(ABS(C96-G96)/C96)*100</f>
        <v>0</v>
      </c>
      <c r="G253" s="25" t="n">
        <f aca="false">(ABS(D96-H96)/D96)*100</f>
        <v>0</v>
      </c>
      <c r="H253" s="23"/>
    </row>
    <row r="254" customFormat="false" ht="15" hidden="false" customHeight="false" outlineLevel="0" collapsed="false">
      <c r="A254" s="7"/>
      <c r="B254" s="25" t="n">
        <v>93</v>
      </c>
      <c r="C254" s="11" t="n">
        <f aca="false">(ABS(C97-E97)/C97)*100</f>
        <v>1.26206384558278</v>
      </c>
      <c r="D254" s="25" t="n">
        <f aca="false">(ABS(D97-F97)/D97)*100</f>
        <v>0.021613924452977</v>
      </c>
      <c r="E254" s="23"/>
      <c r="F254" s="25" t="n">
        <f aca="false">(ABS(C97-G97)/C97)*100</f>
        <v>0.0371195248700817</v>
      </c>
      <c r="G254" s="25" t="n">
        <f aca="false">(ABS(D97-H97)/D97)*100</f>
        <v>0.000635703660381677</v>
      </c>
      <c r="H254" s="23"/>
    </row>
    <row r="255" customFormat="false" ht="15" hidden="false" customHeight="false" outlineLevel="0" collapsed="false">
      <c r="A255" s="7"/>
      <c r="B255" s="25" t="n">
        <v>94</v>
      </c>
      <c r="C255" s="11" t="n">
        <f aca="false">(ABS(C98-E98)/C98)*100</f>
        <v>0.989373396848662</v>
      </c>
      <c r="D255" s="25" t="n">
        <f aca="false">(ABS(D98-F98)/D98)*100</f>
        <v>0.0171678186061003</v>
      </c>
      <c r="E255" s="23"/>
      <c r="F255" s="25" t="n">
        <f aca="false">(ABS(C98-G98)/C98)*100</f>
        <v>0.183217295712715</v>
      </c>
      <c r="G255" s="25" t="n">
        <f aca="false">(ABS(D98-H98)/D98)*100</f>
        <v>0.00317922566779635</v>
      </c>
      <c r="H255" s="23"/>
    </row>
    <row r="256" customFormat="false" ht="15" hidden="false" customHeight="false" outlineLevel="0" collapsed="false">
      <c r="A256" s="7"/>
      <c r="B256" s="25" t="n">
        <v>95</v>
      </c>
      <c r="C256" s="11" t="n">
        <f aca="false">(ABS(C99-E99)/C99)*100</f>
        <v>2.2336140607836</v>
      </c>
      <c r="D256" s="25" t="n">
        <f aca="false">(ABS(D99-F99)/D99)*100</f>
        <v>0.0387870463982094</v>
      </c>
      <c r="E256" s="23"/>
      <c r="F256" s="25" t="n">
        <f aca="false">(ABS(C99-G99)/C99)*100</f>
        <v>0</v>
      </c>
      <c r="G256" s="25" t="n">
        <f aca="false">(ABS(D99-H99)/D99)*100</f>
        <v>0</v>
      </c>
      <c r="H256" s="23"/>
    </row>
    <row r="257" customFormat="false" ht="15" hidden="false" customHeight="false" outlineLevel="0" collapsed="false">
      <c r="A257" s="7"/>
      <c r="B257" s="25" t="n">
        <v>96</v>
      </c>
      <c r="C257" s="11" t="n">
        <f aca="false">(ABS(C100-E100)/C100)*100</f>
        <v>0.975433526011561</v>
      </c>
      <c r="D257" s="25" t="n">
        <f aca="false">(ABS(D100-F100)/D100)*100</f>
        <v>0.0171720769309047</v>
      </c>
      <c r="E257" s="23"/>
      <c r="F257" s="25" t="n">
        <f aca="false">(ABS(C100-G100)/C100)*100</f>
        <v>0.144508670520231</v>
      </c>
      <c r="G257" s="25" t="n">
        <f aca="false">(ABS(D100-H100)/D100)*100</f>
        <v>0.00254401139717106</v>
      </c>
      <c r="H257" s="23"/>
    </row>
    <row r="258" customFormat="false" ht="15" hidden="false" customHeight="false" outlineLevel="0" collapsed="false">
      <c r="A258" s="7"/>
      <c r="B258" s="25" t="n">
        <v>97</v>
      </c>
      <c r="C258" s="11" t="n">
        <f aca="false">(ABS(C101-E101)/C101)*100</f>
        <v>0.644699140401146</v>
      </c>
      <c r="D258" s="25" t="n">
        <f aca="false">(ABS(D101-F101)/D101)*100</f>
        <v>0.0114497989924177</v>
      </c>
      <c r="E258" s="23"/>
      <c r="F258" s="25" t="n">
        <f aca="false">(ABS(C101-G101)/C101)*100</f>
        <v>0.0358166189111748</v>
      </c>
      <c r="G258" s="25" t="n">
        <f aca="false">(ABS(D101-H101)/D101)*100</f>
        <v>0.000636099944023205</v>
      </c>
      <c r="H258" s="23"/>
    </row>
    <row r="259" customFormat="false" ht="15" hidden="false" customHeight="false" outlineLevel="0" collapsed="false">
      <c r="A259" s="7"/>
      <c r="B259" s="25" t="n">
        <v>98</v>
      </c>
      <c r="C259" s="11" t="n">
        <f aca="false">(ABS(C102-E102)/C102)*100</f>
        <v>0.599647266313933</v>
      </c>
      <c r="D259" s="25" t="n">
        <f aca="false">(ABS(D102-F102)/D102)*100</f>
        <v>0.0108166576527853</v>
      </c>
      <c r="E259" s="23"/>
      <c r="F259" s="25" t="n">
        <f aca="false">(ABS(C102-G102)/C102)*100</f>
        <v>0.0352733686067019</v>
      </c>
      <c r="G259" s="25" t="n">
        <f aca="false">(ABS(D102-H102)/D102)*100</f>
        <v>0.000636273979575605</v>
      </c>
      <c r="H259" s="23"/>
    </row>
    <row r="260" customFormat="false" ht="15" hidden="false" customHeight="false" outlineLevel="0" collapsed="false">
      <c r="A260" s="7"/>
      <c r="B260" s="25" t="n">
        <v>99</v>
      </c>
      <c r="C260" s="11" t="n">
        <f aca="false">(ABS(C103-E103)/C103)*100</f>
        <v>1.56521739130435</v>
      </c>
      <c r="D260" s="25" t="n">
        <f aca="false">(ABS(D103-F103)/D103)*100</f>
        <v>0.0286396181384248</v>
      </c>
      <c r="E260" s="23"/>
      <c r="F260" s="25" t="n">
        <f aca="false">(ABS(C103-G103)/C103)*100</f>
        <v>0</v>
      </c>
      <c r="G260" s="25" t="n">
        <f aca="false">(ABS(D103-H103)/D103)*100</f>
        <v>0</v>
      </c>
      <c r="H260" s="23"/>
    </row>
    <row r="261" customFormat="false" ht="15" hidden="false" customHeight="false" outlineLevel="0" collapsed="false">
      <c r="A261" s="7"/>
      <c r="B261" s="25" t="n">
        <v>100</v>
      </c>
      <c r="C261" s="11" t="n">
        <f aca="false">(ABS(C104-E104)/C104)*100</f>
        <v>1.64609053497942</v>
      </c>
      <c r="D261" s="25" t="n">
        <f aca="false">(ABS(D104-F104)/D104)*100</f>
        <v>0.0305568994932647</v>
      </c>
      <c r="E261" s="23"/>
      <c r="F261" s="25" t="n">
        <f aca="false">(ABS(C104-G104)/C104)*100</f>
        <v>0.0342935528120713</v>
      </c>
      <c r="G261" s="25" t="n">
        <f aca="false">(ABS(D104-H104)/D104)*100</f>
        <v>0.000636602072776349</v>
      </c>
      <c r="H261" s="23"/>
    </row>
    <row r="262" customFormat="false" ht="15" hidden="false" customHeight="false" outlineLevel="0" collapsed="false">
      <c r="A262" s="7"/>
      <c r="B262" s="25" t="n">
        <v>101</v>
      </c>
      <c r="C262" s="11" t="n">
        <f aca="false">(ABS(C105-E105)/C105)*100</f>
        <v>0.881953867028494</v>
      </c>
      <c r="D262" s="25" t="n">
        <f aca="false">(ABS(D105-F105)/D105)*100</f>
        <v>0.0165550263606958</v>
      </c>
      <c r="E262" s="23"/>
      <c r="F262" s="25" t="n">
        <f aca="false">(ABS(C105-G105)/C105)*100</f>
        <v>0</v>
      </c>
      <c r="G262" s="25" t="n">
        <f aca="false">(ABS(D105-H105)/D105)*100</f>
        <v>0</v>
      </c>
      <c r="H262" s="23"/>
    </row>
    <row r="263" customFormat="false" ht="15" hidden="false" customHeight="false" outlineLevel="0" collapsed="false">
      <c r="A263" s="7"/>
      <c r="B263" s="25" t="n">
        <v>102</v>
      </c>
      <c r="C263" s="11" t="n">
        <f aca="false">(ABS(C106-E106)/C106)*100</f>
        <v>0.899400399733511</v>
      </c>
      <c r="D263" s="25" t="n">
        <f aca="false">(ABS(D106-F106)/D106)*100</f>
        <v>0.0171976713079148</v>
      </c>
      <c r="E263" s="23"/>
      <c r="F263" s="25" t="n">
        <f aca="false">(ABS(C106-G106)/C106)*100</f>
        <v>0.033311125916056</v>
      </c>
      <c r="G263" s="25" t="n">
        <f aca="false">(ABS(D106-H106)/D106)*100</f>
        <v>0.000636950789182028</v>
      </c>
      <c r="H263" s="23"/>
    </row>
    <row r="264" customFormat="false" ht="15" hidden="false" customHeight="false" outlineLevel="0" collapsed="false">
      <c r="A264" s="7"/>
      <c r="B264" s="25" t="n">
        <v>103</v>
      </c>
      <c r="C264" s="11" t="n">
        <f aca="false">(ABS(C107-E107)/C107)*100</f>
        <v>1.18226600985222</v>
      </c>
      <c r="D264" s="25" t="n">
        <f aca="false">(ABS(D107-F107)/D107)*100</f>
        <v>0.0229365104647829</v>
      </c>
      <c r="E264" s="23"/>
      <c r="F264" s="25" t="n">
        <f aca="false">(ABS(C107-G107)/C107)*100</f>
        <v>0</v>
      </c>
      <c r="G264" s="25" t="n">
        <f aca="false">(ABS(D107-H107)/D107)*100</f>
        <v>0</v>
      </c>
      <c r="H264" s="23"/>
    </row>
    <row r="265" customFormat="false" ht="15" hidden="false" customHeight="false" outlineLevel="0" collapsed="false">
      <c r="A265" s="7"/>
      <c r="B265" s="25" t="n">
        <v>104</v>
      </c>
      <c r="C265" s="11" t="n">
        <f aca="false">(ABS(C108-E108)/C108)*100</f>
        <v>1.8601667735728</v>
      </c>
      <c r="D265" s="25" t="n">
        <f aca="false">(ABS(D108-F108)/D108)*100</f>
        <v>0.0369704618758047</v>
      </c>
      <c r="E265" s="23"/>
      <c r="F265" s="25" t="n">
        <f aca="false">(ABS(C108-G108)/C108)*100</f>
        <v>0.128287363694676</v>
      </c>
      <c r="G265" s="25" t="n">
        <f aca="false">(ABS(D108-H108)/D108)*100</f>
        <v>0.00254968702591757</v>
      </c>
      <c r="H265" s="23"/>
    </row>
    <row r="266" customFormat="false" ht="15" hidden="false" customHeight="false" outlineLevel="0" collapsed="false">
      <c r="A266" s="7"/>
      <c r="B266" s="25" t="n">
        <v>105</v>
      </c>
      <c r="C266" s="11" t="n">
        <f aca="false">(ABS(C109-E109)/C109)*100</f>
        <v>1.69385194479297</v>
      </c>
      <c r="D266" s="25" t="n">
        <f aca="false">(ABS(D109-F109)/D109)*100</f>
        <v>0.0344361400913195</v>
      </c>
      <c r="E266" s="23"/>
      <c r="F266" s="25" t="n">
        <f aca="false">(ABS(C109-G109)/C109)*100</f>
        <v>0</v>
      </c>
      <c r="G266" s="25" t="n">
        <f aca="false">(ABS(D109-H109)/D109)*100</f>
        <v>0</v>
      </c>
      <c r="H266" s="23"/>
    </row>
    <row r="267" customFormat="false" ht="15" hidden="false" customHeight="false" outlineLevel="0" collapsed="false">
      <c r="A267" s="7"/>
      <c r="B267" s="25" t="n">
        <v>106</v>
      </c>
      <c r="C267" s="11" t="n">
        <f aca="false">(ABS(C110-E110)/C110)*100</f>
        <v>1.22399020807834</v>
      </c>
      <c r="D267" s="25" t="n">
        <f aca="false">(ABS(D110-F110)/D110)*100</f>
        <v>0.0255212719801955</v>
      </c>
      <c r="E267" s="23"/>
      <c r="F267" s="25" t="n">
        <f aca="false">(ABS(C110-G110)/C110)*100</f>
        <v>0.0305997552019584</v>
      </c>
      <c r="G267" s="25" t="n">
        <f aca="false">(ABS(D110-H110)/D110)*100</f>
        <v>0.000638031799504887</v>
      </c>
      <c r="H267" s="23"/>
    </row>
    <row r="268" customFormat="false" ht="15" hidden="false" customHeight="false" outlineLevel="0" collapsed="false">
      <c r="A268" s="7"/>
      <c r="B268" s="25" t="n">
        <v>107</v>
      </c>
      <c r="C268" s="11" t="n">
        <f aca="false">(ABS(C111-E111)/C111)*100</f>
        <v>1.21301775147929</v>
      </c>
      <c r="D268" s="25" t="n">
        <f aca="false">(ABS(D111-F111)/D111)*100</f>
        <v>0.0261780104712042</v>
      </c>
      <c r="E268" s="23"/>
      <c r="F268" s="25" t="n">
        <f aca="false">(ABS(C111-G111)/C111)*100</f>
        <v>0.0295857988165681</v>
      </c>
      <c r="G268" s="25" t="n">
        <f aca="false">(ABS(D111-H111)/D111)*100</f>
        <v>0.000638488060273273</v>
      </c>
      <c r="H268" s="23"/>
    </row>
    <row r="269" customFormat="false" ht="15" hidden="false" customHeight="false" outlineLevel="0" collapsed="false">
      <c r="A269" s="7"/>
      <c r="B269" s="25" t="n">
        <v>108</v>
      </c>
      <c r="C269" s="11" t="n">
        <f aca="false">(ABS(C112-E112)/C112)*100</f>
        <v>2.69263821254655</v>
      </c>
      <c r="D269" s="25" t="n">
        <f aca="false">(ABS(D112-F112)/D112)*100</f>
        <v>0.0600604438083433</v>
      </c>
      <c r="E269" s="23"/>
      <c r="F269" s="25" t="n">
        <f aca="false">(ABS(C112-G112)/C112)*100</f>
        <v>0.0859352621025494</v>
      </c>
      <c r="G269" s="25" t="n">
        <f aca="false">(ABS(D112-H112)/D112)*100</f>
        <v>0.00191682267473436</v>
      </c>
      <c r="H269" s="23"/>
    </row>
    <row r="270" customFormat="false" ht="15" hidden="false" customHeight="false" outlineLevel="0" collapsed="false">
      <c r="A270" s="7"/>
      <c r="B270" s="25" t="n">
        <v>109</v>
      </c>
      <c r="C270" s="11" t="n">
        <f aca="false">(ABS(C113-E113)/C113)*100</f>
        <v>1.46739130434783</v>
      </c>
      <c r="D270" s="25" t="n">
        <f aca="false">(ABS(D113-F113)/D113)*100</f>
        <v>0.0345445240532242</v>
      </c>
      <c r="E270" s="23"/>
      <c r="F270" s="25" t="n">
        <f aca="false">(ABS(C113-G113)/C113)*100</f>
        <v>0.0271739130434783</v>
      </c>
      <c r="G270" s="25" t="n">
        <f aca="false">(ABS(D113-H113)/D113)*100</f>
        <v>0.00063971340839304</v>
      </c>
      <c r="H270" s="23"/>
    </row>
    <row r="271" customFormat="false" ht="15" hidden="false" customHeight="false" outlineLevel="0" collapsed="false">
      <c r="A271" s="7"/>
      <c r="B271" s="25" t="n">
        <v>110</v>
      </c>
      <c r="C271" s="11" t="n">
        <f aca="false">(ABS(C114-E114)/C114)*100</f>
        <v>1.66018158236057</v>
      </c>
      <c r="D271" s="25" t="n">
        <f aca="false">(ABS(D114-F114)/D114)*100</f>
        <v>0.0409875436293189</v>
      </c>
      <c r="E271" s="23"/>
      <c r="F271" s="25" t="n">
        <f aca="false">(ABS(C114-G114)/C114)*100</f>
        <v>0</v>
      </c>
      <c r="G271" s="25" t="n">
        <f aca="false">(ABS(D114-H114)/D114)*100</f>
        <v>0</v>
      </c>
      <c r="H271" s="23"/>
    </row>
    <row r="272" customFormat="false" ht="15" hidden="false" customHeight="false" outlineLevel="0" collapsed="false">
      <c r="A272" s="7"/>
      <c r="B272" s="25" t="n">
        <v>111</v>
      </c>
      <c r="C272" s="11" t="n">
        <f aca="false">(ABS(C115-E115)/C115)*100</f>
        <v>1.84064548663641</v>
      </c>
      <c r="D272" s="25" t="n">
        <f aca="false">(ABS(D115-F115)/D115)*100</f>
        <v>0.0467846751349065</v>
      </c>
      <c r="E272" s="23"/>
      <c r="F272" s="25" t="n">
        <f aca="false">(ABS(C115-G115)/C115)*100</f>
        <v>0</v>
      </c>
      <c r="G272" s="25" t="n">
        <f aca="false">(ABS(D115-H115)/D115)*100</f>
        <v>0</v>
      </c>
      <c r="H272" s="23"/>
    </row>
    <row r="273" customFormat="false" ht="15" hidden="false" customHeight="false" outlineLevel="0" collapsed="false">
      <c r="A273" s="7"/>
      <c r="B273" s="25" t="n">
        <v>112</v>
      </c>
      <c r="C273" s="11" t="n">
        <f aca="false">(ABS(C116-E116)/C116)*100</f>
        <v>1.55210643015521</v>
      </c>
      <c r="D273" s="25" t="n">
        <f aca="false">(ABS(D116-F116)/D116)*100</f>
        <v>0.0403998948320198</v>
      </c>
      <c r="E273" s="23"/>
      <c r="F273" s="25" t="n">
        <f aca="false">(ABS(C116-G116)/C116)*100</f>
        <v>0.073909830007391</v>
      </c>
      <c r="G273" s="25" t="n">
        <f aca="false">(ABS(D116-H116)/D116)*100</f>
        <v>0.00192380451581047</v>
      </c>
      <c r="H273" s="23"/>
    </row>
    <row r="274" customFormat="false" ht="15" hidden="false" customHeight="false" outlineLevel="0" collapsed="false">
      <c r="A274" s="7"/>
      <c r="B274" s="25" t="n">
        <v>113</v>
      </c>
      <c r="C274" s="11" t="n">
        <f aca="false">(ABS(C117-E117)/C117)*100</f>
        <v>1.45525103080281</v>
      </c>
      <c r="D274" s="25" t="n">
        <f aca="false">(ABS(D117-F117)/D117)*100</f>
        <v>0.0384918878346389</v>
      </c>
      <c r="E274" s="23"/>
      <c r="F274" s="25" t="n">
        <f aca="false">(ABS(C117-G117)/C117)*100</f>
        <v>0</v>
      </c>
      <c r="G274" s="25" t="n">
        <f aca="false">(ABS(D117-H117)/D117)*100</f>
        <v>0</v>
      </c>
      <c r="H274" s="23"/>
    </row>
    <row r="275" customFormat="false" ht="15" hidden="false" customHeight="false" outlineLevel="0" collapsed="false">
      <c r="A275" s="7"/>
      <c r="B275" s="25" t="n">
        <v>114</v>
      </c>
      <c r="C275" s="11" t="n">
        <f aca="false">(ABS(C118-E118)/C118)*100</f>
        <v>0.216972034715526</v>
      </c>
      <c r="D275" s="25" t="n">
        <f aca="false">(ABS(D118-F118)/D118)*100</f>
        <v>0.00577470933962991</v>
      </c>
      <c r="E275" s="23"/>
      <c r="F275" s="25" t="n">
        <f aca="false">(ABS(C118-G118)/C118)*100</f>
        <v>0.0482160077145612</v>
      </c>
      <c r="G275" s="25" t="n">
        <f aca="false">(ABS(D118-H118)/D118)*100</f>
        <v>0.00128326874213998</v>
      </c>
      <c r="H275" s="23"/>
    </row>
    <row r="276" customFormat="false" ht="15" hidden="false" customHeight="false" outlineLevel="0" collapsed="false">
      <c r="A276" s="7"/>
      <c r="B276" s="25" t="n">
        <v>115</v>
      </c>
      <c r="C276" s="11" t="n">
        <f aca="false">(ABS(C119-E119)/C119)*100</f>
        <v>0.718218817333014</v>
      </c>
      <c r="D276" s="25" t="n">
        <f aca="false">(ABS(D119-F119)/D119)*100</f>
        <v>0.0192526135422884</v>
      </c>
      <c r="E276" s="23"/>
      <c r="F276" s="25" t="n">
        <f aca="false">(ABS(C119-G119)/C119)*100</f>
        <v>0.0478812544888676</v>
      </c>
      <c r="G276" s="25" t="n">
        <f aca="false">(ABS(D119-H119)/D119)*100</f>
        <v>0.00128350756948589</v>
      </c>
      <c r="H276" s="23"/>
    </row>
    <row r="277" customFormat="false" ht="15" hidden="false" customHeight="false" outlineLevel="0" collapsed="false">
      <c r="A277" s="7"/>
      <c r="B277" s="25" t="n">
        <v>116</v>
      </c>
      <c r="C277" s="11" t="n">
        <f aca="false">(ABS(C120-E120)/C120)*100</f>
        <v>1.33206470028544</v>
      </c>
      <c r="D277" s="25" t="n">
        <f aca="false">(ABS(D120-F120)/D120)*100</f>
        <v>0.0359444401653444</v>
      </c>
      <c r="E277" s="23"/>
      <c r="F277" s="25" t="n">
        <f aca="false">(ABS(C120-G120)/C120)*100</f>
        <v>0</v>
      </c>
      <c r="G277" s="25" t="n">
        <f aca="false">(ABS(D120-H120)/D120)*100</f>
        <v>0</v>
      </c>
      <c r="H277" s="23"/>
    </row>
    <row r="278" customFormat="false" ht="15" hidden="false" customHeight="false" outlineLevel="0" collapsed="false">
      <c r="A278" s="7"/>
      <c r="B278" s="25" t="n">
        <v>117</v>
      </c>
      <c r="C278" s="11" t="n">
        <f aca="false">(ABS(C121-E121)/C121)*100</f>
        <v>0.642551166111376</v>
      </c>
      <c r="D278" s="25" t="n">
        <f aca="false">(ABS(D121-F121)/D121)*100</f>
        <v>0.0173301326076073</v>
      </c>
      <c r="E278" s="23"/>
      <c r="F278" s="25" t="n">
        <f aca="false">(ABS(C121-G121)/C121)*100</f>
        <v>0.0237981913374584</v>
      </c>
      <c r="G278" s="25" t="n">
        <f aca="false">(ABS(D121-H121)/D121)*100</f>
        <v>0.000641856763244714</v>
      </c>
      <c r="H278" s="23"/>
    </row>
    <row r="279" customFormat="false" ht="15" hidden="false" customHeight="false" outlineLevel="0" collapsed="false">
      <c r="A279" s="7"/>
      <c r="B279" s="25" t="n">
        <v>118</v>
      </c>
      <c r="C279" s="11" t="n">
        <f aca="false">(ABS(C122-E122)/C122)*100</f>
        <v>1.29186602870813</v>
      </c>
      <c r="D279" s="25" t="n">
        <f aca="false">(ABS(D122-F122)/D122)*100</f>
        <v>0.0346553715825953</v>
      </c>
      <c r="E279" s="23"/>
      <c r="F279" s="25" t="n">
        <f aca="false">(ABS(C122-G122)/C122)*100</f>
        <v>0</v>
      </c>
      <c r="G279" s="25" t="n">
        <f aca="false">(ABS(D122-H122)/D122)*100</f>
        <v>0</v>
      </c>
      <c r="H279" s="23"/>
    </row>
    <row r="280" customFormat="false" ht="15" hidden="false" customHeight="false" outlineLevel="0" collapsed="false">
      <c r="A280" s="7"/>
      <c r="B280" s="25" t="n">
        <v>119</v>
      </c>
      <c r="C280" s="11" t="n">
        <f aca="false">(ABS(C123-E123)/C123)*100</f>
        <v>1.89903846153846</v>
      </c>
      <c r="D280" s="25" t="n">
        <f aca="false">(ABS(D123-F123)/D123)*100</f>
        <v>0.0506930184804928</v>
      </c>
      <c r="E280" s="23"/>
      <c r="F280" s="25" t="n">
        <f aca="false">(ABS(C123-G123)/C123)*100</f>
        <v>0.0721153846153846</v>
      </c>
      <c r="G280" s="25" t="n">
        <f aca="false">(ABS(D123-H123)/D123)*100</f>
        <v>0.00192505133470226</v>
      </c>
      <c r="H280" s="23"/>
    </row>
    <row r="281" customFormat="false" ht="15" hidden="false" customHeight="false" outlineLevel="0" collapsed="false">
      <c r="A281" s="7"/>
      <c r="B281" s="25" t="n">
        <v>120</v>
      </c>
      <c r="C281" s="11" t="n">
        <f aca="false">(ABS(C124-E124)/C124)*100</f>
        <v>0.483091787439614</v>
      </c>
      <c r="D281" s="25" t="n">
        <f aca="false">(ABS(D124-F124)/D124)*100</f>
        <v>0.0128320287437444</v>
      </c>
      <c r="E281" s="23"/>
      <c r="F281" s="25" t="n">
        <f aca="false">(ABS(C124-G124)/C124)*100</f>
        <v>0.0241545893719807</v>
      </c>
      <c r="G281" s="25" t="n">
        <f aca="false">(ABS(D124-H124)/D124)*100</f>
        <v>0.000641601437187219</v>
      </c>
      <c r="H281" s="23"/>
    </row>
    <row r="282" customFormat="false" ht="15" hidden="false" customHeight="false" outlineLevel="0" collapsed="false">
      <c r="A282" s="7"/>
      <c r="B282" s="25" t="n">
        <v>121</v>
      </c>
      <c r="C282" s="11" t="n">
        <f aca="false">(ABS(C125-E125)/C125)*100</f>
        <v>1.04801364854984</v>
      </c>
      <c r="D282" s="25" t="n">
        <f aca="false">(ABS(D125-F125)/D125)*100</f>
        <v>0.0275823139637068</v>
      </c>
      <c r="E282" s="23"/>
      <c r="F282" s="25" t="n">
        <f aca="false">(ABS(C125-G125)/C125)*100</f>
        <v>0.0487448208627833</v>
      </c>
      <c r="G282" s="25" t="n">
        <f aca="false">(ABS(D125-H125)/D125)*100</f>
        <v>0.00128289832389334</v>
      </c>
      <c r="H282" s="23"/>
    </row>
    <row r="283" customFormat="false" ht="15" hidden="false" customHeight="false" outlineLevel="0" collapsed="false">
      <c r="A283" s="7"/>
      <c r="B283" s="25" t="n">
        <v>122</v>
      </c>
      <c r="C283" s="11" t="n">
        <f aca="false">(ABS(C126-E126)/C126)*100</f>
        <v>0.840959683403413</v>
      </c>
      <c r="D283" s="25" t="n">
        <f aca="false">(ABS(D126-F126)/D126)*100</f>
        <v>0.0218008810120738</v>
      </c>
      <c r="E283" s="23"/>
      <c r="F283" s="25" t="n">
        <f aca="false">(ABS(C126-G126)/C126)*100</f>
        <v>0.173138758347762</v>
      </c>
      <c r="G283" s="25" t="n">
        <f aca="false">(ABS(D126-H126)/D126)*100</f>
        <v>0.00448841667895638</v>
      </c>
      <c r="H283" s="23"/>
    </row>
    <row r="284" customFormat="false" ht="15" hidden="false" customHeight="false" outlineLevel="0" collapsed="false">
      <c r="A284" s="7"/>
      <c r="B284" s="25" t="n">
        <v>123</v>
      </c>
      <c r="C284" s="11" t="n">
        <f aca="false">(ABS(C127-E127)/C127)*100</f>
        <v>0.24981264051961</v>
      </c>
      <c r="D284" s="25" t="n">
        <f aca="false">(ABS(D127-F127)/D127)*100</f>
        <v>0.00641037968678885</v>
      </c>
      <c r="E284" s="23"/>
      <c r="F284" s="25" t="n">
        <f aca="false">(ABS(C127-G127)/C127)*100</f>
        <v>0</v>
      </c>
      <c r="G284" s="25" t="n">
        <f aca="false">(ABS(D127-H127)/D127)*100</f>
        <v>0</v>
      </c>
      <c r="H284" s="23"/>
    </row>
    <row r="285" customFormat="false" ht="15" hidden="false" customHeight="false" outlineLevel="0" collapsed="false">
      <c r="A285" s="7"/>
      <c r="B285" s="25" t="n">
        <v>124</v>
      </c>
      <c r="C285" s="11" t="n">
        <f aca="false">(ABS(C128-E128)/C128)*100</f>
        <v>0.63500127000254</v>
      </c>
      <c r="D285" s="25" t="n">
        <f aca="false">(ABS(D128-F128)/D128)*100</f>
        <v>0.0160191717447441</v>
      </c>
      <c r="E285" s="23"/>
      <c r="F285" s="25" t="n">
        <f aca="false">(ABS(C128-G128)/C128)*100</f>
        <v>0.0762001524003048</v>
      </c>
      <c r="G285" s="25" t="n">
        <f aca="false">(ABS(D128-H128)/D128)*100</f>
        <v>0.00192230060936929</v>
      </c>
      <c r="H285" s="23"/>
    </row>
    <row r="286" customFormat="false" ht="15" hidden="false" customHeight="false" outlineLevel="0" collapsed="false">
      <c r="A286" s="7"/>
      <c r="B286" s="25" t="n">
        <v>125</v>
      </c>
      <c r="C286" s="11" t="n">
        <f aca="false">(ABS(C129-E129)/C129)*100</f>
        <v>0.363541937159179</v>
      </c>
      <c r="D286" s="25" t="n">
        <f aca="false">(ABS(D129-F129)/D129)*100</f>
        <v>0.00896579549020487</v>
      </c>
      <c r="E286" s="23"/>
      <c r="F286" s="25" t="n">
        <f aca="false">(ABS(C129-G129)/C129)*100</f>
        <v>0.077901843676967</v>
      </c>
      <c r="G286" s="25" t="n">
        <f aca="false">(ABS(D129-H129)/D129)*100</f>
        <v>0.00192124189075819</v>
      </c>
      <c r="H286" s="23"/>
    </row>
    <row r="287" customFormat="false" ht="15" hidden="false" customHeight="false" outlineLevel="0" collapsed="false">
      <c r="A287" s="7"/>
      <c r="B287" s="25" t="n">
        <v>126</v>
      </c>
      <c r="C287" s="11" t="n">
        <f aca="false">(ABS(C130-E130)/C130)*100</f>
        <v>0.956175298804781</v>
      </c>
      <c r="D287" s="25" t="n">
        <f aca="false">(ABS(D130-F130)/D130)*100</f>
        <v>0.023042212052357</v>
      </c>
      <c r="E287" s="23"/>
      <c r="F287" s="25" t="n">
        <f aca="false">(ABS(C130-G130)/C130)*100</f>
        <v>0.0265604249667995</v>
      </c>
      <c r="G287" s="25" t="n">
        <f aca="false">(ABS(D130-H130)/D130)*100</f>
        <v>0.000640061445898806</v>
      </c>
      <c r="H287" s="23"/>
    </row>
    <row r="288" customFormat="false" ht="15" hidden="false" customHeight="false" outlineLevel="0" collapsed="false">
      <c r="A288" s="7"/>
      <c r="B288" s="25" t="n">
        <v>127</v>
      </c>
      <c r="C288" s="11" t="n">
        <f aca="false">(ABS(C131-E131)/C131)*100</f>
        <v>0.626361655773421</v>
      </c>
      <c r="D288" s="25" t="n">
        <f aca="false">(ABS(D131-F131)/D131)*100</f>
        <v>0.0147126554424032</v>
      </c>
      <c r="E288" s="23"/>
      <c r="F288" s="25" t="n">
        <f aca="false">(ABS(C131-G131)/C131)*100</f>
        <v>0.299564270152505</v>
      </c>
      <c r="G288" s="25" t="n">
        <f aca="false">(ABS(D131-H131)/D131)*100</f>
        <v>0.00703648738549716</v>
      </c>
      <c r="H288" s="23"/>
    </row>
    <row r="289" customFormat="false" ht="15" hidden="false" customHeight="false" outlineLevel="0" collapsed="false">
      <c r="A289" s="7"/>
      <c r="B289" s="25" t="n">
        <v>128</v>
      </c>
      <c r="C289" s="11" t="n">
        <f aca="false">(ABS(C132-E132)/C132)*100</f>
        <v>1.2545302481182</v>
      </c>
      <c r="D289" s="25" t="n">
        <f aca="false">(ABS(D132-F132)/D132)*100</f>
        <v>0.0287699871494057</v>
      </c>
      <c r="E289" s="23"/>
      <c r="F289" s="25" t="n">
        <f aca="false">(ABS(C132-G132)/C132)*100</f>
        <v>0.0557568999163647</v>
      </c>
      <c r="G289" s="25" t="n">
        <f aca="false">(ABS(D132-H132)/D132)*100</f>
        <v>0.00127866609552914</v>
      </c>
      <c r="H289" s="23"/>
    </row>
    <row r="290" customFormat="false" ht="15" hidden="false" customHeight="false" outlineLevel="0" collapsed="false">
      <c r="A290" s="7"/>
      <c r="B290" s="25" t="n">
        <v>129</v>
      </c>
      <c r="C290" s="11" t="n">
        <f aca="false">(ABS(C133-E133)/C133)*100</f>
        <v>0.774748923959828</v>
      </c>
      <c r="D290" s="25" t="n">
        <f aca="false">(ABS(D133-F133)/D133)*100</f>
        <v>0.0172507427403124</v>
      </c>
      <c r="E290" s="23"/>
      <c r="F290" s="25" t="n">
        <f aca="false">(ABS(C133-G133)/C133)*100</f>
        <v>0.0286944045911047</v>
      </c>
      <c r="G290" s="25" t="n">
        <f aca="false">(ABS(D133-H133)/D133)*100</f>
        <v>0.000638916397789349</v>
      </c>
      <c r="H290" s="23"/>
    </row>
    <row r="291" customFormat="false" ht="15" hidden="false" customHeight="false" outlineLevel="0" collapsed="false">
      <c r="A291" s="7"/>
      <c r="B291" s="25" t="n">
        <v>130</v>
      </c>
      <c r="C291" s="11" t="n">
        <f aca="false">(ABS(C134-E134)/C134)*100</f>
        <v>0.592592592592593</v>
      </c>
      <c r="D291" s="25" t="n">
        <f aca="false">(ABS(D134-F134)/D134)*100</f>
        <v>0.0127693535514765</v>
      </c>
      <c r="E291" s="23"/>
      <c r="F291" s="25" t="n">
        <f aca="false">(ABS(C134-G134)/C134)*100</f>
        <v>0.0296296296296296</v>
      </c>
      <c r="G291" s="25" t="n">
        <f aca="false">(ABS(D134-H134)/D134)*100</f>
        <v>0.000638467677573823</v>
      </c>
      <c r="H291" s="23"/>
    </row>
    <row r="292" customFormat="false" ht="15" hidden="false" customHeight="false" outlineLevel="0" collapsed="false">
      <c r="A292" s="7"/>
      <c r="B292" s="25" t="n">
        <v>131</v>
      </c>
      <c r="C292" s="11" t="n">
        <f aca="false">(ABS(C135-E135)/C135)*100</f>
        <v>1.37111517367459</v>
      </c>
      <c r="D292" s="25" t="n">
        <f aca="false">(ABS(D135-F135)/D135)*100</f>
        <v>0.028713995839661</v>
      </c>
      <c r="E292" s="23"/>
      <c r="F292" s="25" t="n">
        <f aca="false">(ABS(C135-G135)/C135)*100</f>
        <v>0.152346130408288</v>
      </c>
      <c r="G292" s="25" t="n">
        <f aca="false">(ABS(D135-H135)/D135)*100</f>
        <v>0.00319044398218456</v>
      </c>
      <c r="H292" s="23"/>
    </row>
    <row r="293" customFormat="false" ht="15" hidden="false" customHeight="false" outlineLevel="0" collapsed="false">
      <c r="A293" s="7"/>
      <c r="B293" s="25" t="n">
        <v>132</v>
      </c>
      <c r="C293" s="11" t="n">
        <f aca="false">(ABS(C136-E136)/C136)*100</f>
        <v>1.74050632911392</v>
      </c>
      <c r="D293" s="25" t="n">
        <f aca="false">(ABS(D136-F136)/D136)*100</f>
        <v>0.035067584799796</v>
      </c>
      <c r="E293" s="23"/>
      <c r="F293" s="25" t="n">
        <f aca="false">(ABS(C136-G136)/C136)*100</f>
        <v>0</v>
      </c>
      <c r="G293" s="25" t="n">
        <f aca="false">(ABS(D136-H136)/D136)*100</f>
        <v>0</v>
      </c>
      <c r="H293" s="23"/>
    </row>
    <row r="294" customFormat="false" ht="15" hidden="false" customHeight="false" outlineLevel="0" collapsed="false">
      <c r="A294" s="7"/>
      <c r="B294" s="25" t="n">
        <v>133</v>
      </c>
      <c r="C294" s="11" t="n">
        <f aca="false">(ABS(C137-E137)/C137)*100</f>
        <v>0.755833059480776</v>
      </c>
      <c r="D294" s="25" t="n">
        <f aca="false">(ABS(D137-F137)/D137)*100</f>
        <v>0.0146536949610403</v>
      </c>
      <c r="E294" s="23"/>
      <c r="F294" s="25" t="n">
        <f aca="false">(ABS(C137-G137)/C137)*100</f>
        <v>0.0328623069339468</v>
      </c>
      <c r="G294" s="25" t="n">
        <f aca="false">(ABS(D137-H137)/D137)*100</f>
        <v>0.000637117172219143</v>
      </c>
      <c r="H294" s="23"/>
    </row>
    <row r="295" customFormat="false" ht="15" hidden="false" customHeight="false" outlineLevel="0" collapsed="false">
      <c r="A295" s="7"/>
      <c r="B295" s="25" t="n">
        <v>134</v>
      </c>
      <c r="C295" s="11" t="n">
        <f aca="false">(ABS(C138-E138)/C138)*100</f>
        <v>0.654269972451791</v>
      </c>
      <c r="D295" s="25" t="n">
        <f aca="false">(ABS(D138-F138)/D138)*100</f>
        <v>0.0120945154555176</v>
      </c>
      <c r="E295" s="23"/>
      <c r="F295" s="25" t="n">
        <f aca="false">(ABS(C138-G138)/C138)*100</f>
        <v>0.034435261707989</v>
      </c>
      <c r="G295" s="25" t="n">
        <f aca="false">(ABS(D138-H138)/D138)*100</f>
        <v>0.000636553445027245</v>
      </c>
      <c r="H295" s="23"/>
    </row>
    <row r="296" customFormat="false" ht="15" hidden="false" customHeight="false" outlineLevel="0" collapsed="false">
      <c r="A296" s="7"/>
      <c r="B296" s="25" t="n">
        <v>135</v>
      </c>
      <c r="C296" s="11" t="n">
        <f aca="false">(ABS(C139-E139)/C139)*100</f>
        <v>0.0727802037845706</v>
      </c>
      <c r="D296" s="25" t="n">
        <f aca="false">(ABS(D139-F139)/D139)*100</f>
        <v>0.00127184391931422</v>
      </c>
      <c r="E296" s="23"/>
      <c r="F296" s="25" t="n">
        <f aca="false">(ABS(C139-G139)/C139)*100</f>
        <v>0.0363901018922853</v>
      </c>
      <c r="G296" s="25" t="n">
        <f aca="false">(ABS(D139-H139)/D139)*100</f>
        <v>0.000635921959657111</v>
      </c>
      <c r="H296" s="23"/>
    </row>
    <row r="297" customFormat="false" ht="15" hidden="false" customHeight="false" outlineLevel="0" collapsed="false">
      <c r="A297" s="7"/>
      <c r="B297" s="25" t="n">
        <v>136</v>
      </c>
      <c r="C297" s="11" t="n">
        <f aca="false">(ABS(C140-E140)/C140)*100</f>
        <v>0.0383729854182655</v>
      </c>
      <c r="D297" s="25" t="n">
        <f aca="false">(ABS(D140-F140)/D140)*100</f>
        <v>0.000635348234367257</v>
      </c>
      <c r="E297" s="23"/>
      <c r="F297" s="25" t="n">
        <f aca="false">(ABS(C140-G140)/C140)*100</f>
        <v>0</v>
      </c>
      <c r="G297" s="25" t="n">
        <f aca="false">(ABS(D140-H140)/D140)*100</f>
        <v>0</v>
      </c>
      <c r="H297" s="23"/>
    </row>
    <row r="298" customFormat="false" ht="15" hidden="false" customHeight="false" outlineLevel="0" collapsed="false">
      <c r="A298" s="7"/>
      <c r="B298" s="25" t="n">
        <v>137</v>
      </c>
      <c r="C298" s="11" t="n">
        <f aca="false">(ABS(C141-E141)/C141)*100</f>
        <v>0.736196319018405</v>
      </c>
      <c r="D298" s="25" t="n">
        <f aca="false">(ABS(D141-F141)/D141)*100</f>
        <v>0.0114245818920377</v>
      </c>
      <c r="E298" s="23"/>
      <c r="F298" s="25" t="n">
        <f aca="false">(ABS(C141-G141)/C141)*100</f>
        <v>0.0408997955010225</v>
      </c>
      <c r="G298" s="25" t="n">
        <f aca="false">(ABS(D141-H141)/D141)*100</f>
        <v>0.000634698994002095</v>
      </c>
      <c r="H298" s="23"/>
    </row>
    <row r="299" customFormat="false" ht="15" hidden="false" customHeight="false" outlineLevel="0" collapsed="false">
      <c r="A299" s="7"/>
      <c r="B299" s="25" t="n">
        <v>138</v>
      </c>
      <c r="C299" s="11" t="n">
        <f aca="false">(ABS(C142-E142)/C142)*100</f>
        <v>1.14891736632788</v>
      </c>
      <c r="D299" s="25" t="n">
        <f aca="false">(ABS(D142-F142)/D142)*100</f>
        <v>0.0164831333168502</v>
      </c>
      <c r="E299" s="23"/>
      <c r="F299" s="25" t="n">
        <f aca="false">(ABS(C142-G142)/C142)*100</f>
        <v>0</v>
      </c>
      <c r="G299" s="25" t="n">
        <f aca="false">(ABS(D142-H142)/D142)*100</f>
        <v>0</v>
      </c>
      <c r="H299" s="23"/>
    </row>
    <row r="300" customFormat="false" ht="15" hidden="false" customHeight="false" outlineLevel="0" collapsed="false">
      <c r="A300" s="7"/>
      <c r="B300" s="25" t="n">
        <v>139</v>
      </c>
      <c r="C300" s="11" t="n">
        <f aca="false">(ABS(C143-E143)/C143)*100</f>
        <v>1.28388017118402</v>
      </c>
      <c r="D300" s="25" t="n">
        <f aca="false">(ABS(D143-F143)/D143)*100</f>
        <v>0.0170997549035131</v>
      </c>
      <c r="E300" s="23"/>
      <c r="F300" s="25" t="n">
        <f aca="false">(ABS(C143-G143)/C143)*100</f>
        <v>0.0475511174512601</v>
      </c>
      <c r="G300" s="25" t="n">
        <f aca="false">(ABS(D143-H143)/D143)*100</f>
        <v>0.000633324255685669</v>
      </c>
      <c r="H300" s="23"/>
    </row>
    <row r="301" customFormat="false" ht="15" hidden="false" customHeight="false" outlineLevel="0" collapsed="false">
      <c r="A301" s="7"/>
      <c r="B301" s="25" t="n">
        <v>140</v>
      </c>
      <c r="C301" s="11" t="n">
        <f aca="false">(ABS(C144-E144)/C144)*100</f>
        <v>0.415800415800416</v>
      </c>
      <c r="D301" s="25" t="n">
        <f aca="false">(ABS(D144-F144)/D144)*100</f>
        <v>0.00506085680305676</v>
      </c>
      <c r="E301" s="23"/>
      <c r="F301" s="25" t="n">
        <f aca="false">(ABS(C144-G144)/C144)*100</f>
        <v>0</v>
      </c>
      <c r="G301" s="25" t="n">
        <f aca="false">(ABS(D144-H144)/D144)*100</f>
        <v>0</v>
      </c>
      <c r="H301" s="23"/>
    </row>
    <row r="302" customFormat="false" ht="15" hidden="false" customHeight="false" outlineLevel="0" collapsed="false">
      <c r="A302" s="7"/>
      <c r="B302" s="25" t="n">
        <v>141</v>
      </c>
      <c r="C302" s="11" t="n">
        <f aca="false">(ABS(C145-E145)/C145)*100</f>
        <v>0.348229831688915</v>
      </c>
      <c r="D302" s="25" t="n">
        <f aca="false">(ABS(D145-F145)/D145)*100</f>
        <v>0.00379082241892379</v>
      </c>
      <c r="E302" s="23"/>
      <c r="F302" s="25" t="n">
        <f aca="false">(ABS(C145-G145)/C145)*100</f>
        <v>0.116076610562972</v>
      </c>
      <c r="G302" s="25" t="n">
        <f aca="false">(ABS(D145-H145)/D145)*100</f>
        <v>0.0012636074729746</v>
      </c>
      <c r="H302" s="23"/>
    </row>
    <row r="303" customFormat="false" ht="15" hidden="false" customHeight="false" outlineLevel="0" collapsed="false">
      <c r="A303" s="7"/>
      <c r="B303" s="25" t="n">
        <v>142</v>
      </c>
      <c r="C303" s="11" t="n">
        <f aca="false">(ABS(C146-E146)/C146)*100</f>
        <v>1.02960102960103</v>
      </c>
      <c r="D303" s="25" t="n">
        <f aca="false">(ABS(D146-F146)/D146)*100</f>
        <v>0.010098077578481</v>
      </c>
      <c r="E303" s="23"/>
      <c r="F303" s="25" t="n">
        <f aca="false">(ABS(C146-G146)/C146)*100</f>
        <v>0.128700128700129</v>
      </c>
      <c r="G303" s="25" t="n">
        <f aca="false">(ABS(D146-H146)/D146)*100</f>
        <v>0.00126225969731012</v>
      </c>
      <c r="H303" s="23"/>
    </row>
    <row r="304" customFormat="false" ht="15" hidden="false" customHeight="false" outlineLevel="0" collapsed="false">
      <c r="A304" s="7"/>
      <c r="B304" s="25" t="n">
        <v>143</v>
      </c>
      <c r="C304" s="11" t="n">
        <f aca="false">(ABS(C147-E147)/C147)*100</f>
        <v>2.30826507818317</v>
      </c>
      <c r="D304" s="25" t="n">
        <f aca="false">(ABS(D147-F147)/D147)*100</f>
        <v>0.0195390055276477</v>
      </c>
      <c r="E304" s="23"/>
      <c r="F304" s="25" t="n">
        <f aca="false">(ABS(C147-G147)/C147)*100</f>
        <v>0.0744601638123604</v>
      </c>
      <c r="G304" s="25" t="n">
        <f aca="false">(ABS(D147-H147)/D147)*100</f>
        <v>0.000630290500891861</v>
      </c>
      <c r="H304" s="23"/>
    </row>
    <row r="305" customFormat="false" ht="15" hidden="false" customHeight="false" outlineLevel="0" collapsed="false">
      <c r="A305" s="7"/>
      <c r="B305" s="25" t="n">
        <v>144</v>
      </c>
      <c r="C305" s="11" t="n">
        <f aca="false">(ABS(C148-E148)/C148)*100</f>
        <v>2.01754385964912</v>
      </c>
      <c r="D305" s="25" t="n">
        <f aca="false">(ABS(D148-F148)/D148)*100</f>
        <v>0.0144781568676822</v>
      </c>
      <c r="E305" s="23"/>
      <c r="F305" s="25" t="n">
        <f aca="false">(ABS(C148-G148)/C148)*100</f>
        <v>0.175438596491228</v>
      </c>
      <c r="G305" s="25" t="n">
        <f aca="false">(ABS(D148-H148)/D148)*100</f>
        <v>0.00125897016240715</v>
      </c>
      <c r="H305" s="23"/>
    </row>
    <row r="306" customFormat="false" ht="15" hidden="false" customHeight="false" outlineLevel="0" collapsed="false">
      <c r="A306" s="7"/>
      <c r="B306" s="25" t="n">
        <v>145</v>
      </c>
      <c r="C306" s="11" t="n">
        <f aca="false">(ABS(C149-E149)/C149)*100</f>
        <v>2.94759825327511</v>
      </c>
      <c r="D306" s="25" t="n">
        <f aca="false">(ABS(D149-F149)/D149)*100</f>
        <v>0.0169721656483367</v>
      </c>
      <c r="E306" s="23"/>
      <c r="F306" s="25" t="n">
        <f aca="false">(ABS(C149-G149)/C149)*100</f>
        <v>0</v>
      </c>
      <c r="G306" s="25" t="n">
        <f aca="false">(ABS(D149-H149)/D149)*100</f>
        <v>0</v>
      </c>
      <c r="H306" s="23"/>
    </row>
    <row r="307" customFormat="false" ht="15" hidden="false" customHeight="false" outlineLevel="0" collapsed="false">
      <c r="A307" s="7"/>
      <c r="B307" s="25" t="n">
        <v>146</v>
      </c>
      <c r="C307" s="11" t="n">
        <f aca="false">(ABS(C150-E150)/C150)*100</f>
        <v>1.70940170940171</v>
      </c>
      <c r="D307" s="25" t="n">
        <f aca="false">(ABS(D150-F150)/D150)*100</f>
        <v>0.00753305126241384</v>
      </c>
      <c r="E307" s="23"/>
      <c r="F307" s="25" t="n">
        <f aca="false">(ABS(C150-G150)/C150)*100</f>
        <v>0.284900284900285</v>
      </c>
      <c r="G307" s="25" t="n">
        <f aca="false">(ABS(D150-H150)/D150)*100</f>
        <v>0.00125550854373564</v>
      </c>
      <c r="H307" s="23"/>
    </row>
    <row r="308" customFormat="false" ht="15" hidden="false" customHeight="false" outlineLevel="0" collapsed="false">
      <c r="A308" s="7"/>
      <c r="B308" s="25" t="n">
        <v>147</v>
      </c>
      <c r="C308" s="11" t="n">
        <f aca="false">(ABS(C151-E151)/C151)*100</f>
        <v>3.15126050420168</v>
      </c>
      <c r="D308" s="25" t="n">
        <f aca="false">(ABS(D151-F151)/D151)*100</f>
        <v>0.00940297384719541</v>
      </c>
      <c r="E308" s="23"/>
      <c r="F308" s="25" t="n">
        <f aca="false">(ABS(C151-G151)/C151)*100</f>
        <v>0</v>
      </c>
      <c r="G308" s="25" t="n">
        <f aca="false">(ABS(D151-H151)/D151)*100</f>
        <v>0</v>
      </c>
      <c r="H308" s="23"/>
    </row>
    <row r="309" customFormat="false" ht="15" hidden="false" customHeight="false" outlineLevel="0" collapsed="false">
      <c r="A309" s="7"/>
      <c r="B309" s="25" t="n">
        <v>148</v>
      </c>
      <c r="C309" s="11" t="n">
        <f aca="false">(ABS(C152-E152)/C152)*100</f>
        <v>4.48979591836735</v>
      </c>
      <c r="D309" s="25" t="n">
        <f aca="false">(ABS(D152-F152)/D152)*100</f>
        <v>0.00688554348846671</v>
      </c>
      <c r="E309" s="26" t="s">
        <v>11</v>
      </c>
      <c r="F309" s="25" t="n">
        <f aca="false">(ABS(C152-G152)/C152)*100</f>
        <v>0</v>
      </c>
      <c r="G309" s="25" t="n">
        <f aca="false">(ABS(D152-H152)/D152)*100</f>
        <v>0</v>
      </c>
      <c r="H309" s="26" t="s">
        <v>11</v>
      </c>
    </row>
    <row r="310" customFormat="false" ht="15" hidden="false" customHeight="false" outlineLevel="0" collapsed="false">
      <c r="A310" s="7"/>
      <c r="B310" s="14" t="s">
        <v>8</v>
      </c>
      <c r="C310" s="15" t="n">
        <f aca="false">(ABS(SUM(C4:C152)-SUM(E4:E152))/SUM(C4:C152))*100</f>
        <v>1.11113420681277</v>
      </c>
      <c r="D310" s="15" t="n">
        <f aca="false">(ABS(SUM(D4:D152)-SUM(F4:F152))/SUM(D4:D152))*100</f>
        <v>0.0205536638390391</v>
      </c>
      <c r="E310" s="27" t="n">
        <f aca="false">SUM(C160:D309)/(149*2)</f>
        <v>0.605732598717262</v>
      </c>
      <c r="F310" s="15" t="n">
        <f aca="false">(ABS(SUM(C4:C152)-SUM(G4:G152))/SUM(C4:C152))*100</f>
        <v>0.000692871049768928</v>
      </c>
      <c r="G310" s="15" t="n">
        <f aca="false">(ABS(SUM(D4:D152)-SUM(H4:H152))/SUM(D4:D152))*100</f>
        <v>1.28166683677234E-005</v>
      </c>
      <c r="H310" s="27" t="n">
        <f aca="false">SUM(F161:G309)/(149*2)</f>
        <v>0.0299220937306806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1">
    <mergeCell ref="B1:B3"/>
    <mergeCell ref="C1:D2"/>
    <mergeCell ref="E1:H1"/>
    <mergeCell ref="E2:F2"/>
    <mergeCell ref="G2:H2"/>
    <mergeCell ref="A3:A153"/>
    <mergeCell ref="B158:B160"/>
    <mergeCell ref="C158:H158"/>
    <mergeCell ref="C159:E159"/>
    <mergeCell ref="F159:H159"/>
    <mergeCell ref="A160:A3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0"/>
  <sheetViews>
    <sheetView showFormulas="false" showGridLines="true" showRowColHeaders="true" showZeros="true" rightToLeft="false" tabSelected="false" showOutlineSymbols="true" defaultGridColor="true" view="normal" topLeftCell="A283" colorId="64" zoomScale="100" zoomScaleNormal="100" zoomScalePageLayoutView="100" workbookViewId="0">
      <selection pane="topLeft" activeCell="F161" activeCellId="0" sqref="F161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1.84"/>
    <col collapsed="false" customWidth="true" hidden="false" outlineLevel="0" max="7" min="7" style="1" width="20.85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12</v>
      </c>
      <c r="B3" s="3"/>
      <c r="C3" s="28" t="s">
        <v>13</v>
      </c>
      <c r="D3" s="9" t="s">
        <v>7</v>
      </c>
      <c r="E3" s="28" t="s">
        <v>13</v>
      </c>
      <c r="F3" s="10" t="s">
        <v>7</v>
      </c>
      <c r="G3" s="28" t="s">
        <v>13</v>
      </c>
      <c r="H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245</v>
      </c>
      <c r="D4" s="12" t="n">
        <v>159755</v>
      </c>
      <c r="E4" s="2" t="n">
        <v>245</v>
      </c>
      <c r="F4" s="13" t="n">
        <v>159755</v>
      </c>
      <c r="G4" s="2" t="n">
        <v>245</v>
      </c>
      <c r="H4" s="12" t="n">
        <v>159755</v>
      </c>
    </row>
    <row r="5" customFormat="false" ht="15" hidden="false" customHeight="false" outlineLevel="0" collapsed="false">
      <c r="A5" s="7"/>
      <c r="B5" s="2" t="n">
        <v>1</v>
      </c>
      <c r="C5" s="11" t="n">
        <v>476</v>
      </c>
      <c r="D5" s="12" t="n">
        <v>159524</v>
      </c>
      <c r="E5" s="2" t="n">
        <v>32</v>
      </c>
      <c r="F5" s="13" t="n">
        <v>159968</v>
      </c>
      <c r="G5" s="2" t="n">
        <v>476</v>
      </c>
      <c r="H5" s="12" t="n">
        <v>159524</v>
      </c>
    </row>
    <row r="6" customFormat="false" ht="15" hidden="false" customHeight="false" outlineLevel="0" collapsed="false">
      <c r="A6" s="7"/>
      <c r="B6" s="2" t="n">
        <v>2</v>
      </c>
      <c r="C6" s="11" t="n">
        <v>698</v>
      </c>
      <c r="D6" s="12" t="n">
        <v>159302</v>
      </c>
      <c r="E6" s="2" t="n">
        <v>3</v>
      </c>
      <c r="F6" s="13" t="n">
        <v>159997</v>
      </c>
      <c r="G6" s="2" t="n">
        <v>700</v>
      </c>
      <c r="H6" s="12" t="n">
        <v>159300</v>
      </c>
    </row>
    <row r="7" customFormat="false" ht="15" hidden="false" customHeight="false" outlineLevel="0" collapsed="false">
      <c r="A7" s="7"/>
      <c r="B7" s="2" t="n">
        <v>3</v>
      </c>
      <c r="C7" s="11" t="n">
        <v>917</v>
      </c>
      <c r="D7" s="12" t="n">
        <v>159083</v>
      </c>
      <c r="E7" s="2" t="n">
        <v>0</v>
      </c>
      <c r="F7" s="13" t="n">
        <v>160000</v>
      </c>
      <c r="G7" s="2" t="n">
        <v>917</v>
      </c>
      <c r="H7" s="12" t="n">
        <v>159083</v>
      </c>
    </row>
    <row r="8" customFormat="false" ht="15" hidden="false" customHeight="false" outlineLevel="0" collapsed="false">
      <c r="A8" s="7"/>
      <c r="B8" s="2" t="n">
        <v>4</v>
      </c>
      <c r="C8" s="11" t="n">
        <v>1141</v>
      </c>
      <c r="D8" s="12" t="n">
        <v>158859</v>
      </c>
      <c r="E8" s="2" t="n">
        <v>316</v>
      </c>
      <c r="F8" s="13" t="n">
        <v>159684</v>
      </c>
      <c r="G8" s="2" t="n">
        <v>1141</v>
      </c>
      <c r="H8" s="12" t="n">
        <v>158859</v>
      </c>
    </row>
    <row r="9" customFormat="false" ht="15" hidden="false" customHeight="false" outlineLevel="0" collapsed="false">
      <c r="A9" s="7"/>
      <c r="B9" s="2" t="n">
        <v>5</v>
      </c>
      <c r="C9" s="11" t="n">
        <v>1340</v>
      </c>
      <c r="D9" s="12" t="n">
        <v>158660</v>
      </c>
      <c r="E9" s="2" t="n">
        <v>37</v>
      </c>
      <c r="F9" s="13" t="n">
        <v>159963</v>
      </c>
      <c r="G9" s="2" t="n">
        <v>1340</v>
      </c>
      <c r="H9" s="12" t="n">
        <v>158660</v>
      </c>
    </row>
    <row r="10" customFormat="false" ht="15" hidden="false" customHeight="false" outlineLevel="0" collapsed="false">
      <c r="A10" s="7"/>
      <c r="B10" s="2" t="n">
        <v>6</v>
      </c>
      <c r="C10" s="11" t="n">
        <v>1551</v>
      </c>
      <c r="D10" s="12" t="n">
        <v>158449</v>
      </c>
      <c r="E10" s="2" t="n">
        <v>0</v>
      </c>
      <c r="F10" s="13" t="n">
        <v>160000</v>
      </c>
      <c r="G10" s="2" t="n">
        <v>1551</v>
      </c>
      <c r="H10" s="12" t="n">
        <v>158449</v>
      </c>
    </row>
    <row r="11" customFormat="false" ht="15" hidden="false" customHeight="false" outlineLevel="0" collapsed="false">
      <c r="A11" s="7"/>
      <c r="B11" s="2" t="n">
        <v>7</v>
      </c>
      <c r="C11" s="11" t="n">
        <v>1716</v>
      </c>
      <c r="D11" s="12" t="n">
        <v>158284</v>
      </c>
      <c r="E11" s="2" t="n">
        <v>50</v>
      </c>
      <c r="F11" s="13" t="n">
        <v>159950</v>
      </c>
      <c r="G11" s="2" t="n">
        <v>1714</v>
      </c>
      <c r="H11" s="12" t="n">
        <v>158286</v>
      </c>
    </row>
    <row r="12" customFormat="false" ht="15" hidden="false" customHeight="false" outlineLevel="0" collapsed="false">
      <c r="A12" s="7"/>
      <c r="B12" s="2" t="n">
        <v>8</v>
      </c>
      <c r="C12" s="11" t="n">
        <v>1922</v>
      </c>
      <c r="D12" s="12" t="n">
        <v>158078</v>
      </c>
      <c r="E12" s="2" t="n">
        <v>20</v>
      </c>
      <c r="F12" s="13" t="n">
        <v>159980</v>
      </c>
      <c r="G12" s="2" t="n">
        <v>1921</v>
      </c>
      <c r="H12" s="12" t="n">
        <v>158079</v>
      </c>
    </row>
    <row r="13" customFormat="false" ht="15" hidden="false" customHeight="false" outlineLevel="0" collapsed="false">
      <c r="A13" s="7"/>
      <c r="B13" s="2" t="n">
        <v>9</v>
      </c>
      <c r="C13" s="11" t="n">
        <v>2105</v>
      </c>
      <c r="D13" s="12" t="n">
        <v>157895</v>
      </c>
      <c r="E13" s="2" t="n">
        <v>1</v>
      </c>
      <c r="F13" s="13" t="n">
        <v>159999</v>
      </c>
      <c r="G13" s="2" t="n">
        <v>2107</v>
      </c>
      <c r="H13" s="12" t="n">
        <v>157893</v>
      </c>
    </row>
    <row r="14" customFormat="false" ht="15" hidden="false" customHeight="false" outlineLevel="0" collapsed="false">
      <c r="A14" s="7"/>
      <c r="B14" s="2" t="n">
        <v>10</v>
      </c>
      <c r="C14" s="11" t="n">
        <v>2264</v>
      </c>
      <c r="D14" s="12" t="n">
        <v>157736</v>
      </c>
      <c r="E14" s="2" t="n">
        <v>1</v>
      </c>
      <c r="F14" s="13" t="n">
        <v>159999</v>
      </c>
      <c r="G14" s="2" t="n">
        <v>2261</v>
      </c>
      <c r="H14" s="12" t="n">
        <v>157739</v>
      </c>
    </row>
    <row r="15" customFormat="false" ht="15" hidden="false" customHeight="false" outlineLevel="0" collapsed="false">
      <c r="A15" s="7"/>
      <c r="B15" s="2" t="n">
        <v>11</v>
      </c>
      <c r="C15" s="11" t="n">
        <v>2446</v>
      </c>
      <c r="D15" s="12" t="n">
        <v>157554</v>
      </c>
      <c r="E15" s="2" t="n">
        <v>10</v>
      </c>
      <c r="F15" s="13" t="n">
        <v>159990</v>
      </c>
      <c r="G15" s="2" t="n">
        <v>2444</v>
      </c>
      <c r="H15" s="12" t="n">
        <v>157556</v>
      </c>
    </row>
    <row r="16" customFormat="false" ht="15" hidden="false" customHeight="false" outlineLevel="0" collapsed="false">
      <c r="A16" s="7"/>
      <c r="B16" s="2" t="n">
        <v>12</v>
      </c>
      <c r="C16" s="11" t="n">
        <v>2602</v>
      </c>
      <c r="D16" s="12" t="n">
        <v>157398</v>
      </c>
      <c r="E16" s="2" t="n">
        <v>2</v>
      </c>
      <c r="F16" s="13" t="n">
        <v>159998</v>
      </c>
      <c r="G16" s="2" t="n">
        <v>2603</v>
      </c>
      <c r="H16" s="12" t="n">
        <v>157397</v>
      </c>
    </row>
    <row r="17" customFormat="false" ht="15" hidden="false" customHeight="false" outlineLevel="0" collapsed="false">
      <c r="A17" s="7"/>
      <c r="B17" s="2" t="n">
        <v>13</v>
      </c>
      <c r="C17" s="11" t="n">
        <v>2745</v>
      </c>
      <c r="D17" s="12" t="n">
        <v>157255</v>
      </c>
      <c r="E17" s="2" t="n">
        <v>854</v>
      </c>
      <c r="F17" s="13" t="n">
        <v>159146</v>
      </c>
      <c r="G17" s="2" t="n">
        <v>2747</v>
      </c>
      <c r="H17" s="12" t="n">
        <v>157253</v>
      </c>
    </row>
    <row r="18" customFormat="false" ht="15" hidden="false" customHeight="false" outlineLevel="0" collapsed="false">
      <c r="A18" s="7"/>
      <c r="B18" s="2" t="n">
        <v>14</v>
      </c>
      <c r="C18" s="11" t="n">
        <v>2897</v>
      </c>
      <c r="D18" s="12" t="n">
        <v>157103</v>
      </c>
      <c r="E18" s="2" t="n">
        <v>7</v>
      </c>
      <c r="F18" s="13" t="n">
        <v>159993</v>
      </c>
      <c r="G18" s="2" t="n">
        <v>2899</v>
      </c>
      <c r="H18" s="12" t="n">
        <v>157101</v>
      </c>
    </row>
    <row r="19" customFormat="false" ht="15" hidden="false" customHeight="false" outlineLevel="0" collapsed="false">
      <c r="A19" s="7"/>
      <c r="B19" s="2" t="n">
        <v>15</v>
      </c>
      <c r="C19" s="11" t="n">
        <v>3039</v>
      </c>
      <c r="D19" s="12" t="n">
        <v>156961</v>
      </c>
      <c r="E19" s="2" t="n">
        <v>20</v>
      </c>
      <c r="F19" s="13" t="n">
        <v>159980</v>
      </c>
      <c r="G19" s="2" t="n">
        <v>3037</v>
      </c>
      <c r="H19" s="12" t="n">
        <v>156963</v>
      </c>
    </row>
    <row r="20" customFormat="false" ht="15" hidden="false" customHeight="false" outlineLevel="0" collapsed="false">
      <c r="A20" s="7"/>
      <c r="B20" s="2" t="n">
        <v>16</v>
      </c>
      <c r="C20" s="11" t="n">
        <v>3163</v>
      </c>
      <c r="D20" s="12" t="n">
        <v>156837</v>
      </c>
      <c r="E20" s="2" t="n">
        <v>0</v>
      </c>
      <c r="F20" s="13" t="n">
        <v>160000</v>
      </c>
      <c r="G20" s="2" t="n">
        <v>3162</v>
      </c>
      <c r="H20" s="12" t="n">
        <v>156838</v>
      </c>
    </row>
    <row r="21" customFormat="false" ht="15" hidden="false" customHeight="false" outlineLevel="0" collapsed="false">
      <c r="A21" s="7"/>
      <c r="B21" s="2" t="n">
        <v>17</v>
      </c>
      <c r="C21" s="11" t="n">
        <v>3280</v>
      </c>
      <c r="D21" s="12" t="n">
        <v>156720</v>
      </c>
      <c r="E21" s="2" t="n">
        <v>5</v>
      </c>
      <c r="F21" s="13" t="n">
        <v>159995</v>
      </c>
      <c r="G21" s="2" t="n">
        <v>3281</v>
      </c>
      <c r="H21" s="12" t="n">
        <v>156719</v>
      </c>
    </row>
    <row r="22" customFormat="false" ht="15" hidden="false" customHeight="false" outlineLevel="0" collapsed="false">
      <c r="A22" s="7"/>
      <c r="B22" s="2" t="n">
        <v>18</v>
      </c>
      <c r="C22" s="11" t="n">
        <v>3371</v>
      </c>
      <c r="D22" s="12" t="n">
        <v>156629</v>
      </c>
      <c r="E22" s="2" t="n">
        <v>8</v>
      </c>
      <c r="F22" s="13" t="n">
        <v>159992</v>
      </c>
      <c r="G22" s="2" t="n">
        <v>3377</v>
      </c>
      <c r="H22" s="12" t="n">
        <v>156623</v>
      </c>
    </row>
    <row r="23" customFormat="false" ht="15" hidden="false" customHeight="false" outlineLevel="0" collapsed="false">
      <c r="A23" s="7"/>
      <c r="B23" s="2" t="n">
        <v>19</v>
      </c>
      <c r="C23" s="11" t="n">
        <v>3478</v>
      </c>
      <c r="D23" s="12" t="n">
        <v>156522</v>
      </c>
      <c r="E23" s="2" t="n">
        <v>390</v>
      </c>
      <c r="F23" s="13" t="n">
        <v>159610</v>
      </c>
      <c r="G23" s="2" t="n">
        <v>3483</v>
      </c>
      <c r="H23" s="12" t="n">
        <v>156517</v>
      </c>
    </row>
    <row r="24" customFormat="false" ht="15" hidden="false" customHeight="false" outlineLevel="0" collapsed="false">
      <c r="A24" s="7"/>
      <c r="B24" s="2" t="n">
        <v>20</v>
      </c>
      <c r="C24" s="11" t="n">
        <v>3580</v>
      </c>
      <c r="D24" s="12" t="n">
        <v>156420</v>
      </c>
      <c r="E24" s="2" t="n">
        <v>25</v>
      </c>
      <c r="F24" s="13" t="n">
        <v>159975</v>
      </c>
      <c r="G24" s="2" t="n">
        <v>3580</v>
      </c>
      <c r="H24" s="12" t="n">
        <v>156420</v>
      </c>
    </row>
    <row r="25" customFormat="false" ht="15" hidden="false" customHeight="false" outlineLevel="0" collapsed="false">
      <c r="A25" s="7"/>
      <c r="B25" s="2" t="n">
        <v>21</v>
      </c>
      <c r="C25" s="11" t="n">
        <v>3672</v>
      </c>
      <c r="D25" s="12" t="n">
        <v>156328</v>
      </c>
      <c r="E25" s="2" t="n">
        <v>67</v>
      </c>
      <c r="F25" s="13" t="n">
        <v>159933</v>
      </c>
      <c r="G25" s="2" t="n">
        <v>3673</v>
      </c>
      <c r="H25" s="12" t="n">
        <v>156327</v>
      </c>
    </row>
    <row r="26" customFormat="false" ht="15" hidden="false" customHeight="false" outlineLevel="0" collapsed="false">
      <c r="A26" s="7"/>
      <c r="B26" s="2" t="n">
        <v>22</v>
      </c>
      <c r="C26" s="11" t="n">
        <v>3767</v>
      </c>
      <c r="D26" s="12" t="n">
        <v>156233</v>
      </c>
      <c r="E26" s="2" t="n">
        <v>282</v>
      </c>
      <c r="F26" s="13" t="n">
        <v>159718</v>
      </c>
      <c r="G26" s="2" t="n">
        <v>3766</v>
      </c>
      <c r="H26" s="12" t="n">
        <v>156234</v>
      </c>
    </row>
    <row r="27" customFormat="false" ht="15" hidden="false" customHeight="false" outlineLevel="0" collapsed="false">
      <c r="A27" s="7"/>
      <c r="B27" s="2" t="n">
        <v>23</v>
      </c>
      <c r="C27" s="11" t="n">
        <v>3844</v>
      </c>
      <c r="D27" s="12" t="n">
        <v>156156</v>
      </c>
      <c r="E27" s="2" t="n">
        <v>4</v>
      </c>
      <c r="F27" s="13" t="n">
        <v>159996</v>
      </c>
      <c r="G27" s="2" t="n">
        <v>3847</v>
      </c>
      <c r="H27" s="12" t="n">
        <v>156153</v>
      </c>
    </row>
    <row r="28" customFormat="false" ht="15" hidden="false" customHeight="false" outlineLevel="0" collapsed="false">
      <c r="A28" s="7"/>
      <c r="B28" s="2" t="n">
        <v>24</v>
      </c>
      <c r="C28" s="11" t="n">
        <v>3921</v>
      </c>
      <c r="D28" s="12" t="n">
        <v>156079</v>
      </c>
      <c r="E28" s="2" t="n">
        <v>103</v>
      </c>
      <c r="F28" s="13" t="n">
        <v>159897</v>
      </c>
      <c r="G28" s="2" t="n">
        <v>3923</v>
      </c>
      <c r="H28" s="12" t="n">
        <v>156077</v>
      </c>
    </row>
    <row r="29" customFormat="false" ht="15" hidden="false" customHeight="false" outlineLevel="0" collapsed="false">
      <c r="A29" s="7"/>
      <c r="B29" s="2" t="n">
        <v>25</v>
      </c>
      <c r="C29" s="11" t="n">
        <v>3995</v>
      </c>
      <c r="D29" s="12" t="n">
        <v>156005</v>
      </c>
      <c r="E29" s="2" t="n">
        <v>44</v>
      </c>
      <c r="F29" s="13" t="n">
        <v>159956</v>
      </c>
      <c r="G29" s="2" t="n">
        <v>3997</v>
      </c>
      <c r="H29" s="12" t="n">
        <v>156003</v>
      </c>
    </row>
    <row r="30" customFormat="false" ht="15" hidden="false" customHeight="false" outlineLevel="0" collapsed="false">
      <c r="A30" s="7"/>
      <c r="B30" s="2" t="n">
        <v>26</v>
      </c>
      <c r="C30" s="11" t="n">
        <v>4039</v>
      </c>
      <c r="D30" s="12" t="n">
        <v>155961</v>
      </c>
      <c r="E30" s="2" t="n">
        <v>10</v>
      </c>
      <c r="F30" s="13" t="n">
        <v>159990</v>
      </c>
      <c r="G30" s="2" t="n">
        <v>4049</v>
      </c>
      <c r="H30" s="12" t="n">
        <v>155951</v>
      </c>
    </row>
    <row r="31" customFormat="false" ht="15" hidden="false" customHeight="false" outlineLevel="0" collapsed="false">
      <c r="A31" s="7"/>
      <c r="B31" s="2" t="n">
        <v>27</v>
      </c>
      <c r="C31" s="11" t="n">
        <v>4098</v>
      </c>
      <c r="D31" s="12" t="n">
        <v>155902</v>
      </c>
      <c r="E31" s="2" t="n">
        <v>80</v>
      </c>
      <c r="F31" s="13" t="n">
        <v>159920</v>
      </c>
      <c r="G31" s="2" t="n">
        <v>4098</v>
      </c>
      <c r="H31" s="12" t="n">
        <v>155902</v>
      </c>
    </row>
    <row r="32" customFormat="false" ht="15" hidden="false" customHeight="false" outlineLevel="0" collapsed="false">
      <c r="A32" s="7"/>
      <c r="B32" s="2" t="n">
        <v>28</v>
      </c>
      <c r="C32" s="11" t="n">
        <v>4133</v>
      </c>
      <c r="D32" s="12" t="n">
        <v>155867</v>
      </c>
      <c r="E32" s="2" t="n">
        <v>4</v>
      </c>
      <c r="F32" s="13" t="n">
        <v>159996</v>
      </c>
      <c r="G32" s="2" t="n">
        <v>4132</v>
      </c>
      <c r="H32" s="12" t="n">
        <v>155868</v>
      </c>
    </row>
    <row r="33" customFormat="false" ht="15" hidden="false" customHeight="false" outlineLevel="0" collapsed="false">
      <c r="A33" s="7"/>
      <c r="B33" s="2" t="n">
        <v>29</v>
      </c>
      <c r="C33" s="11" t="n">
        <v>4151</v>
      </c>
      <c r="D33" s="12" t="n">
        <v>155849</v>
      </c>
      <c r="E33" s="2" t="n">
        <v>29</v>
      </c>
      <c r="F33" s="13" t="n">
        <v>159971</v>
      </c>
      <c r="G33" s="2" t="n">
        <v>4153</v>
      </c>
      <c r="H33" s="12" t="n">
        <v>155847</v>
      </c>
    </row>
    <row r="34" customFormat="false" ht="15" hidden="false" customHeight="false" outlineLevel="0" collapsed="false">
      <c r="A34" s="7"/>
      <c r="B34" s="2" t="n">
        <v>30</v>
      </c>
      <c r="C34" s="11" t="n">
        <v>4176</v>
      </c>
      <c r="D34" s="12" t="n">
        <v>155824</v>
      </c>
      <c r="E34" s="2" t="n">
        <v>11</v>
      </c>
      <c r="F34" s="13" t="n">
        <v>159989</v>
      </c>
      <c r="G34" s="2" t="n">
        <v>4176</v>
      </c>
      <c r="H34" s="12" t="n">
        <v>155824</v>
      </c>
    </row>
    <row r="35" customFormat="false" ht="15" hidden="false" customHeight="false" outlineLevel="0" collapsed="false">
      <c r="A35" s="7"/>
      <c r="B35" s="2" t="n">
        <v>31</v>
      </c>
      <c r="C35" s="11" t="n">
        <v>4199</v>
      </c>
      <c r="D35" s="12" t="n">
        <v>155801</v>
      </c>
      <c r="E35" s="2" t="n">
        <v>947</v>
      </c>
      <c r="F35" s="13" t="n">
        <v>159053</v>
      </c>
      <c r="G35" s="2" t="n">
        <v>4200</v>
      </c>
      <c r="H35" s="12" t="n">
        <v>155800</v>
      </c>
    </row>
    <row r="36" customFormat="false" ht="15" hidden="false" customHeight="false" outlineLevel="0" collapsed="false">
      <c r="A36" s="7"/>
      <c r="B36" s="2" t="n">
        <v>32</v>
      </c>
      <c r="C36" s="11" t="n">
        <v>4200</v>
      </c>
      <c r="D36" s="12" t="n">
        <v>155800</v>
      </c>
      <c r="E36" s="2" t="n">
        <v>7</v>
      </c>
      <c r="F36" s="13" t="n">
        <v>159993</v>
      </c>
      <c r="G36" s="2" t="n">
        <v>4204</v>
      </c>
      <c r="H36" s="12" t="n">
        <v>155796</v>
      </c>
    </row>
    <row r="37" customFormat="false" ht="15" hidden="false" customHeight="false" outlineLevel="0" collapsed="false">
      <c r="A37" s="7"/>
      <c r="B37" s="2" t="n">
        <v>33</v>
      </c>
      <c r="C37" s="11" t="n">
        <v>4169</v>
      </c>
      <c r="D37" s="12" t="n">
        <v>155831</v>
      </c>
      <c r="E37" s="2" t="n">
        <v>18</v>
      </c>
      <c r="F37" s="13" t="n">
        <v>159982</v>
      </c>
      <c r="G37" s="2" t="n">
        <v>4168</v>
      </c>
      <c r="H37" s="12" t="n">
        <v>155832</v>
      </c>
    </row>
    <row r="38" customFormat="false" ht="15" hidden="false" customHeight="false" outlineLevel="0" collapsed="false">
      <c r="A38" s="7"/>
      <c r="B38" s="2" t="n">
        <v>34</v>
      </c>
      <c r="C38" s="11" t="n">
        <v>4145</v>
      </c>
      <c r="D38" s="12" t="n">
        <v>155855</v>
      </c>
      <c r="E38" s="2" t="n">
        <v>58</v>
      </c>
      <c r="F38" s="13" t="n">
        <v>159942</v>
      </c>
      <c r="G38" s="2" t="n">
        <v>4140</v>
      </c>
      <c r="H38" s="12" t="n">
        <v>155860</v>
      </c>
    </row>
    <row r="39" customFormat="false" ht="15" hidden="false" customHeight="false" outlineLevel="0" collapsed="false">
      <c r="A39" s="7"/>
      <c r="B39" s="2" t="n">
        <v>35</v>
      </c>
      <c r="C39" s="11" t="n">
        <v>4118</v>
      </c>
      <c r="D39" s="12" t="n">
        <v>155882</v>
      </c>
      <c r="E39" s="2" t="n">
        <v>14</v>
      </c>
      <c r="F39" s="13" t="n">
        <v>159986</v>
      </c>
      <c r="G39" s="2" t="n">
        <v>4124</v>
      </c>
      <c r="H39" s="12" t="n">
        <v>155876</v>
      </c>
    </row>
    <row r="40" customFormat="false" ht="15" hidden="false" customHeight="false" outlineLevel="0" collapsed="false">
      <c r="A40" s="7"/>
      <c r="B40" s="2" t="n">
        <v>36</v>
      </c>
      <c r="C40" s="11" t="n">
        <v>4049</v>
      </c>
      <c r="D40" s="12" t="n">
        <v>155951</v>
      </c>
      <c r="E40" s="2" t="n">
        <v>207</v>
      </c>
      <c r="F40" s="13" t="n">
        <v>159793</v>
      </c>
      <c r="G40" s="2" t="n">
        <v>4052</v>
      </c>
      <c r="H40" s="12" t="n">
        <v>155948</v>
      </c>
    </row>
    <row r="41" customFormat="false" ht="15" hidden="false" customHeight="false" outlineLevel="0" collapsed="false">
      <c r="A41" s="7"/>
      <c r="B41" s="2" t="n">
        <v>37</v>
      </c>
      <c r="C41" s="11" t="n">
        <v>3972</v>
      </c>
      <c r="D41" s="12" t="n">
        <v>156028</v>
      </c>
      <c r="E41" s="2" t="n">
        <v>1</v>
      </c>
      <c r="F41" s="13" t="n">
        <v>159999</v>
      </c>
      <c r="G41" s="2" t="n">
        <v>3972</v>
      </c>
      <c r="H41" s="12" t="n">
        <v>156028</v>
      </c>
    </row>
    <row r="42" customFormat="false" ht="15" hidden="false" customHeight="false" outlineLevel="0" collapsed="false">
      <c r="A42" s="7"/>
      <c r="B42" s="2" t="n">
        <v>38</v>
      </c>
      <c r="C42" s="11" t="n">
        <v>3850</v>
      </c>
      <c r="D42" s="12" t="n">
        <v>156150</v>
      </c>
      <c r="E42" s="2" t="n">
        <v>31</v>
      </c>
      <c r="F42" s="13" t="n">
        <v>159969</v>
      </c>
      <c r="G42" s="2" t="n">
        <v>3847</v>
      </c>
      <c r="H42" s="12" t="n">
        <v>156153</v>
      </c>
    </row>
    <row r="43" customFormat="false" ht="15" hidden="false" customHeight="false" outlineLevel="0" collapsed="false">
      <c r="A43" s="7"/>
      <c r="B43" s="2" t="n">
        <v>39</v>
      </c>
      <c r="C43" s="11" t="n">
        <v>3684</v>
      </c>
      <c r="D43" s="12" t="n">
        <v>156316</v>
      </c>
      <c r="E43" s="2" t="n">
        <v>4</v>
      </c>
      <c r="F43" s="13" t="n">
        <v>159996</v>
      </c>
      <c r="G43" s="2" t="n">
        <v>3683</v>
      </c>
      <c r="H43" s="12" t="n">
        <v>156317</v>
      </c>
    </row>
    <row r="44" customFormat="false" ht="15" hidden="false" customHeight="false" outlineLevel="0" collapsed="false">
      <c r="A44" s="7"/>
      <c r="B44" s="2" t="n">
        <v>40</v>
      </c>
      <c r="C44" s="11" t="n">
        <v>3483</v>
      </c>
      <c r="D44" s="12" t="n">
        <v>156517</v>
      </c>
      <c r="E44" s="2" t="n">
        <v>56</v>
      </c>
      <c r="F44" s="13" t="n">
        <v>159944</v>
      </c>
      <c r="G44" s="2" t="n">
        <v>3484</v>
      </c>
      <c r="H44" s="12" t="n">
        <v>156516</v>
      </c>
    </row>
    <row r="45" customFormat="false" ht="15" hidden="false" customHeight="false" outlineLevel="0" collapsed="false">
      <c r="A45" s="7"/>
      <c r="B45" s="2" t="n">
        <v>41</v>
      </c>
      <c r="C45" s="11" t="n">
        <v>3357</v>
      </c>
      <c r="D45" s="12" t="n">
        <v>156643</v>
      </c>
      <c r="E45" s="2" t="n">
        <v>17</v>
      </c>
      <c r="F45" s="13" t="n">
        <v>159983</v>
      </c>
      <c r="G45" s="2" t="n">
        <v>3360</v>
      </c>
      <c r="H45" s="12" t="n">
        <v>156640</v>
      </c>
    </row>
    <row r="46" customFormat="false" ht="15" hidden="false" customHeight="false" outlineLevel="0" collapsed="false">
      <c r="A46" s="7"/>
      <c r="B46" s="2" t="n">
        <v>42</v>
      </c>
      <c r="C46" s="11" t="n">
        <v>3271</v>
      </c>
      <c r="D46" s="12" t="n">
        <v>156729</v>
      </c>
      <c r="E46" s="2" t="n">
        <v>2</v>
      </c>
      <c r="F46" s="13" t="n">
        <v>159998</v>
      </c>
      <c r="G46" s="2" t="n">
        <v>3270</v>
      </c>
      <c r="H46" s="12" t="n">
        <v>156730</v>
      </c>
    </row>
    <row r="47" customFormat="false" ht="15" hidden="false" customHeight="false" outlineLevel="0" collapsed="false">
      <c r="A47" s="7"/>
      <c r="B47" s="2" t="n">
        <v>43</v>
      </c>
      <c r="C47" s="11" t="n">
        <v>3179</v>
      </c>
      <c r="D47" s="12" t="n">
        <v>156821</v>
      </c>
      <c r="E47" s="2" t="n">
        <v>6</v>
      </c>
      <c r="F47" s="13" t="n">
        <v>159994</v>
      </c>
      <c r="G47" s="2" t="n">
        <v>3181</v>
      </c>
      <c r="H47" s="12" t="n">
        <v>156819</v>
      </c>
    </row>
    <row r="48" customFormat="false" ht="15" hidden="false" customHeight="false" outlineLevel="0" collapsed="false">
      <c r="A48" s="7"/>
      <c r="B48" s="2" t="n">
        <v>44</v>
      </c>
      <c r="C48" s="11" t="n">
        <v>3115</v>
      </c>
      <c r="D48" s="12" t="n">
        <v>156885</v>
      </c>
      <c r="E48" s="2" t="n">
        <v>81</v>
      </c>
      <c r="F48" s="13" t="n">
        <v>159919</v>
      </c>
      <c r="G48" s="2" t="n">
        <v>3111</v>
      </c>
      <c r="H48" s="12" t="n">
        <v>156889</v>
      </c>
    </row>
    <row r="49" customFormat="false" ht="15" hidden="false" customHeight="false" outlineLevel="0" collapsed="false">
      <c r="A49" s="7"/>
      <c r="B49" s="2" t="n">
        <v>45</v>
      </c>
      <c r="C49" s="11" t="n">
        <v>3044</v>
      </c>
      <c r="D49" s="12" t="n">
        <v>156956</v>
      </c>
      <c r="E49" s="2" t="n">
        <v>131</v>
      </c>
      <c r="F49" s="13" t="n">
        <v>159869</v>
      </c>
      <c r="G49" s="2" t="n">
        <v>3046</v>
      </c>
      <c r="H49" s="12" t="n">
        <v>156954</v>
      </c>
    </row>
    <row r="50" customFormat="false" ht="15" hidden="false" customHeight="false" outlineLevel="0" collapsed="false">
      <c r="A50" s="7"/>
      <c r="B50" s="2" t="n">
        <v>46</v>
      </c>
      <c r="C50" s="11" t="n">
        <v>2999</v>
      </c>
      <c r="D50" s="12" t="n">
        <v>157001</v>
      </c>
      <c r="E50" s="2" t="n">
        <v>0</v>
      </c>
      <c r="F50" s="13" t="n">
        <v>160000</v>
      </c>
      <c r="G50" s="2" t="n">
        <v>2998</v>
      </c>
      <c r="H50" s="12" t="n">
        <v>157002</v>
      </c>
    </row>
    <row r="51" customFormat="false" ht="15" hidden="false" customHeight="false" outlineLevel="0" collapsed="false">
      <c r="A51" s="7"/>
      <c r="B51" s="2" t="n">
        <v>47</v>
      </c>
      <c r="C51" s="11" t="n">
        <v>2939</v>
      </c>
      <c r="D51" s="12" t="n">
        <v>157061</v>
      </c>
      <c r="E51" s="2" t="n">
        <v>10</v>
      </c>
      <c r="F51" s="13" t="n">
        <v>159990</v>
      </c>
      <c r="G51" s="2" t="n">
        <v>2941</v>
      </c>
      <c r="H51" s="12" t="n">
        <v>157059</v>
      </c>
    </row>
    <row r="52" customFormat="false" ht="15" hidden="false" customHeight="false" outlineLevel="0" collapsed="false">
      <c r="A52" s="7"/>
      <c r="B52" s="2" t="n">
        <v>48</v>
      </c>
      <c r="C52" s="11" t="n">
        <v>2902</v>
      </c>
      <c r="D52" s="12" t="n">
        <v>157098</v>
      </c>
      <c r="E52" s="2" t="n">
        <v>204</v>
      </c>
      <c r="F52" s="13" t="n">
        <v>159796</v>
      </c>
      <c r="G52" s="2" t="n">
        <v>2906</v>
      </c>
      <c r="H52" s="12" t="n">
        <v>157094</v>
      </c>
    </row>
    <row r="53" customFormat="false" ht="15" hidden="false" customHeight="false" outlineLevel="0" collapsed="false">
      <c r="A53" s="7"/>
      <c r="B53" s="2" t="n">
        <v>49</v>
      </c>
      <c r="C53" s="11" t="n">
        <v>2869</v>
      </c>
      <c r="D53" s="12" t="n">
        <v>157131</v>
      </c>
      <c r="E53" s="2" t="n">
        <v>47</v>
      </c>
      <c r="F53" s="13" t="n">
        <v>159953</v>
      </c>
      <c r="G53" s="2" t="n">
        <v>2867</v>
      </c>
      <c r="H53" s="12" t="n">
        <v>157133</v>
      </c>
    </row>
    <row r="54" customFormat="false" ht="15" hidden="false" customHeight="false" outlineLevel="0" collapsed="false">
      <c r="A54" s="7"/>
      <c r="B54" s="2" t="n">
        <v>50</v>
      </c>
      <c r="C54" s="11" t="n">
        <v>2825</v>
      </c>
      <c r="D54" s="12" t="n">
        <v>157175</v>
      </c>
      <c r="E54" s="2" t="n">
        <v>64</v>
      </c>
      <c r="F54" s="13" t="n">
        <v>159936</v>
      </c>
      <c r="G54" s="2" t="n">
        <v>2826</v>
      </c>
      <c r="H54" s="12" t="n">
        <v>157174</v>
      </c>
    </row>
    <row r="55" customFormat="false" ht="15" hidden="false" customHeight="false" outlineLevel="0" collapsed="false">
      <c r="A55" s="7"/>
      <c r="B55" s="2" t="n">
        <v>51</v>
      </c>
      <c r="C55" s="11" t="n">
        <v>2800</v>
      </c>
      <c r="D55" s="12" t="n">
        <v>157200</v>
      </c>
      <c r="E55" s="2" t="n">
        <v>96</v>
      </c>
      <c r="F55" s="13" t="n">
        <v>159904</v>
      </c>
      <c r="G55" s="2" t="n">
        <v>2800</v>
      </c>
      <c r="H55" s="12" t="n">
        <v>157200</v>
      </c>
    </row>
    <row r="56" customFormat="false" ht="15" hidden="false" customHeight="false" outlineLevel="0" collapsed="false">
      <c r="A56" s="7"/>
      <c r="B56" s="2" t="n">
        <v>52</v>
      </c>
      <c r="C56" s="11" t="n">
        <v>2768</v>
      </c>
      <c r="D56" s="12" t="n">
        <v>157232</v>
      </c>
      <c r="E56" s="2" t="n">
        <v>15</v>
      </c>
      <c r="F56" s="13" t="n">
        <v>159985</v>
      </c>
      <c r="G56" s="2" t="n">
        <v>2768</v>
      </c>
      <c r="H56" s="12" t="n">
        <v>157232</v>
      </c>
    </row>
    <row r="57" customFormat="false" ht="15" hidden="false" customHeight="false" outlineLevel="0" collapsed="false">
      <c r="A57" s="7"/>
      <c r="B57" s="2" t="n">
        <v>53</v>
      </c>
      <c r="C57" s="11" t="n">
        <v>2728</v>
      </c>
      <c r="D57" s="12" t="n">
        <v>157272</v>
      </c>
      <c r="E57" s="2" t="n">
        <v>408</v>
      </c>
      <c r="F57" s="13" t="n">
        <v>159592</v>
      </c>
      <c r="G57" s="2" t="n">
        <v>2727</v>
      </c>
      <c r="H57" s="12" t="n">
        <v>157273</v>
      </c>
    </row>
    <row r="58" customFormat="false" ht="15" hidden="false" customHeight="false" outlineLevel="0" collapsed="false">
      <c r="A58" s="7"/>
      <c r="B58" s="2" t="n">
        <v>54</v>
      </c>
      <c r="C58" s="11" t="n">
        <v>2722</v>
      </c>
      <c r="D58" s="12" t="n">
        <v>157278</v>
      </c>
      <c r="E58" s="2" t="n">
        <v>162</v>
      </c>
      <c r="F58" s="13" t="n">
        <v>159838</v>
      </c>
      <c r="G58" s="2" t="n">
        <v>2721</v>
      </c>
      <c r="H58" s="12" t="n">
        <v>157279</v>
      </c>
    </row>
    <row r="59" customFormat="false" ht="15" hidden="false" customHeight="false" outlineLevel="0" collapsed="false">
      <c r="A59" s="7"/>
      <c r="B59" s="2" t="n">
        <v>55</v>
      </c>
      <c r="C59" s="11" t="n">
        <v>2694</v>
      </c>
      <c r="D59" s="12" t="n">
        <v>157306</v>
      </c>
      <c r="E59" s="2" t="n">
        <v>12</v>
      </c>
      <c r="F59" s="13" t="n">
        <v>159988</v>
      </c>
      <c r="G59" s="2" t="n">
        <v>2692</v>
      </c>
      <c r="H59" s="12" t="n">
        <v>157308</v>
      </c>
    </row>
    <row r="60" customFormat="false" ht="15" hidden="false" customHeight="false" outlineLevel="0" collapsed="false">
      <c r="A60" s="7"/>
      <c r="B60" s="2" t="n">
        <v>56</v>
      </c>
      <c r="C60" s="11" t="n">
        <v>2664</v>
      </c>
      <c r="D60" s="12" t="n">
        <v>157336</v>
      </c>
      <c r="E60" s="2" t="n">
        <v>10</v>
      </c>
      <c r="F60" s="13" t="n">
        <v>159990</v>
      </c>
      <c r="G60" s="2" t="n">
        <v>2664</v>
      </c>
      <c r="H60" s="12" t="n">
        <v>157336</v>
      </c>
    </row>
    <row r="61" customFormat="false" ht="15" hidden="false" customHeight="false" outlineLevel="0" collapsed="false">
      <c r="A61" s="7"/>
      <c r="B61" s="2" t="n">
        <v>57</v>
      </c>
      <c r="C61" s="11" t="n">
        <v>2645</v>
      </c>
      <c r="D61" s="12" t="n">
        <v>157355</v>
      </c>
      <c r="E61" s="2" t="n">
        <v>23</v>
      </c>
      <c r="F61" s="13" t="n">
        <v>159977</v>
      </c>
      <c r="G61" s="2" t="n">
        <v>2644</v>
      </c>
      <c r="H61" s="12" t="n">
        <v>157356</v>
      </c>
    </row>
    <row r="62" customFormat="false" ht="15" hidden="false" customHeight="false" outlineLevel="0" collapsed="false">
      <c r="A62" s="7"/>
      <c r="B62" s="2" t="n">
        <v>58</v>
      </c>
      <c r="C62" s="11" t="n">
        <v>2639</v>
      </c>
      <c r="D62" s="12" t="n">
        <v>157361</v>
      </c>
      <c r="E62" s="2" t="n">
        <v>82</v>
      </c>
      <c r="F62" s="13" t="n">
        <v>159918</v>
      </c>
      <c r="G62" s="2" t="n">
        <v>2639</v>
      </c>
      <c r="H62" s="12" t="n">
        <v>157361</v>
      </c>
    </row>
    <row r="63" customFormat="false" ht="15" hidden="false" customHeight="false" outlineLevel="0" collapsed="false">
      <c r="A63" s="7"/>
      <c r="B63" s="2" t="n">
        <v>59</v>
      </c>
      <c r="C63" s="11" t="n">
        <v>2619</v>
      </c>
      <c r="D63" s="12" t="n">
        <v>157381</v>
      </c>
      <c r="E63" s="2" t="n">
        <v>7</v>
      </c>
      <c r="F63" s="13" t="n">
        <v>159993</v>
      </c>
      <c r="G63" s="2" t="n">
        <v>2620</v>
      </c>
      <c r="H63" s="12" t="n">
        <v>157380</v>
      </c>
    </row>
    <row r="64" customFormat="false" ht="15" hidden="false" customHeight="false" outlineLevel="0" collapsed="false">
      <c r="A64" s="7"/>
      <c r="B64" s="2" t="n">
        <v>60</v>
      </c>
      <c r="C64" s="11" t="n">
        <v>2590</v>
      </c>
      <c r="D64" s="12" t="n">
        <v>157410</v>
      </c>
      <c r="E64" s="2" t="n">
        <v>163</v>
      </c>
      <c r="F64" s="13" t="n">
        <v>159837</v>
      </c>
      <c r="G64" s="2" t="n">
        <v>2589</v>
      </c>
      <c r="H64" s="12" t="n">
        <v>157411</v>
      </c>
    </row>
    <row r="65" customFormat="false" ht="15" hidden="false" customHeight="false" outlineLevel="0" collapsed="false">
      <c r="A65" s="7"/>
      <c r="B65" s="2" t="n">
        <v>61</v>
      </c>
      <c r="C65" s="11" t="n">
        <v>2584</v>
      </c>
      <c r="D65" s="12" t="n">
        <v>157416</v>
      </c>
      <c r="E65" s="2" t="n">
        <v>12</v>
      </c>
      <c r="F65" s="13" t="n">
        <v>159988</v>
      </c>
      <c r="G65" s="2" t="n">
        <v>2584</v>
      </c>
      <c r="H65" s="12" t="n">
        <v>157416</v>
      </c>
    </row>
    <row r="66" customFormat="false" ht="15" hidden="false" customHeight="false" outlineLevel="0" collapsed="false">
      <c r="A66" s="7"/>
      <c r="B66" s="2" t="n">
        <v>62</v>
      </c>
      <c r="C66" s="11" t="n">
        <v>2581</v>
      </c>
      <c r="D66" s="12" t="n">
        <v>157419</v>
      </c>
      <c r="E66" s="2" t="n">
        <v>124</v>
      </c>
      <c r="F66" s="13" t="n">
        <v>159876</v>
      </c>
      <c r="G66" s="2" t="n">
        <v>2582</v>
      </c>
      <c r="H66" s="12" t="n">
        <v>157418</v>
      </c>
    </row>
    <row r="67" customFormat="false" ht="15" hidden="false" customHeight="false" outlineLevel="0" collapsed="false">
      <c r="A67" s="7"/>
      <c r="B67" s="2" t="n">
        <v>63</v>
      </c>
      <c r="C67" s="11" t="n">
        <v>2563</v>
      </c>
      <c r="D67" s="12" t="n">
        <v>157437</v>
      </c>
      <c r="E67" s="2" t="n">
        <v>8</v>
      </c>
      <c r="F67" s="13" t="n">
        <v>159992</v>
      </c>
      <c r="G67" s="2" t="n">
        <v>2562</v>
      </c>
      <c r="H67" s="12" t="n">
        <v>157438</v>
      </c>
    </row>
    <row r="68" customFormat="false" ht="15" hidden="false" customHeight="false" outlineLevel="0" collapsed="false">
      <c r="A68" s="7"/>
      <c r="B68" s="2" t="n">
        <v>64</v>
      </c>
      <c r="C68" s="11" t="n">
        <v>2562</v>
      </c>
      <c r="D68" s="12" t="n">
        <v>157438</v>
      </c>
      <c r="E68" s="2" t="n">
        <v>12</v>
      </c>
      <c r="F68" s="13" t="n">
        <v>159988</v>
      </c>
      <c r="G68" s="2" t="n">
        <v>2561</v>
      </c>
      <c r="H68" s="12" t="n">
        <v>157439</v>
      </c>
    </row>
    <row r="69" customFormat="false" ht="15" hidden="false" customHeight="false" outlineLevel="0" collapsed="false">
      <c r="A69" s="7"/>
      <c r="B69" s="2" t="n">
        <v>65</v>
      </c>
      <c r="C69" s="11" t="n">
        <v>2546</v>
      </c>
      <c r="D69" s="12" t="n">
        <v>157454</v>
      </c>
      <c r="E69" s="2" t="n">
        <v>3</v>
      </c>
      <c r="F69" s="13" t="n">
        <v>159997</v>
      </c>
      <c r="G69" s="2" t="n">
        <v>2546</v>
      </c>
      <c r="H69" s="12" t="n">
        <v>157454</v>
      </c>
    </row>
    <row r="70" customFormat="false" ht="15" hidden="false" customHeight="false" outlineLevel="0" collapsed="false">
      <c r="A70" s="7"/>
      <c r="B70" s="2" t="n">
        <v>66</v>
      </c>
      <c r="C70" s="11" t="n">
        <v>2529</v>
      </c>
      <c r="D70" s="12" t="n">
        <v>157471</v>
      </c>
      <c r="E70" s="2" t="n">
        <v>14</v>
      </c>
      <c r="F70" s="13" t="n">
        <v>159986</v>
      </c>
      <c r="G70" s="2" t="n">
        <v>2528</v>
      </c>
      <c r="H70" s="12" t="n">
        <v>157472</v>
      </c>
    </row>
    <row r="71" customFormat="false" ht="15" hidden="false" customHeight="false" outlineLevel="0" collapsed="false">
      <c r="A71" s="7"/>
      <c r="B71" s="2" t="n">
        <v>67</v>
      </c>
      <c r="C71" s="11" t="n">
        <v>2513</v>
      </c>
      <c r="D71" s="12" t="n">
        <v>157487</v>
      </c>
      <c r="E71" s="2" t="n">
        <v>29</v>
      </c>
      <c r="F71" s="13" t="n">
        <v>159971</v>
      </c>
      <c r="G71" s="2" t="n">
        <v>2513</v>
      </c>
      <c r="H71" s="12" t="n">
        <v>157487</v>
      </c>
    </row>
    <row r="72" customFormat="false" ht="15" hidden="false" customHeight="false" outlineLevel="0" collapsed="false">
      <c r="A72" s="7"/>
      <c r="B72" s="2" t="n">
        <v>68</v>
      </c>
      <c r="C72" s="11" t="n">
        <v>2521</v>
      </c>
      <c r="D72" s="12" t="n">
        <v>157479</v>
      </c>
      <c r="E72" s="2" t="n">
        <v>25</v>
      </c>
      <c r="F72" s="13" t="n">
        <v>159975</v>
      </c>
      <c r="G72" s="2" t="n">
        <v>2523</v>
      </c>
      <c r="H72" s="12" t="n">
        <v>157477</v>
      </c>
    </row>
    <row r="73" customFormat="false" ht="15" hidden="false" customHeight="false" outlineLevel="0" collapsed="false">
      <c r="A73" s="7"/>
      <c r="B73" s="2" t="n">
        <v>69</v>
      </c>
      <c r="C73" s="11" t="n">
        <v>2522</v>
      </c>
      <c r="D73" s="12" t="n">
        <v>157478</v>
      </c>
      <c r="E73" s="2" t="n">
        <v>330</v>
      </c>
      <c r="F73" s="13" t="n">
        <v>159670</v>
      </c>
      <c r="G73" s="2" t="n">
        <v>2524</v>
      </c>
      <c r="H73" s="12" t="n">
        <v>157476</v>
      </c>
    </row>
    <row r="74" customFormat="false" ht="15" hidden="false" customHeight="false" outlineLevel="0" collapsed="false">
      <c r="A74" s="7"/>
      <c r="B74" s="2" t="n">
        <v>70</v>
      </c>
      <c r="C74" s="11" t="n">
        <v>2510</v>
      </c>
      <c r="D74" s="12" t="n">
        <v>157490</v>
      </c>
      <c r="E74" s="2" t="n">
        <v>7</v>
      </c>
      <c r="F74" s="13" t="n">
        <v>159993</v>
      </c>
      <c r="G74" s="2" t="n">
        <v>2508</v>
      </c>
      <c r="H74" s="12" t="n">
        <v>157492</v>
      </c>
    </row>
    <row r="75" customFormat="false" ht="15" hidden="false" customHeight="false" outlineLevel="0" collapsed="false">
      <c r="A75" s="7"/>
      <c r="B75" s="2" t="n">
        <v>71</v>
      </c>
      <c r="C75" s="11" t="n">
        <v>2510</v>
      </c>
      <c r="D75" s="12" t="n">
        <v>157490</v>
      </c>
      <c r="E75" s="2" t="n">
        <v>73</v>
      </c>
      <c r="F75" s="13" t="n">
        <v>159927</v>
      </c>
      <c r="G75" s="2" t="n">
        <v>2514</v>
      </c>
      <c r="H75" s="12" t="n">
        <v>157486</v>
      </c>
    </row>
    <row r="76" customFormat="false" ht="15" hidden="false" customHeight="false" outlineLevel="0" collapsed="false">
      <c r="A76" s="7"/>
      <c r="B76" s="2" t="n">
        <v>72</v>
      </c>
      <c r="C76" s="11" t="n">
        <v>2509</v>
      </c>
      <c r="D76" s="12" t="n">
        <v>157491</v>
      </c>
      <c r="E76" s="2" t="n">
        <v>14</v>
      </c>
      <c r="F76" s="13" t="n">
        <v>159986</v>
      </c>
      <c r="G76" s="2" t="n">
        <v>2512</v>
      </c>
      <c r="H76" s="12" t="n">
        <v>157488</v>
      </c>
    </row>
    <row r="77" customFormat="false" ht="15" hidden="false" customHeight="false" outlineLevel="0" collapsed="false">
      <c r="A77" s="7"/>
      <c r="B77" s="2" t="n">
        <v>73</v>
      </c>
      <c r="C77" s="11" t="n">
        <v>2499</v>
      </c>
      <c r="D77" s="12" t="n">
        <v>157501</v>
      </c>
      <c r="E77" s="2" t="n">
        <v>29</v>
      </c>
      <c r="F77" s="13" t="n">
        <v>159971</v>
      </c>
      <c r="G77" s="2" t="n">
        <v>2499</v>
      </c>
      <c r="H77" s="12" t="n">
        <v>157501</v>
      </c>
    </row>
    <row r="78" customFormat="false" ht="15" hidden="false" customHeight="false" outlineLevel="0" collapsed="false">
      <c r="A78" s="7"/>
      <c r="B78" s="2" t="n">
        <v>74</v>
      </c>
      <c r="C78" s="11" t="n">
        <v>2489</v>
      </c>
      <c r="D78" s="12" t="n">
        <v>157511</v>
      </c>
      <c r="E78" s="2" t="n">
        <v>5</v>
      </c>
      <c r="F78" s="13" t="n">
        <v>159995</v>
      </c>
      <c r="G78" s="2" t="n">
        <v>2490</v>
      </c>
      <c r="H78" s="12" t="n">
        <v>157510</v>
      </c>
    </row>
    <row r="79" customFormat="false" ht="15" hidden="false" customHeight="false" outlineLevel="0" collapsed="false">
      <c r="A79" s="7"/>
      <c r="B79" s="2" t="n">
        <v>75</v>
      </c>
      <c r="C79" s="11" t="n">
        <v>2503</v>
      </c>
      <c r="D79" s="12" t="n">
        <v>157497</v>
      </c>
      <c r="E79" s="2" t="n">
        <v>104</v>
      </c>
      <c r="F79" s="13" t="n">
        <v>159896</v>
      </c>
      <c r="G79" s="2" t="n">
        <v>2501</v>
      </c>
      <c r="H79" s="12" t="n">
        <v>157499</v>
      </c>
    </row>
    <row r="80" customFormat="false" ht="15" hidden="false" customHeight="false" outlineLevel="0" collapsed="false">
      <c r="A80" s="7"/>
      <c r="B80" s="2" t="n">
        <v>76</v>
      </c>
      <c r="C80" s="11" t="n">
        <v>2500</v>
      </c>
      <c r="D80" s="12" t="n">
        <v>157500</v>
      </c>
      <c r="E80" s="2" t="n">
        <v>11</v>
      </c>
      <c r="F80" s="13" t="n">
        <v>159989</v>
      </c>
      <c r="G80" s="2" t="n">
        <v>2500</v>
      </c>
      <c r="H80" s="12" t="n">
        <v>157500</v>
      </c>
    </row>
    <row r="81" customFormat="false" ht="15" hidden="false" customHeight="false" outlineLevel="0" collapsed="false">
      <c r="A81" s="7"/>
      <c r="B81" s="2" t="n">
        <v>77</v>
      </c>
      <c r="C81" s="11" t="n">
        <v>2511</v>
      </c>
      <c r="D81" s="12" t="n">
        <v>157489</v>
      </c>
      <c r="E81" s="2" t="n">
        <v>34</v>
      </c>
      <c r="F81" s="13" t="n">
        <v>159966</v>
      </c>
      <c r="G81" s="2" t="n">
        <v>2510</v>
      </c>
      <c r="H81" s="12" t="n">
        <v>157490</v>
      </c>
    </row>
    <row r="82" customFormat="false" ht="15" hidden="false" customHeight="false" outlineLevel="0" collapsed="false">
      <c r="A82" s="7"/>
      <c r="B82" s="2" t="n">
        <v>78</v>
      </c>
      <c r="C82" s="11" t="n">
        <v>2509</v>
      </c>
      <c r="D82" s="12" t="n">
        <v>157491</v>
      </c>
      <c r="E82" s="2" t="n">
        <v>331</v>
      </c>
      <c r="F82" s="13" t="n">
        <v>159669</v>
      </c>
      <c r="G82" s="2" t="n">
        <v>2507</v>
      </c>
      <c r="H82" s="12" t="n">
        <v>157493</v>
      </c>
    </row>
    <row r="83" customFormat="false" ht="15" hidden="false" customHeight="false" outlineLevel="0" collapsed="false">
      <c r="A83" s="7"/>
      <c r="B83" s="2" t="n">
        <v>79</v>
      </c>
      <c r="C83" s="11" t="n">
        <v>2518</v>
      </c>
      <c r="D83" s="12" t="n">
        <v>157482</v>
      </c>
      <c r="E83" s="2" t="n">
        <v>198</v>
      </c>
      <c r="F83" s="13" t="n">
        <v>159802</v>
      </c>
      <c r="G83" s="2" t="n">
        <v>2519</v>
      </c>
      <c r="H83" s="12" t="n">
        <v>157481</v>
      </c>
    </row>
    <row r="84" customFormat="false" ht="15" hidden="false" customHeight="false" outlineLevel="0" collapsed="false">
      <c r="A84" s="7"/>
      <c r="B84" s="2" t="n">
        <v>80</v>
      </c>
      <c r="C84" s="11" t="n">
        <v>2515</v>
      </c>
      <c r="D84" s="12" t="n">
        <v>157485</v>
      </c>
      <c r="E84" s="2" t="n">
        <v>118</v>
      </c>
      <c r="F84" s="13" t="n">
        <v>159882</v>
      </c>
      <c r="G84" s="2" t="n">
        <v>2515</v>
      </c>
      <c r="H84" s="12" t="n">
        <v>157485</v>
      </c>
    </row>
    <row r="85" customFormat="false" ht="15" hidden="false" customHeight="false" outlineLevel="0" collapsed="false">
      <c r="A85" s="7"/>
      <c r="B85" s="2" t="n">
        <v>81</v>
      </c>
      <c r="C85" s="11" t="n">
        <v>2518</v>
      </c>
      <c r="D85" s="12" t="n">
        <v>157482</v>
      </c>
      <c r="E85" s="2" t="n">
        <v>52</v>
      </c>
      <c r="F85" s="13" t="n">
        <v>159948</v>
      </c>
      <c r="G85" s="2" t="n">
        <v>2517</v>
      </c>
      <c r="H85" s="12" t="n">
        <v>157483</v>
      </c>
    </row>
    <row r="86" customFormat="false" ht="15" hidden="false" customHeight="false" outlineLevel="0" collapsed="false">
      <c r="A86" s="7"/>
      <c r="B86" s="2" t="n">
        <v>82</v>
      </c>
      <c r="C86" s="11" t="n">
        <v>2528</v>
      </c>
      <c r="D86" s="12" t="n">
        <v>157472</v>
      </c>
      <c r="E86" s="2" t="n">
        <v>101</v>
      </c>
      <c r="F86" s="13" t="n">
        <v>159899</v>
      </c>
      <c r="G86" s="2" t="n">
        <v>2530</v>
      </c>
      <c r="H86" s="12" t="n">
        <v>157470</v>
      </c>
    </row>
    <row r="87" customFormat="false" ht="15" hidden="false" customHeight="false" outlineLevel="0" collapsed="false">
      <c r="A87" s="7"/>
      <c r="B87" s="2" t="n">
        <v>83</v>
      </c>
      <c r="C87" s="11" t="n">
        <v>2546</v>
      </c>
      <c r="D87" s="12" t="n">
        <v>157454</v>
      </c>
      <c r="E87" s="2" t="n">
        <v>250</v>
      </c>
      <c r="F87" s="13" t="n">
        <v>159750</v>
      </c>
      <c r="G87" s="2" t="n">
        <v>2545</v>
      </c>
      <c r="H87" s="12" t="n">
        <v>157455</v>
      </c>
    </row>
    <row r="88" customFormat="false" ht="15" hidden="false" customHeight="false" outlineLevel="0" collapsed="false">
      <c r="A88" s="7"/>
      <c r="B88" s="2" t="n">
        <v>84</v>
      </c>
      <c r="C88" s="11" t="n">
        <v>2562</v>
      </c>
      <c r="D88" s="12" t="n">
        <v>157438</v>
      </c>
      <c r="E88" s="2" t="n">
        <v>9</v>
      </c>
      <c r="F88" s="13" t="n">
        <v>159991</v>
      </c>
      <c r="G88" s="2" t="n">
        <v>2564</v>
      </c>
      <c r="H88" s="12" t="n">
        <v>157436</v>
      </c>
    </row>
    <row r="89" customFormat="false" ht="15" hidden="false" customHeight="false" outlineLevel="0" collapsed="false">
      <c r="A89" s="7"/>
      <c r="B89" s="2" t="n">
        <v>85</v>
      </c>
      <c r="C89" s="11" t="n">
        <v>2566</v>
      </c>
      <c r="D89" s="12" t="n">
        <v>157434</v>
      </c>
      <c r="E89" s="2" t="n">
        <v>8</v>
      </c>
      <c r="F89" s="13" t="n">
        <v>159992</v>
      </c>
      <c r="G89" s="2" t="n">
        <v>2565</v>
      </c>
      <c r="H89" s="12" t="n">
        <v>157435</v>
      </c>
    </row>
    <row r="90" customFormat="false" ht="15" hidden="false" customHeight="false" outlineLevel="0" collapsed="false">
      <c r="A90" s="7"/>
      <c r="B90" s="2" t="n">
        <v>86</v>
      </c>
      <c r="C90" s="11" t="n">
        <v>2574</v>
      </c>
      <c r="D90" s="12" t="n">
        <v>157426</v>
      </c>
      <c r="E90" s="2" t="n">
        <v>119</v>
      </c>
      <c r="F90" s="13" t="n">
        <v>159881</v>
      </c>
      <c r="G90" s="2" t="n">
        <v>2575</v>
      </c>
      <c r="H90" s="12" t="n">
        <v>157425</v>
      </c>
    </row>
    <row r="91" customFormat="false" ht="15" hidden="false" customHeight="false" outlineLevel="0" collapsed="false">
      <c r="A91" s="7"/>
      <c r="B91" s="2" t="n">
        <v>87</v>
      </c>
      <c r="C91" s="11" t="n">
        <v>2586</v>
      </c>
      <c r="D91" s="12" t="n">
        <v>157414</v>
      </c>
      <c r="E91" s="2" t="n">
        <v>12</v>
      </c>
      <c r="F91" s="13" t="n">
        <v>159988</v>
      </c>
      <c r="G91" s="2" t="n">
        <v>2586</v>
      </c>
      <c r="H91" s="12" t="n">
        <v>157414</v>
      </c>
    </row>
    <row r="92" customFormat="false" ht="15" hidden="false" customHeight="false" outlineLevel="0" collapsed="false">
      <c r="A92" s="7"/>
      <c r="B92" s="2" t="n">
        <v>88</v>
      </c>
      <c r="C92" s="11" t="n">
        <v>2590</v>
      </c>
      <c r="D92" s="12" t="n">
        <v>157410</v>
      </c>
      <c r="E92" s="2" t="n">
        <v>2</v>
      </c>
      <c r="F92" s="13" t="n">
        <v>159998</v>
      </c>
      <c r="G92" s="2" t="n">
        <v>2591</v>
      </c>
      <c r="H92" s="12" t="n">
        <v>157409</v>
      </c>
    </row>
    <row r="93" customFormat="false" ht="15" hidden="false" customHeight="false" outlineLevel="0" collapsed="false">
      <c r="A93" s="7"/>
      <c r="B93" s="2" t="n">
        <v>89</v>
      </c>
      <c r="C93" s="11" t="n">
        <v>2620</v>
      </c>
      <c r="D93" s="12" t="n">
        <v>157380</v>
      </c>
      <c r="E93" s="2" t="n">
        <v>2</v>
      </c>
      <c r="F93" s="13" t="n">
        <v>159998</v>
      </c>
      <c r="G93" s="2" t="n">
        <v>2620</v>
      </c>
      <c r="H93" s="12" t="n">
        <v>157380</v>
      </c>
    </row>
    <row r="94" customFormat="false" ht="15" hidden="false" customHeight="false" outlineLevel="0" collapsed="false">
      <c r="A94" s="7"/>
      <c r="B94" s="2" t="n">
        <v>90</v>
      </c>
      <c r="C94" s="11" t="n">
        <v>2637</v>
      </c>
      <c r="D94" s="12" t="n">
        <v>157363</v>
      </c>
      <c r="E94" s="2" t="n">
        <v>30</v>
      </c>
      <c r="F94" s="13" t="n">
        <v>159970</v>
      </c>
      <c r="G94" s="2" t="n">
        <v>2636</v>
      </c>
      <c r="H94" s="12" t="n">
        <v>157364</v>
      </c>
    </row>
    <row r="95" customFormat="false" ht="15" hidden="false" customHeight="false" outlineLevel="0" collapsed="false">
      <c r="A95" s="7"/>
      <c r="B95" s="2" t="n">
        <v>91</v>
      </c>
      <c r="C95" s="11" t="n">
        <v>2649</v>
      </c>
      <c r="D95" s="12" t="n">
        <v>157351</v>
      </c>
      <c r="E95" s="2" t="n">
        <v>11</v>
      </c>
      <c r="F95" s="13" t="n">
        <v>159989</v>
      </c>
      <c r="G95" s="2" t="n">
        <v>2642</v>
      </c>
      <c r="H95" s="12" t="n">
        <v>157358</v>
      </c>
    </row>
    <row r="96" customFormat="false" ht="15" hidden="false" customHeight="false" outlineLevel="0" collapsed="false">
      <c r="A96" s="7"/>
      <c r="B96" s="2" t="n">
        <v>92</v>
      </c>
      <c r="C96" s="11" t="n">
        <v>2665</v>
      </c>
      <c r="D96" s="12" t="n">
        <v>157335</v>
      </c>
      <c r="E96" s="2" t="n">
        <v>15</v>
      </c>
      <c r="F96" s="13" t="n">
        <v>159985</v>
      </c>
      <c r="G96" s="2" t="n">
        <v>2667</v>
      </c>
      <c r="H96" s="12" t="n">
        <v>157333</v>
      </c>
    </row>
    <row r="97" customFormat="false" ht="15" hidden="false" customHeight="false" outlineLevel="0" collapsed="false">
      <c r="A97" s="7"/>
      <c r="B97" s="2" t="n">
        <v>93</v>
      </c>
      <c r="C97" s="11" t="n">
        <v>2692</v>
      </c>
      <c r="D97" s="12" t="n">
        <v>157308</v>
      </c>
      <c r="E97" s="2" t="n">
        <v>7</v>
      </c>
      <c r="F97" s="13" t="n">
        <v>159993</v>
      </c>
      <c r="G97" s="2" t="n">
        <v>2689</v>
      </c>
      <c r="H97" s="12" t="n">
        <v>157311</v>
      </c>
    </row>
    <row r="98" customFormat="false" ht="15" hidden="false" customHeight="false" outlineLevel="0" collapsed="false">
      <c r="A98" s="7"/>
      <c r="B98" s="2" t="n">
        <v>94</v>
      </c>
      <c r="C98" s="11" t="n">
        <v>2725</v>
      </c>
      <c r="D98" s="12" t="n">
        <v>157275</v>
      </c>
      <c r="E98" s="2" t="n">
        <v>58</v>
      </c>
      <c r="F98" s="13" t="n">
        <v>159942</v>
      </c>
      <c r="G98" s="2" t="n">
        <v>2723</v>
      </c>
      <c r="H98" s="12" t="n">
        <v>157277</v>
      </c>
    </row>
    <row r="99" customFormat="false" ht="15" hidden="false" customHeight="false" outlineLevel="0" collapsed="false">
      <c r="A99" s="7"/>
      <c r="B99" s="2" t="n">
        <v>95</v>
      </c>
      <c r="C99" s="11" t="n">
        <v>2729</v>
      </c>
      <c r="D99" s="12" t="n">
        <v>157271</v>
      </c>
      <c r="E99" s="2" t="n">
        <v>8</v>
      </c>
      <c r="F99" s="13" t="n">
        <v>159992</v>
      </c>
      <c r="G99" s="2" t="n">
        <v>2728</v>
      </c>
      <c r="H99" s="12" t="n">
        <v>157272</v>
      </c>
    </row>
    <row r="100" customFormat="false" ht="15" hidden="false" customHeight="false" outlineLevel="0" collapsed="false">
      <c r="A100" s="7"/>
      <c r="B100" s="2" t="n">
        <v>96</v>
      </c>
      <c r="C100" s="11" t="n">
        <v>2765</v>
      </c>
      <c r="D100" s="12" t="n">
        <v>157235</v>
      </c>
      <c r="E100" s="2" t="n">
        <v>229</v>
      </c>
      <c r="F100" s="13" t="n">
        <v>159771</v>
      </c>
      <c r="G100" s="2" t="n">
        <v>2767</v>
      </c>
      <c r="H100" s="12" t="n">
        <v>157233</v>
      </c>
    </row>
    <row r="101" customFormat="false" ht="15" hidden="false" customHeight="false" outlineLevel="0" collapsed="false">
      <c r="A101" s="7"/>
      <c r="B101" s="2" t="n">
        <v>97</v>
      </c>
      <c r="C101" s="11" t="n">
        <v>2787</v>
      </c>
      <c r="D101" s="12" t="n">
        <v>157213</v>
      </c>
      <c r="E101" s="2" t="n">
        <v>58</v>
      </c>
      <c r="F101" s="13" t="n">
        <v>159942</v>
      </c>
      <c r="G101" s="2" t="n">
        <v>2786</v>
      </c>
      <c r="H101" s="12" t="n">
        <v>157214</v>
      </c>
    </row>
    <row r="102" customFormat="false" ht="15" hidden="false" customHeight="false" outlineLevel="0" collapsed="false">
      <c r="A102" s="7"/>
      <c r="B102" s="2" t="n">
        <v>98</v>
      </c>
      <c r="C102" s="11" t="n">
        <v>2830</v>
      </c>
      <c r="D102" s="12" t="n">
        <v>157170</v>
      </c>
      <c r="E102" s="2" t="n">
        <v>57</v>
      </c>
      <c r="F102" s="13" t="n">
        <v>159943</v>
      </c>
      <c r="G102" s="2" t="n">
        <v>2832</v>
      </c>
      <c r="H102" s="12" t="n">
        <v>157168</v>
      </c>
    </row>
    <row r="103" customFormat="false" ht="15" hidden="false" customHeight="false" outlineLevel="0" collapsed="false">
      <c r="A103" s="7"/>
      <c r="B103" s="2" t="n">
        <v>99</v>
      </c>
      <c r="C103" s="11" t="n">
        <v>2873</v>
      </c>
      <c r="D103" s="12" t="n">
        <v>157127</v>
      </c>
      <c r="E103" s="2" t="n">
        <v>337</v>
      </c>
      <c r="F103" s="13" t="n">
        <v>159663</v>
      </c>
      <c r="G103" s="2" t="n">
        <v>2869</v>
      </c>
      <c r="H103" s="12" t="n">
        <v>157131</v>
      </c>
    </row>
    <row r="104" customFormat="false" ht="15" hidden="false" customHeight="false" outlineLevel="0" collapsed="false">
      <c r="A104" s="7"/>
      <c r="B104" s="2" t="n">
        <v>100</v>
      </c>
      <c r="C104" s="11" t="n">
        <v>2911</v>
      </c>
      <c r="D104" s="12" t="n">
        <v>157089</v>
      </c>
      <c r="E104" s="2" t="n">
        <v>15</v>
      </c>
      <c r="F104" s="13" t="n">
        <v>159985</v>
      </c>
      <c r="G104" s="2" t="n">
        <v>2911</v>
      </c>
      <c r="H104" s="12" t="n">
        <v>157089</v>
      </c>
    </row>
    <row r="105" customFormat="false" ht="15" hidden="false" customHeight="false" outlineLevel="0" collapsed="false">
      <c r="A105" s="7"/>
      <c r="B105" s="2" t="n">
        <v>101</v>
      </c>
      <c r="C105" s="11" t="n">
        <v>2944</v>
      </c>
      <c r="D105" s="12" t="n">
        <v>157056</v>
      </c>
      <c r="E105" s="2" t="n">
        <v>54</v>
      </c>
      <c r="F105" s="13" t="n">
        <v>159946</v>
      </c>
      <c r="G105" s="2" t="n">
        <v>2944</v>
      </c>
      <c r="H105" s="12" t="n">
        <v>157056</v>
      </c>
    </row>
    <row r="106" customFormat="false" ht="15" hidden="false" customHeight="false" outlineLevel="0" collapsed="false">
      <c r="A106" s="7"/>
      <c r="B106" s="2" t="n">
        <v>102</v>
      </c>
      <c r="C106" s="11" t="n">
        <v>2997</v>
      </c>
      <c r="D106" s="12" t="n">
        <v>157003</v>
      </c>
      <c r="E106" s="2" t="n">
        <v>216</v>
      </c>
      <c r="F106" s="13" t="n">
        <v>159784</v>
      </c>
      <c r="G106" s="2" t="n">
        <v>2996</v>
      </c>
      <c r="H106" s="12" t="n">
        <v>157004</v>
      </c>
    </row>
    <row r="107" customFormat="false" ht="15" hidden="false" customHeight="false" outlineLevel="0" collapsed="false">
      <c r="A107" s="7"/>
      <c r="B107" s="2" t="n">
        <v>103</v>
      </c>
      <c r="C107" s="11" t="n">
        <v>3041</v>
      </c>
      <c r="D107" s="12" t="n">
        <v>156959</v>
      </c>
      <c r="E107" s="2" t="n">
        <v>0</v>
      </c>
      <c r="F107" s="13" t="n">
        <v>160000</v>
      </c>
      <c r="G107" s="2" t="n">
        <v>3041</v>
      </c>
      <c r="H107" s="12" t="n">
        <v>156959</v>
      </c>
    </row>
    <row r="108" customFormat="false" ht="15" hidden="false" customHeight="false" outlineLevel="0" collapsed="false">
      <c r="A108" s="7"/>
      <c r="B108" s="2" t="n">
        <v>104</v>
      </c>
      <c r="C108" s="11" t="n">
        <v>3117</v>
      </c>
      <c r="D108" s="12" t="n">
        <v>156883</v>
      </c>
      <c r="E108" s="2" t="n">
        <v>0</v>
      </c>
      <c r="F108" s="13" t="n">
        <v>160000</v>
      </c>
      <c r="G108" s="2" t="n">
        <v>3122</v>
      </c>
      <c r="H108" s="12" t="n">
        <v>156878</v>
      </c>
    </row>
    <row r="109" customFormat="false" ht="15" hidden="false" customHeight="false" outlineLevel="0" collapsed="false">
      <c r="A109" s="7"/>
      <c r="B109" s="2" t="n">
        <v>105</v>
      </c>
      <c r="C109" s="11" t="n">
        <v>3183</v>
      </c>
      <c r="D109" s="12" t="n">
        <v>156817</v>
      </c>
      <c r="E109" s="2" t="n">
        <v>0</v>
      </c>
      <c r="F109" s="13" t="n">
        <v>160000</v>
      </c>
      <c r="G109" s="2" t="n">
        <v>3183</v>
      </c>
      <c r="H109" s="12" t="n">
        <v>156817</v>
      </c>
    </row>
    <row r="110" customFormat="false" ht="15" hidden="false" customHeight="false" outlineLevel="0" collapsed="false">
      <c r="A110" s="7"/>
      <c r="B110" s="2" t="n">
        <v>106</v>
      </c>
      <c r="C110" s="11" t="n">
        <v>3263</v>
      </c>
      <c r="D110" s="12" t="n">
        <v>156737</v>
      </c>
      <c r="E110" s="2" t="n">
        <v>11</v>
      </c>
      <c r="F110" s="13" t="n">
        <v>159989</v>
      </c>
      <c r="G110" s="2" t="n">
        <v>3261</v>
      </c>
      <c r="H110" s="12" t="n">
        <v>156739</v>
      </c>
    </row>
    <row r="111" customFormat="false" ht="15" hidden="false" customHeight="false" outlineLevel="0" collapsed="false">
      <c r="A111" s="7"/>
      <c r="B111" s="2" t="n">
        <v>107</v>
      </c>
      <c r="C111" s="11" t="n">
        <v>3376</v>
      </c>
      <c r="D111" s="12" t="n">
        <v>156624</v>
      </c>
      <c r="E111" s="2" t="n">
        <v>38</v>
      </c>
      <c r="F111" s="13" t="n">
        <v>159962</v>
      </c>
      <c r="G111" s="2" t="n">
        <v>3378</v>
      </c>
      <c r="H111" s="12" t="n">
        <v>156622</v>
      </c>
    </row>
    <row r="112" customFormat="false" ht="15" hidden="false" customHeight="false" outlineLevel="0" collapsed="false">
      <c r="A112" s="7"/>
      <c r="B112" s="2" t="n">
        <v>108</v>
      </c>
      <c r="C112" s="11" t="n">
        <v>3482</v>
      </c>
      <c r="D112" s="12" t="n">
        <v>156518</v>
      </c>
      <c r="E112" s="2" t="n">
        <v>16</v>
      </c>
      <c r="F112" s="13" t="n">
        <v>159984</v>
      </c>
      <c r="G112" s="2" t="n">
        <v>3485</v>
      </c>
      <c r="H112" s="12" t="n">
        <v>156515</v>
      </c>
    </row>
    <row r="113" customFormat="false" ht="15" hidden="false" customHeight="false" outlineLevel="0" collapsed="false">
      <c r="A113" s="7"/>
      <c r="B113" s="2" t="n">
        <v>109</v>
      </c>
      <c r="C113" s="11" t="n">
        <v>3680</v>
      </c>
      <c r="D113" s="12" t="n">
        <v>156320</v>
      </c>
      <c r="E113" s="2" t="n">
        <v>30</v>
      </c>
      <c r="F113" s="13" t="n">
        <v>159970</v>
      </c>
      <c r="G113" s="2" t="n">
        <v>3680</v>
      </c>
      <c r="H113" s="12" t="n">
        <v>156320</v>
      </c>
    </row>
    <row r="114" customFormat="false" ht="15" hidden="false" customHeight="false" outlineLevel="0" collapsed="false">
      <c r="A114" s="7"/>
      <c r="B114" s="2" t="n">
        <v>110</v>
      </c>
      <c r="C114" s="11" t="n">
        <v>3852</v>
      </c>
      <c r="D114" s="12" t="n">
        <v>156148</v>
      </c>
      <c r="E114" s="2" t="n">
        <v>13</v>
      </c>
      <c r="F114" s="13" t="n">
        <v>159987</v>
      </c>
      <c r="G114" s="2" t="n">
        <v>3849</v>
      </c>
      <c r="H114" s="12" t="n">
        <v>156151</v>
      </c>
    </row>
    <row r="115" customFormat="false" ht="15" hidden="false" customHeight="false" outlineLevel="0" collapsed="false">
      <c r="A115" s="7"/>
      <c r="B115" s="2" t="n">
        <v>111</v>
      </c>
      <c r="C115" s="11" t="n">
        <v>3963</v>
      </c>
      <c r="D115" s="12" t="n">
        <v>156037</v>
      </c>
      <c r="E115" s="2" t="n">
        <v>10</v>
      </c>
      <c r="F115" s="13" t="n">
        <v>159990</v>
      </c>
      <c r="G115" s="2" t="n">
        <v>3962</v>
      </c>
      <c r="H115" s="12" t="n">
        <v>156038</v>
      </c>
    </row>
    <row r="116" customFormat="false" ht="15" hidden="false" customHeight="false" outlineLevel="0" collapsed="false">
      <c r="A116" s="7"/>
      <c r="B116" s="2" t="n">
        <v>112</v>
      </c>
      <c r="C116" s="11" t="n">
        <v>4053</v>
      </c>
      <c r="D116" s="12" t="n">
        <v>155947</v>
      </c>
      <c r="E116" s="2" t="n">
        <v>29</v>
      </c>
      <c r="F116" s="13" t="n">
        <v>159971</v>
      </c>
      <c r="G116" s="2" t="n">
        <v>4050</v>
      </c>
      <c r="H116" s="12" t="n">
        <v>155950</v>
      </c>
    </row>
    <row r="117" customFormat="false" ht="15" hidden="false" customHeight="false" outlineLevel="0" collapsed="false">
      <c r="A117" s="7"/>
      <c r="B117" s="2" t="n">
        <v>113</v>
      </c>
      <c r="C117" s="11" t="n">
        <v>4119</v>
      </c>
      <c r="D117" s="12" t="n">
        <v>155881</v>
      </c>
      <c r="E117" s="2" t="n">
        <v>23</v>
      </c>
      <c r="F117" s="13" t="n">
        <v>159977</v>
      </c>
      <c r="G117" s="2" t="n">
        <v>4115</v>
      </c>
      <c r="H117" s="12" t="n">
        <v>155885</v>
      </c>
    </row>
    <row r="118" customFormat="false" ht="15" hidden="false" customHeight="false" outlineLevel="0" collapsed="false">
      <c r="A118" s="7"/>
      <c r="B118" s="2" t="n">
        <v>114</v>
      </c>
      <c r="C118" s="11" t="n">
        <v>4144</v>
      </c>
      <c r="D118" s="12" t="n">
        <v>155856</v>
      </c>
      <c r="E118" s="2" t="n">
        <v>15</v>
      </c>
      <c r="F118" s="13" t="n">
        <v>159985</v>
      </c>
      <c r="G118" s="2" t="n">
        <v>4139</v>
      </c>
      <c r="H118" s="12" t="n">
        <v>155861</v>
      </c>
    </row>
    <row r="119" customFormat="false" ht="15" hidden="false" customHeight="false" outlineLevel="0" collapsed="false">
      <c r="A119" s="7"/>
      <c r="B119" s="2" t="n">
        <v>115</v>
      </c>
      <c r="C119" s="11" t="n">
        <v>4172</v>
      </c>
      <c r="D119" s="12" t="n">
        <v>155828</v>
      </c>
      <c r="E119" s="2" t="n">
        <v>44</v>
      </c>
      <c r="F119" s="13" t="n">
        <v>159956</v>
      </c>
      <c r="G119" s="2" t="n">
        <v>4175</v>
      </c>
      <c r="H119" s="12" t="n">
        <v>155825</v>
      </c>
    </row>
    <row r="120" customFormat="false" ht="15" hidden="false" customHeight="false" outlineLevel="0" collapsed="false">
      <c r="A120" s="7"/>
      <c r="B120" s="2" t="n">
        <v>116</v>
      </c>
      <c r="C120" s="11" t="n">
        <v>4198</v>
      </c>
      <c r="D120" s="12" t="n">
        <v>155802</v>
      </c>
      <c r="E120" s="2" t="n">
        <v>7</v>
      </c>
      <c r="F120" s="13" t="n">
        <v>159993</v>
      </c>
      <c r="G120" s="2" t="n">
        <v>4197</v>
      </c>
      <c r="H120" s="12" t="n">
        <v>155803</v>
      </c>
    </row>
    <row r="121" customFormat="false" ht="15" hidden="false" customHeight="false" outlineLevel="0" collapsed="false">
      <c r="A121" s="7"/>
      <c r="B121" s="2" t="n">
        <v>117</v>
      </c>
      <c r="C121" s="11" t="n">
        <v>4199</v>
      </c>
      <c r="D121" s="12" t="n">
        <v>155801</v>
      </c>
      <c r="E121" s="2" t="n">
        <v>65</v>
      </c>
      <c r="F121" s="13" t="n">
        <v>159935</v>
      </c>
      <c r="G121" s="2" t="n">
        <v>4199</v>
      </c>
      <c r="H121" s="12" t="n">
        <v>155801</v>
      </c>
    </row>
    <row r="122" customFormat="false" ht="15" hidden="false" customHeight="false" outlineLevel="0" collapsed="false">
      <c r="A122" s="7"/>
      <c r="B122" s="2" t="n">
        <v>118</v>
      </c>
      <c r="C122" s="11" t="n">
        <v>4174</v>
      </c>
      <c r="D122" s="12" t="n">
        <v>155826</v>
      </c>
      <c r="E122" s="2" t="n">
        <v>147</v>
      </c>
      <c r="F122" s="13" t="n">
        <v>159853</v>
      </c>
      <c r="G122" s="2" t="n">
        <v>4177</v>
      </c>
      <c r="H122" s="12" t="n">
        <v>155823</v>
      </c>
    </row>
    <row r="123" customFormat="false" ht="15" hidden="false" customHeight="false" outlineLevel="0" collapsed="false">
      <c r="A123" s="7"/>
      <c r="B123" s="2" t="n">
        <v>119</v>
      </c>
      <c r="C123" s="11" t="n">
        <v>4155</v>
      </c>
      <c r="D123" s="12" t="n">
        <v>155845</v>
      </c>
      <c r="E123" s="2" t="n">
        <v>9</v>
      </c>
      <c r="F123" s="13" t="n">
        <v>159991</v>
      </c>
      <c r="G123" s="2" t="n">
        <v>4151</v>
      </c>
      <c r="H123" s="12" t="n">
        <v>155849</v>
      </c>
    </row>
    <row r="124" customFormat="false" ht="15" hidden="false" customHeight="false" outlineLevel="0" collapsed="false">
      <c r="A124" s="7"/>
      <c r="B124" s="2" t="n">
        <v>120</v>
      </c>
      <c r="C124" s="11" t="n">
        <v>4134</v>
      </c>
      <c r="D124" s="12" t="n">
        <v>155866</v>
      </c>
      <c r="E124" s="2" t="n">
        <v>16</v>
      </c>
      <c r="F124" s="13" t="n">
        <v>159984</v>
      </c>
      <c r="G124" s="2" t="n">
        <v>4132</v>
      </c>
      <c r="H124" s="12" t="n">
        <v>155868</v>
      </c>
    </row>
    <row r="125" customFormat="false" ht="15" hidden="false" customHeight="false" outlineLevel="0" collapsed="false">
      <c r="A125" s="7"/>
      <c r="B125" s="2" t="n">
        <v>121</v>
      </c>
      <c r="C125" s="11" t="n">
        <v>4100</v>
      </c>
      <c r="D125" s="12" t="n">
        <v>155900</v>
      </c>
      <c r="E125" s="2" t="n">
        <v>71</v>
      </c>
      <c r="F125" s="13" t="n">
        <v>159929</v>
      </c>
      <c r="G125" s="2" t="n">
        <v>4101</v>
      </c>
      <c r="H125" s="12" t="n">
        <v>155899</v>
      </c>
    </row>
    <row r="126" customFormat="false" ht="15" hidden="false" customHeight="false" outlineLevel="0" collapsed="false">
      <c r="A126" s="7"/>
      <c r="B126" s="2" t="n">
        <v>122</v>
      </c>
      <c r="C126" s="11" t="n">
        <v>4039</v>
      </c>
      <c r="D126" s="12" t="n">
        <v>155961</v>
      </c>
      <c r="E126" s="2" t="n">
        <v>3</v>
      </c>
      <c r="F126" s="13" t="n">
        <v>159997</v>
      </c>
      <c r="G126" s="2" t="n">
        <v>4040</v>
      </c>
      <c r="H126" s="12" t="n">
        <v>155960</v>
      </c>
    </row>
    <row r="127" customFormat="false" ht="15" hidden="false" customHeight="false" outlineLevel="0" collapsed="false">
      <c r="A127" s="7"/>
      <c r="B127" s="2" t="n">
        <v>123</v>
      </c>
      <c r="C127" s="11" t="n">
        <v>3998</v>
      </c>
      <c r="D127" s="12" t="n">
        <v>156002</v>
      </c>
      <c r="E127" s="2" t="n">
        <v>17</v>
      </c>
      <c r="F127" s="13" t="n">
        <v>159983</v>
      </c>
      <c r="G127" s="2" t="n">
        <v>3999</v>
      </c>
      <c r="H127" s="12" t="n">
        <v>156001</v>
      </c>
    </row>
    <row r="128" customFormat="false" ht="15" hidden="false" customHeight="false" outlineLevel="0" collapsed="false">
      <c r="A128" s="7"/>
      <c r="B128" s="2" t="n">
        <v>124</v>
      </c>
      <c r="C128" s="11" t="n">
        <v>3930</v>
      </c>
      <c r="D128" s="12" t="n">
        <v>156070</v>
      </c>
      <c r="E128" s="2" t="n">
        <v>82</v>
      </c>
      <c r="F128" s="13" t="n">
        <v>159918</v>
      </c>
      <c r="G128" s="2" t="n">
        <v>3928</v>
      </c>
      <c r="H128" s="12" t="n">
        <v>156072</v>
      </c>
    </row>
    <row r="129" customFormat="false" ht="15" hidden="false" customHeight="false" outlineLevel="0" collapsed="false">
      <c r="A129" s="7"/>
      <c r="B129" s="2" t="n">
        <v>125</v>
      </c>
      <c r="C129" s="11" t="n">
        <v>3845</v>
      </c>
      <c r="D129" s="12" t="n">
        <v>156155</v>
      </c>
      <c r="E129" s="2" t="n">
        <v>15</v>
      </c>
      <c r="F129" s="13" t="n">
        <v>159985</v>
      </c>
      <c r="G129" s="2" t="n">
        <v>3843</v>
      </c>
      <c r="H129" s="12" t="n">
        <v>156157</v>
      </c>
    </row>
    <row r="130" customFormat="false" ht="15" hidden="false" customHeight="false" outlineLevel="0" collapsed="false">
      <c r="A130" s="7"/>
      <c r="B130" s="2" t="n">
        <v>126</v>
      </c>
      <c r="C130" s="11" t="n">
        <v>3763</v>
      </c>
      <c r="D130" s="12" t="n">
        <v>156237</v>
      </c>
      <c r="E130" s="2" t="n">
        <v>1991</v>
      </c>
      <c r="F130" s="13" t="n">
        <v>158009</v>
      </c>
      <c r="G130" s="2" t="n">
        <v>3763</v>
      </c>
      <c r="H130" s="12" t="n">
        <v>156237</v>
      </c>
    </row>
    <row r="131" customFormat="false" ht="15" hidden="false" customHeight="false" outlineLevel="0" collapsed="false">
      <c r="A131" s="7"/>
      <c r="B131" s="2" t="n">
        <v>127</v>
      </c>
      <c r="C131" s="11" t="n">
        <v>3671</v>
      </c>
      <c r="D131" s="12" t="n">
        <v>156329</v>
      </c>
      <c r="E131" s="2" t="n">
        <v>12</v>
      </c>
      <c r="F131" s="13" t="n">
        <v>159988</v>
      </c>
      <c r="G131" s="2" t="n">
        <v>3685</v>
      </c>
      <c r="H131" s="12" t="n">
        <v>156315</v>
      </c>
    </row>
    <row r="132" customFormat="false" ht="15" hidden="false" customHeight="false" outlineLevel="0" collapsed="false">
      <c r="A132" s="7"/>
      <c r="B132" s="2" t="n">
        <v>128</v>
      </c>
      <c r="C132" s="11" t="n">
        <v>3581</v>
      </c>
      <c r="D132" s="12" t="n">
        <v>156419</v>
      </c>
      <c r="E132" s="2" t="n">
        <v>3</v>
      </c>
      <c r="F132" s="13" t="n">
        <v>159997</v>
      </c>
      <c r="G132" s="2" t="n">
        <v>3583</v>
      </c>
      <c r="H132" s="12" t="n">
        <v>156417</v>
      </c>
    </row>
    <row r="133" customFormat="false" ht="15" hidden="false" customHeight="false" outlineLevel="0" collapsed="false">
      <c r="A133" s="7"/>
      <c r="B133" s="2" t="n">
        <v>129</v>
      </c>
      <c r="C133" s="11" t="n">
        <v>3480</v>
      </c>
      <c r="D133" s="12" t="n">
        <v>156520</v>
      </c>
      <c r="E133" s="2" t="n">
        <v>7</v>
      </c>
      <c r="F133" s="13" t="n">
        <v>159993</v>
      </c>
      <c r="G133" s="2" t="n">
        <v>3485</v>
      </c>
      <c r="H133" s="12" t="n">
        <v>156515</v>
      </c>
    </row>
    <row r="134" customFormat="false" ht="15" hidden="false" customHeight="false" outlineLevel="0" collapsed="false">
      <c r="A134" s="7"/>
      <c r="B134" s="2" t="n">
        <v>130</v>
      </c>
      <c r="C134" s="11" t="n">
        <v>3373</v>
      </c>
      <c r="D134" s="12" t="n">
        <v>156627</v>
      </c>
      <c r="E134" s="2" t="n">
        <v>1049</v>
      </c>
      <c r="F134" s="13" t="n">
        <v>158951</v>
      </c>
      <c r="G134" s="2" t="n">
        <v>3373</v>
      </c>
      <c r="H134" s="12" t="n">
        <v>156627</v>
      </c>
    </row>
    <row r="135" customFormat="false" ht="15" hidden="false" customHeight="false" outlineLevel="0" collapsed="false">
      <c r="A135" s="7"/>
      <c r="B135" s="2" t="n">
        <v>131</v>
      </c>
      <c r="C135" s="11" t="n">
        <v>3280</v>
      </c>
      <c r="D135" s="12" t="n">
        <v>156720</v>
      </c>
      <c r="E135" s="2" t="n">
        <v>2</v>
      </c>
      <c r="F135" s="13" t="n">
        <v>159998</v>
      </c>
      <c r="G135" s="2" t="n">
        <v>3269</v>
      </c>
      <c r="H135" s="12" t="n">
        <v>156731</v>
      </c>
    </row>
    <row r="136" customFormat="false" ht="15" hidden="false" customHeight="false" outlineLevel="0" collapsed="false">
      <c r="A136" s="7"/>
      <c r="B136" s="2" t="n">
        <v>132</v>
      </c>
      <c r="C136" s="11" t="n">
        <v>3158</v>
      </c>
      <c r="D136" s="12" t="n">
        <v>156842</v>
      </c>
      <c r="E136" s="2" t="n">
        <v>0</v>
      </c>
      <c r="F136" s="13" t="n">
        <v>160000</v>
      </c>
      <c r="G136" s="2" t="n">
        <v>3157</v>
      </c>
      <c r="H136" s="12" t="n">
        <v>156843</v>
      </c>
    </row>
    <row r="137" customFormat="false" ht="15" hidden="false" customHeight="false" outlineLevel="0" collapsed="false">
      <c r="A137" s="7"/>
      <c r="B137" s="2" t="n">
        <v>133</v>
      </c>
      <c r="C137" s="11" t="n">
        <v>3041</v>
      </c>
      <c r="D137" s="12" t="n">
        <v>156959</v>
      </c>
      <c r="E137" s="2" t="n">
        <v>22</v>
      </c>
      <c r="F137" s="13" t="n">
        <v>159978</v>
      </c>
      <c r="G137" s="2" t="n">
        <v>3044</v>
      </c>
      <c r="H137" s="12" t="n">
        <v>156956</v>
      </c>
    </row>
    <row r="138" customFormat="false" ht="15" hidden="false" customHeight="false" outlineLevel="0" collapsed="false">
      <c r="A138" s="7"/>
      <c r="B138" s="2" t="n">
        <v>134</v>
      </c>
      <c r="C138" s="11" t="n">
        <v>2900</v>
      </c>
      <c r="D138" s="12" t="n">
        <v>157100</v>
      </c>
      <c r="E138" s="2" t="n">
        <v>4</v>
      </c>
      <c r="F138" s="13" t="n">
        <v>159996</v>
      </c>
      <c r="G138" s="2" t="n">
        <v>2897</v>
      </c>
      <c r="H138" s="12" t="n">
        <v>157103</v>
      </c>
    </row>
    <row r="139" customFormat="false" ht="15" hidden="false" customHeight="false" outlineLevel="0" collapsed="false">
      <c r="A139" s="7"/>
      <c r="B139" s="2" t="n">
        <v>135</v>
      </c>
      <c r="C139" s="11" t="n">
        <v>2745</v>
      </c>
      <c r="D139" s="12" t="n">
        <v>157255</v>
      </c>
      <c r="E139" s="2" t="n">
        <v>2</v>
      </c>
      <c r="F139" s="13" t="n">
        <v>159998</v>
      </c>
      <c r="G139" s="2" t="n">
        <v>2747</v>
      </c>
      <c r="H139" s="12" t="n">
        <v>157253</v>
      </c>
    </row>
    <row r="140" customFormat="false" ht="15" hidden="false" customHeight="false" outlineLevel="0" collapsed="false">
      <c r="A140" s="7"/>
      <c r="B140" s="2" t="n">
        <v>136</v>
      </c>
      <c r="C140" s="11" t="n">
        <v>2601</v>
      </c>
      <c r="D140" s="12" t="n">
        <v>157399</v>
      </c>
      <c r="E140" s="2" t="n">
        <v>38</v>
      </c>
      <c r="F140" s="13" t="n">
        <v>159962</v>
      </c>
      <c r="G140" s="2" t="n">
        <v>2599</v>
      </c>
      <c r="H140" s="12" t="n">
        <v>157401</v>
      </c>
    </row>
    <row r="141" customFormat="false" ht="15" hidden="false" customHeight="false" outlineLevel="0" collapsed="false">
      <c r="A141" s="7"/>
      <c r="B141" s="2" t="n">
        <v>137</v>
      </c>
      <c r="C141" s="11" t="n">
        <v>2442</v>
      </c>
      <c r="D141" s="12" t="n">
        <v>157558</v>
      </c>
      <c r="E141" s="2" t="n">
        <v>1</v>
      </c>
      <c r="F141" s="13" t="n">
        <v>159999</v>
      </c>
      <c r="G141" s="2" t="n">
        <v>2444</v>
      </c>
      <c r="H141" s="12" t="n">
        <v>157556</v>
      </c>
    </row>
    <row r="142" customFormat="false" ht="15" hidden="false" customHeight="false" outlineLevel="0" collapsed="false">
      <c r="A142" s="7"/>
      <c r="B142" s="2" t="n">
        <v>138</v>
      </c>
      <c r="C142" s="11" t="n">
        <v>2260</v>
      </c>
      <c r="D142" s="12" t="n">
        <v>157740</v>
      </c>
      <c r="E142" s="2" t="n">
        <v>314</v>
      </c>
      <c r="F142" s="13" t="n">
        <v>159686</v>
      </c>
      <c r="G142" s="2" t="n">
        <v>2262</v>
      </c>
      <c r="H142" s="12" t="n">
        <v>157738</v>
      </c>
    </row>
    <row r="143" customFormat="false" ht="15" hidden="false" customHeight="false" outlineLevel="0" collapsed="false">
      <c r="A143" s="7"/>
      <c r="B143" s="2" t="n">
        <v>139</v>
      </c>
      <c r="C143" s="11" t="n">
        <v>2101</v>
      </c>
      <c r="D143" s="12" t="n">
        <v>157899</v>
      </c>
      <c r="E143" s="2" t="n">
        <v>90</v>
      </c>
      <c r="F143" s="13" t="n">
        <v>159910</v>
      </c>
      <c r="G143" s="2" t="n">
        <v>2099</v>
      </c>
      <c r="H143" s="12" t="n">
        <v>157901</v>
      </c>
    </row>
    <row r="144" customFormat="false" ht="15" hidden="false" customHeight="false" outlineLevel="0" collapsed="false">
      <c r="A144" s="7"/>
      <c r="B144" s="2" t="n">
        <v>140</v>
      </c>
      <c r="C144" s="11" t="n">
        <v>1922</v>
      </c>
      <c r="D144" s="12" t="n">
        <v>158078</v>
      </c>
      <c r="E144" s="2" t="n">
        <v>7</v>
      </c>
      <c r="F144" s="13" t="n">
        <v>159993</v>
      </c>
      <c r="G144" s="2" t="n">
        <v>1920</v>
      </c>
      <c r="H144" s="12" t="n">
        <v>158080</v>
      </c>
    </row>
    <row r="145" customFormat="false" ht="15" hidden="false" customHeight="false" outlineLevel="0" collapsed="false">
      <c r="A145" s="7"/>
      <c r="B145" s="2" t="n">
        <v>141</v>
      </c>
      <c r="C145" s="11" t="n">
        <v>1722</v>
      </c>
      <c r="D145" s="12" t="n">
        <v>158278</v>
      </c>
      <c r="E145" s="2" t="n">
        <v>10</v>
      </c>
      <c r="F145" s="13" t="n">
        <v>159990</v>
      </c>
      <c r="G145" s="2" t="n">
        <v>1721</v>
      </c>
      <c r="H145" s="12" t="n">
        <v>158279</v>
      </c>
    </row>
    <row r="146" customFormat="false" ht="15" hidden="false" customHeight="false" outlineLevel="0" collapsed="false">
      <c r="A146" s="7"/>
      <c r="B146" s="2" t="n">
        <v>142</v>
      </c>
      <c r="C146" s="11" t="n">
        <v>1553</v>
      </c>
      <c r="D146" s="12" t="n">
        <v>158447</v>
      </c>
      <c r="E146" s="2" t="n">
        <v>8</v>
      </c>
      <c r="F146" s="13" t="n">
        <v>159992</v>
      </c>
      <c r="G146" s="2" t="n">
        <v>1552</v>
      </c>
      <c r="H146" s="12" t="n">
        <v>158448</v>
      </c>
    </row>
    <row r="147" customFormat="false" ht="15" hidden="false" customHeight="false" outlineLevel="0" collapsed="false">
      <c r="A147" s="7"/>
      <c r="B147" s="2" t="n">
        <v>143</v>
      </c>
      <c r="C147" s="11" t="n">
        <v>1342</v>
      </c>
      <c r="D147" s="12" t="n">
        <v>158658</v>
      </c>
      <c r="E147" s="2" t="n">
        <v>15</v>
      </c>
      <c r="F147" s="13" t="n">
        <v>159985</v>
      </c>
      <c r="G147" s="2" t="n">
        <v>1337</v>
      </c>
      <c r="H147" s="12" t="n">
        <v>158663</v>
      </c>
    </row>
    <row r="148" customFormat="false" ht="15" hidden="false" customHeight="false" outlineLevel="0" collapsed="false">
      <c r="A148" s="7"/>
      <c r="B148" s="2" t="n">
        <v>144</v>
      </c>
      <c r="C148" s="11" t="n">
        <v>1139</v>
      </c>
      <c r="D148" s="12" t="n">
        <v>158861</v>
      </c>
      <c r="E148" s="2" t="n">
        <v>0</v>
      </c>
      <c r="F148" s="13" t="n">
        <v>160000</v>
      </c>
      <c r="G148" s="2" t="n">
        <v>1136</v>
      </c>
      <c r="H148" s="12" t="n">
        <v>158864</v>
      </c>
    </row>
    <row r="149" customFormat="false" ht="15" hidden="false" customHeight="false" outlineLevel="0" collapsed="false">
      <c r="A149" s="7"/>
      <c r="B149" s="2" t="n">
        <v>145</v>
      </c>
      <c r="C149" s="11" t="n">
        <v>915</v>
      </c>
      <c r="D149" s="12" t="n">
        <v>159085</v>
      </c>
      <c r="E149" s="2" t="n">
        <v>3</v>
      </c>
      <c r="F149" s="13" t="n">
        <v>159997</v>
      </c>
      <c r="G149" s="2" t="n">
        <v>916</v>
      </c>
      <c r="H149" s="12" t="n">
        <v>159084</v>
      </c>
    </row>
    <row r="150" customFormat="false" ht="15" hidden="false" customHeight="false" outlineLevel="0" collapsed="false">
      <c r="A150" s="7"/>
      <c r="B150" s="2" t="n">
        <v>146</v>
      </c>
      <c r="C150" s="11" t="n">
        <v>700</v>
      </c>
      <c r="D150" s="12" t="n">
        <v>159300</v>
      </c>
      <c r="E150" s="2" t="n">
        <v>6</v>
      </c>
      <c r="F150" s="13" t="n">
        <v>159994</v>
      </c>
      <c r="G150" s="2" t="n">
        <v>700</v>
      </c>
      <c r="H150" s="12" t="n">
        <v>159300</v>
      </c>
    </row>
    <row r="151" customFormat="false" ht="15" hidden="false" customHeight="false" outlineLevel="0" collapsed="false">
      <c r="A151" s="7"/>
      <c r="B151" s="2" t="n">
        <v>147</v>
      </c>
      <c r="C151" s="11" t="n">
        <v>475</v>
      </c>
      <c r="D151" s="12" t="n">
        <v>159525</v>
      </c>
      <c r="E151" s="2" t="n">
        <v>96</v>
      </c>
      <c r="F151" s="13" t="n">
        <v>159904</v>
      </c>
      <c r="G151" s="2" t="n">
        <v>475</v>
      </c>
      <c r="H151" s="12" t="n">
        <v>159525</v>
      </c>
    </row>
    <row r="152" customFormat="false" ht="15" hidden="false" customHeight="false" outlineLevel="0" collapsed="false">
      <c r="A152" s="7"/>
      <c r="B152" s="2" t="n">
        <v>148</v>
      </c>
      <c r="C152" s="11" t="n">
        <v>245</v>
      </c>
      <c r="D152" s="12" t="n">
        <v>159755</v>
      </c>
      <c r="E152" s="2" t="n">
        <v>5</v>
      </c>
      <c r="F152" s="13" t="n">
        <v>159995</v>
      </c>
      <c r="G152" s="2" t="n">
        <v>244</v>
      </c>
      <c r="H152" s="12" t="n">
        <v>159756</v>
      </c>
    </row>
    <row r="153" customFormat="false" ht="15" hidden="false" customHeight="false" outlineLevel="0" collapsed="false">
      <c r="A153" s="7"/>
      <c r="B153" s="14" t="s">
        <v>8</v>
      </c>
      <c r="C153" s="15" t="n">
        <f aca="false">SUM(C4:C152)</f>
        <v>432424</v>
      </c>
      <c r="D153" s="16" t="n">
        <f aca="false">SUM(D4:D152)</f>
        <v>23407576</v>
      </c>
      <c r="E153" s="17" t="n">
        <f aca="false">SUM(E4:E152)</f>
        <v>13020</v>
      </c>
      <c r="F153" s="18" t="n">
        <f aca="false">SUM(F4:F152)</f>
        <v>23826980</v>
      </c>
      <c r="G153" s="17" t="n">
        <f aca="false">SUM(G4:G152)</f>
        <v>432440</v>
      </c>
      <c r="H153" s="16" t="n">
        <f aca="false">SUM(H4:H152)</f>
        <v>23407560</v>
      </c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</row>
    <row r="158" customFormat="false" ht="15" hidden="false" customHeight="false" outlineLevel="0" collapsed="false">
      <c r="A158" s="2"/>
      <c r="B158" s="19" t="s">
        <v>0</v>
      </c>
      <c r="C158" s="20" t="s">
        <v>9</v>
      </c>
      <c r="D158" s="20"/>
      <c r="E158" s="20"/>
      <c r="F158" s="20"/>
      <c r="G158" s="20"/>
      <c r="H158" s="20"/>
    </row>
    <row r="159" customFormat="false" ht="15" hidden="false" customHeight="false" outlineLevel="0" collapsed="false">
      <c r="A159" s="2"/>
      <c r="B159" s="19"/>
      <c r="C159" s="20" t="s">
        <v>3</v>
      </c>
      <c r="D159" s="20"/>
      <c r="E159" s="20"/>
      <c r="F159" s="6" t="s">
        <v>4</v>
      </c>
      <c r="G159" s="6"/>
      <c r="H159" s="6"/>
    </row>
    <row r="160" customFormat="false" ht="15" hidden="false" customHeight="false" outlineLevel="0" collapsed="false">
      <c r="A160" s="7" t="s">
        <v>10</v>
      </c>
      <c r="B160" s="19"/>
      <c r="C160" s="21" t="str">
        <f aca="false">C3</f>
        <v>#e65a49</v>
      </c>
      <c r="D160" s="22" t="str">
        <f aca="false">D3</f>
        <v>#ffffff</v>
      </c>
      <c r="E160" s="23"/>
      <c r="F160" s="24" t="str">
        <f aca="false">G3</f>
        <v>#e65a49</v>
      </c>
      <c r="G160" s="22" t="str">
        <f aca="false">H3</f>
        <v>#ffffff</v>
      </c>
      <c r="H160" s="23"/>
    </row>
    <row r="161" customFormat="false" ht="15" hidden="false" customHeight="false" outlineLevel="0" collapsed="false">
      <c r="A161" s="7"/>
      <c r="B161" s="25" t="n">
        <v>0</v>
      </c>
      <c r="C161" s="11" t="n">
        <f aca="false">(ABS(C4-E4)/C4)*100</f>
        <v>0</v>
      </c>
      <c r="D161" s="25" t="n">
        <f aca="false">(ABS(D4-F4)/D4)*100</f>
        <v>0</v>
      </c>
      <c r="E161" s="23"/>
      <c r="F161" s="25" t="n">
        <f aca="false">(ABS(C4-G4)/C4)*100</f>
        <v>0</v>
      </c>
      <c r="G161" s="25" t="n">
        <f aca="false">(ABS(D4-H4)/D4)*100</f>
        <v>0</v>
      </c>
      <c r="H161" s="23"/>
    </row>
    <row r="162" customFormat="false" ht="15" hidden="false" customHeight="false" outlineLevel="0" collapsed="false">
      <c r="A162" s="7"/>
      <c r="B162" s="25" t="n">
        <v>1</v>
      </c>
      <c r="C162" s="11" t="n">
        <f aca="false">(ABS(C5-E5)/C5)*100</f>
        <v>93.2773109243697</v>
      </c>
      <c r="D162" s="25" t="n">
        <f aca="false">(ABS(D5-F5)/D5)*100</f>
        <v>0.278328025876984</v>
      </c>
      <c r="E162" s="23"/>
      <c r="F162" s="25" t="n">
        <f aca="false">(ABS(C5-G5)/C5)*100</f>
        <v>0</v>
      </c>
      <c r="G162" s="25" t="n">
        <f aca="false">(ABS(D5-H5)/D5)*100</f>
        <v>0</v>
      </c>
      <c r="H162" s="23"/>
    </row>
    <row r="163" customFormat="false" ht="15" hidden="false" customHeight="false" outlineLevel="0" collapsed="false">
      <c r="A163" s="7"/>
      <c r="B163" s="25" t="n">
        <v>2</v>
      </c>
      <c r="C163" s="11" t="n">
        <f aca="false">(ABS(C6-E6)/C6)*100</f>
        <v>99.5702005730659</v>
      </c>
      <c r="D163" s="25" t="n">
        <f aca="false">(ABS(D6-F6)/D6)*100</f>
        <v>0.436278263926379</v>
      </c>
      <c r="E163" s="23"/>
      <c r="F163" s="25" t="n">
        <f aca="false">(ABS(C6-G6)/C6)*100</f>
        <v>0.286532951289398</v>
      </c>
      <c r="G163" s="25" t="n">
        <f aca="false">(ABS(D6-H6)/D6)*100</f>
        <v>0.00125547701849318</v>
      </c>
      <c r="H163" s="23"/>
    </row>
    <row r="164" customFormat="false" ht="15" hidden="false" customHeight="false" outlineLevel="0" collapsed="false">
      <c r="A164" s="7"/>
      <c r="B164" s="25" t="n">
        <v>3</v>
      </c>
      <c r="C164" s="11" t="n">
        <f aca="false">(ABS(C7-E7)/C7)*100</f>
        <v>100</v>
      </c>
      <c r="D164" s="25" t="n">
        <f aca="false">(ABS(D7-F7)/D7)*100</f>
        <v>0.576428656738935</v>
      </c>
      <c r="E164" s="23"/>
      <c r="F164" s="25" t="n">
        <f aca="false">(ABS(C7-G7)/C7)*100</f>
        <v>0</v>
      </c>
      <c r="G164" s="25" t="n">
        <f aca="false">(ABS(D7-H7)/D7)*100</f>
        <v>0</v>
      </c>
      <c r="H164" s="23"/>
    </row>
    <row r="165" customFormat="false" ht="15" hidden="false" customHeight="false" outlineLevel="0" collapsed="false">
      <c r="A165" s="7"/>
      <c r="B165" s="25" t="n">
        <v>4</v>
      </c>
      <c r="C165" s="11" t="n">
        <f aca="false">(ABS(C8-E8)/C8)*100</f>
        <v>72.3049956178791</v>
      </c>
      <c r="D165" s="25" t="n">
        <f aca="false">(ABS(D8-F8)/D8)*100</f>
        <v>0.519328461088135</v>
      </c>
      <c r="E165" s="23"/>
      <c r="F165" s="25" t="n">
        <f aca="false">(ABS(C8-G8)/C8)*100</f>
        <v>0</v>
      </c>
      <c r="G165" s="25" t="n">
        <f aca="false">(ABS(D8-H8)/D8)*100</f>
        <v>0</v>
      </c>
      <c r="H165" s="23"/>
    </row>
    <row r="166" customFormat="false" ht="15" hidden="false" customHeight="false" outlineLevel="0" collapsed="false">
      <c r="A166" s="7"/>
      <c r="B166" s="25" t="n">
        <v>5</v>
      </c>
      <c r="C166" s="11" t="n">
        <f aca="false">(ABS(C9-E9)/C9)*100</f>
        <v>97.2388059701493</v>
      </c>
      <c r="D166" s="25" t="n">
        <f aca="false">(ABS(D9-F9)/D9)*100</f>
        <v>0.82125299382327</v>
      </c>
      <c r="E166" s="23"/>
      <c r="F166" s="25" t="n">
        <f aca="false">(ABS(C9-G9)/C9)*100</f>
        <v>0</v>
      </c>
      <c r="G166" s="25" t="n">
        <f aca="false">(ABS(D9-H9)/D9)*100</f>
        <v>0</v>
      </c>
      <c r="H166" s="23"/>
    </row>
    <row r="167" customFormat="false" ht="15" hidden="false" customHeight="false" outlineLevel="0" collapsed="false">
      <c r="A167" s="7"/>
      <c r="B167" s="25" t="n">
        <v>6</v>
      </c>
      <c r="C167" s="11" t="n">
        <f aca="false">(ABS(C10-E10)/C10)*100</f>
        <v>100</v>
      </c>
      <c r="D167" s="25" t="n">
        <f aca="false">(ABS(D10-F10)/D10)*100</f>
        <v>0.978863861557978</v>
      </c>
      <c r="E167" s="23"/>
      <c r="F167" s="25" t="n">
        <f aca="false">(ABS(C10-G10)/C10)*100</f>
        <v>0</v>
      </c>
      <c r="G167" s="25" t="n">
        <f aca="false">(ABS(D10-H10)/D10)*100</f>
        <v>0</v>
      </c>
      <c r="H167" s="23"/>
    </row>
    <row r="168" customFormat="false" ht="15" hidden="false" customHeight="false" outlineLevel="0" collapsed="false">
      <c r="A168" s="7"/>
      <c r="B168" s="25" t="n">
        <v>7</v>
      </c>
      <c r="C168" s="11" t="n">
        <f aca="false">(ABS(C11-E11)/C11)*100</f>
        <v>97.0862470862471</v>
      </c>
      <c r="D168" s="25" t="n">
        <f aca="false">(ABS(D11-F11)/D11)*100</f>
        <v>1.05253847514594</v>
      </c>
      <c r="E168" s="23"/>
      <c r="F168" s="25" t="n">
        <f aca="false">(ABS(C11-G11)/C11)*100</f>
        <v>0.116550116550117</v>
      </c>
      <c r="G168" s="25" t="n">
        <f aca="false">(ABS(D11-H11)/D11)*100</f>
        <v>0.00126355159081145</v>
      </c>
      <c r="H168" s="23"/>
    </row>
    <row r="169" customFormat="false" ht="15" hidden="false" customHeight="false" outlineLevel="0" collapsed="false">
      <c r="A169" s="7"/>
      <c r="B169" s="25" t="n">
        <v>8</v>
      </c>
      <c r="C169" s="11" t="n">
        <f aca="false">(ABS(C12-E12)/C12)*100</f>
        <v>98.9594172736733</v>
      </c>
      <c r="D169" s="25" t="n">
        <f aca="false">(ABS(D12-F12)/D12)*100</f>
        <v>1.20320348182543</v>
      </c>
      <c r="E169" s="23"/>
      <c r="F169" s="25" t="n">
        <f aca="false">(ABS(C12-G12)/C12)*100</f>
        <v>0.0520291363163372</v>
      </c>
      <c r="G169" s="25" t="n">
        <f aca="false">(ABS(D12-H12)/D12)*100</f>
        <v>0.00063259909664849</v>
      </c>
      <c r="H169" s="23"/>
    </row>
    <row r="170" customFormat="false" ht="15" hidden="false" customHeight="false" outlineLevel="0" collapsed="false">
      <c r="A170" s="7"/>
      <c r="B170" s="25" t="n">
        <v>9</v>
      </c>
      <c r="C170" s="11" t="n">
        <f aca="false">(ABS(C13-E13)/C13)*100</f>
        <v>99.9524940617577</v>
      </c>
      <c r="D170" s="25" t="n">
        <f aca="false">(ABS(D13-F13)/D13)*100</f>
        <v>1.33253111244815</v>
      </c>
      <c r="E170" s="23"/>
      <c r="F170" s="25" t="n">
        <f aca="false">(ABS(C13-G13)/C13)*100</f>
        <v>0.0950118764845606</v>
      </c>
      <c r="G170" s="25" t="n">
        <f aca="false">(ABS(D13-H13)/D13)*100</f>
        <v>0.00126666455555907</v>
      </c>
      <c r="H170" s="23"/>
    </row>
    <row r="171" customFormat="false" ht="15" hidden="false" customHeight="false" outlineLevel="0" collapsed="false">
      <c r="A171" s="7"/>
      <c r="B171" s="25" t="n">
        <v>10</v>
      </c>
      <c r="C171" s="11" t="n">
        <f aca="false">(ABS(C14-E14)/C14)*100</f>
        <v>99.9558303886926</v>
      </c>
      <c r="D171" s="25" t="n">
        <f aca="false">(ABS(D14-F14)/D14)*100</f>
        <v>1.43467566059745</v>
      </c>
      <c r="E171" s="23"/>
      <c r="F171" s="25" t="n">
        <f aca="false">(ABS(C14-G14)/C14)*100</f>
        <v>0.132508833922261</v>
      </c>
      <c r="G171" s="25" t="n">
        <f aca="false">(ABS(D14-H14)/D14)*100</f>
        <v>0.00190191205558655</v>
      </c>
      <c r="H171" s="23"/>
    </row>
    <row r="172" customFormat="false" ht="15" hidden="false" customHeight="false" outlineLevel="0" collapsed="false">
      <c r="A172" s="7"/>
      <c r="B172" s="25" t="n">
        <v>11</v>
      </c>
      <c r="C172" s="11" t="n">
        <f aca="false">(ABS(C15-E15)/C15)*100</f>
        <v>99.5911692559281</v>
      </c>
      <c r="D172" s="25" t="n">
        <f aca="false">(ABS(D15-F15)/D15)*100</f>
        <v>1.54613656270231</v>
      </c>
      <c r="E172" s="23"/>
      <c r="F172" s="25" t="n">
        <f aca="false">(ABS(C15-G15)/C15)*100</f>
        <v>0.0817661488143908</v>
      </c>
      <c r="G172" s="25" t="n">
        <f aca="false">(ABS(D15-H15)/D15)*100</f>
        <v>0.00126940604491159</v>
      </c>
      <c r="H172" s="23"/>
    </row>
    <row r="173" customFormat="false" ht="15" hidden="false" customHeight="false" outlineLevel="0" collapsed="false">
      <c r="A173" s="7"/>
      <c r="B173" s="25" t="n">
        <v>12</v>
      </c>
      <c r="C173" s="11" t="n">
        <f aca="false">(ABS(C16-E16)/C16)*100</f>
        <v>99.9231360491929</v>
      </c>
      <c r="D173" s="25" t="n">
        <f aca="false">(ABS(D16-F16)/D16)*100</f>
        <v>1.65186342901435</v>
      </c>
      <c r="E173" s="23"/>
      <c r="F173" s="25" t="n">
        <f aca="false">(ABS(C16-G16)/C16)*100</f>
        <v>0.0384319754035357</v>
      </c>
      <c r="G173" s="25" t="n">
        <f aca="false">(ABS(D16-H16)/D16)*100</f>
        <v>0.000635332088082441</v>
      </c>
      <c r="H173" s="23"/>
    </row>
    <row r="174" customFormat="false" ht="15" hidden="false" customHeight="false" outlineLevel="0" collapsed="false">
      <c r="A174" s="7"/>
      <c r="B174" s="25" t="n">
        <v>13</v>
      </c>
      <c r="C174" s="11" t="n">
        <f aca="false">(ABS(C17-E17)/C17)*100</f>
        <v>68.8888888888889</v>
      </c>
      <c r="D174" s="25" t="n">
        <f aca="false">(ABS(D17-F17)/D17)*100</f>
        <v>1.20250548472227</v>
      </c>
      <c r="E174" s="23"/>
      <c r="F174" s="25" t="n">
        <f aca="false">(ABS(C17-G17)/C17)*100</f>
        <v>0.0728597449908925</v>
      </c>
      <c r="G174" s="25" t="n">
        <f aca="false">(ABS(D17-H17)/D17)*100</f>
        <v>0.00127181965597278</v>
      </c>
      <c r="H174" s="23"/>
    </row>
    <row r="175" customFormat="false" ht="15" hidden="false" customHeight="false" outlineLevel="0" collapsed="false">
      <c r="A175" s="7"/>
      <c r="B175" s="25" t="n">
        <v>14</v>
      </c>
      <c r="C175" s="11" t="n">
        <f aca="false">(ABS(C18-E18)/C18)*100</f>
        <v>99.7583707283397</v>
      </c>
      <c r="D175" s="25" t="n">
        <f aca="false">(ABS(D18-F18)/D18)*100</f>
        <v>1.83955748776281</v>
      </c>
      <c r="E175" s="23"/>
      <c r="F175" s="25" t="n">
        <f aca="false">(ABS(C18-G18)/C18)*100</f>
        <v>0.0690369347600967</v>
      </c>
      <c r="G175" s="25" t="n">
        <f aca="false">(ABS(D18-H18)/D18)*100</f>
        <v>0.00127305016454173</v>
      </c>
      <c r="H175" s="23"/>
    </row>
    <row r="176" customFormat="false" ht="15" hidden="false" customHeight="false" outlineLevel="0" collapsed="false">
      <c r="A176" s="7"/>
      <c r="B176" s="25" t="n">
        <v>15</v>
      </c>
      <c r="C176" s="11" t="n">
        <f aca="false">(ABS(C19-E19)/C19)*100</f>
        <v>99.3418887792037</v>
      </c>
      <c r="D176" s="25" t="n">
        <f aca="false">(ABS(D19-F19)/D19)*100</f>
        <v>1.92340772548595</v>
      </c>
      <c r="E176" s="23"/>
      <c r="F176" s="25" t="n">
        <f aca="false">(ABS(C19-G19)/C19)*100</f>
        <v>0.0658111220796315</v>
      </c>
      <c r="G176" s="25" t="n">
        <f aca="false">(ABS(D19-H19)/D19)*100</f>
        <v>0.00127420187180255</v>
      </c>
      <c r="H176" s="23"/>
    </row>
    <row r="177" customFormat="false" ht="15" hidden="false" customHeight="false" outlineLevel="0" collapsed="false">
      <c r="A177" s="7"/>
      <c r="B177" s="25" t="n">
        <v>16</v>
      </c>
      <c r="C177" s="11" t="n">
        <f aca="false">(ABS(C20-E20)/C20)*100</f>
        <v>100</v>
      </c>
      <c r="D177" s="25" t="n">
        <f aca="false">(ABS(D20-F20)/D20)*100</f>
        <v>2.01674349802661</v>
      </c>
      <c r="E177" s="23"/>
      <c r="F177" s="25" t="n">
        <f aca="false">(ABS(C20-G20)/C20)*100</f>
        <v>0.0316155548529877</v>
      </c>
      <c r="G177" s="25" t="n">
        <f aca="false">(ABS(D20-H20)/D20)*100</f>
        <v>0.000637604646862666</v>
      </c>
      <c r="H177" s="23"/>
    </row>
    <row r="178" customFormat="false" ht="15" hidden="false" customHeight="false" outlineLevel="0" collapsed="false">
      <c r="A178" s="7"/>
      <c r="B178" s="25" t="n">
        <v>17</v>
      </c>
      <c r="C178" s="11" t="n">
        <f aca="false">(ABS(C21-E21)/C21)*100</f>
        <v>99.8475609756098</v>
      </c>
      <c r="D178" s="25" t="n">
        <f aca="false">(ABS(D21-F21)/D21)*100</f>
        <v>2.08971413986728</v>
      </c>
      <c r="E178" s="23"/>
      <c r="F178" s="25" t="n">
        <f aca="false">(ABS(C21-G21)/C21)*100</f>
        <v>0.0304878048780488</v>
      </c>
      <c r="G178" s="25" t="n">
        <f aca="false">(ABS(D21-H21)/D21)*100</f>
        <v>0.000638080653394589</v>
      </c>
      <c r="H178" s="23"/>
    </row>
    <row r="179" customFormat="false" ht="15" hidden="false" customHeight="false" outlineLevel="0" collapsed="false">
      <c r="A179" s="7"/>
      <c r="B179" s="25" t="n">
        <v>18</v>
      </c>
      <c r="C179" s="11" t="n">
        <f aca="false">(ABS(C22-E22)/C22)*100</f>
        <v>99.7626816968259</v>
      </c>
      <c r="D179" s="25" t="n">
        <f aca="false">(ABS(D22-F22)/D22)*100</f>
        <v>2.14711196521717</v>
      </c>
      <c r="E179" s="23"/>
      <c r="F179" s="25" t="n">
        <f aca="false">(ABS(C22-G22)/C22)*100</f>
        <v>0.177988727380599</v>
      </c>
      <c r="G179" s="25" t="n">
        <f aca="false">(ABS(D22-H22)/D22)*100</f>
        <v>0.00383070823410735</v>
      </c>
      <c r="H179" s="23"/>
    </row>
    <row r="180" customFormat="false" ht="15" hidden="false" customHeight="false" outlineLevel="0" collapsed="false">
      <c r="A180" s="7"/>
      <c r="B180" s="25" t="n">
        <v>19</v>
      </c>
      <c r="C180" s="11" t="n">
        <f aca="false">(ABS(C23-E23)/C23)*100</f>
        <v>88.786658999425</v>
      </c>
      <c r="D180" s="25" t="n">
        <f aca="false">(ABS(D23-F23)/D23)*100</f>
        <v>1.97288560074622</v>
      </c>
      <c r="E180" s="23"/>
      <c r="F180" s="25" t="n">
        <f aca="false">(ABS(C23-G23)/C23)*100</f>
        <v>0.143760782058654</v>
      </c>
      <c r="G180" s="25" t="n">
        <f aca="false">(ABS(D23-H23)/D23)*100</f>
        <v>0.00319443912037924</v>
      </c>
      <c r="H180" s="23"/>
    </row>
    <row r="181" customFormat="false" ht="15" hidden="false" customHeight="false" outlineLevel="0" collapsed="false">
      <c r="A181" s="7"/>
      <c r="B181" s="25" t="n">
        <v>20</v>
      </c>
      <c r="C181" s="11" t="n">
        <f aca="false">(ABS(C24-E24)/C24)*100</f>
        <v>99.3016759776536</v>
      </c>
      <c r="D181" s="25" t="n">
        <f aca="false">(ABS(D24-F24)/D24)*100</f>
        <v>2.27272727272727</v>
      </c>
      <c r="E181" s="23"/>
      <c r="F181" s="25" t="n">
        <f aca="false">(ABS(C24-G24)/C24)*100</f>
        <v>0</v>
      </c>
      <c r="G181" s="25" t="n">
        <f aca="false">(ABS(D24-H24)/D24)*100</f>
        <v>0</v>
      </c>
      <c r="H181" s="23"/>
    </row>
    <row r="182" customFormat="false" ht="15" hidden="false" customHeight="false" outlineLevel="0" collapsed="false">
      <c r="A182" s="7"/>
      <c r="B182" s="25" t="n">
        <v>21</v>
      </c>
      <c r="C182" s="11" t="n">
        <f aca="false">(ABS(C25-E25)/C25)*100</f>
        <v>98.1753812636166</v>
      </c>
      <c r="D182" s="25" t="n">
        <f aca="false">(ABS(D25-F25)/D25)*100</f>
        <v>2.30604882042884</v>
      </c>
      <c r="E182" s="23"/>
      <c r="F182" s="25" t="n">
        <f aca="false">(ABS(C25-G25)/C25)*100</f>
        <v>0.0272331154684096</v>
      </c>
      <c r="G182" s="25" t="n">
        <f aca="false">(ABS(D25-H25)/D25)*100</f>
        <v>0.000639680671408833</v>
      </c>
      <c r="H182" s="23"/>
    </row>
    <row r="183" customFormat="false" ht="15" hidden="false" customHeight="false" outlineLevel="0" collapsed="false">
      <c r="A183" s="7"/>
      <c r="B183" s="25" t="n">
        <v>22</v>
      </c>
      <c r="C183" s="11" t="n">
        <f aca="false">(ABS(C26-E26)/C26)*100</f>
        <v>92.5139368197505</v>
      </c>
      <c r="D183" s="25" t="n">
        <f aca="false">(ABS(D26-F26)/D26)*100</f>
        <v>2.2306426939251</v>
      </c>
      <c r="E183" s="23"/>
      <c r="F183" s="25" t="n">
        <f aca="false">(ABS(C26-G26)/C26)*100</f>
        <v>0.0265463233342182</v>
      </c>
      <c r="G183" s="25" t="n">
        <f aca="false">(ABS(D26-H26)/D26)*100</f>
        <v>0.000640069639576786</v>
      </c>
      <c r="H183" s="23"/>
    </row>
    <row r="184" customFormat="false" ht="15" hidden="false" customHeight="false" outlineLevel="0" collapsed="false">
      <c r="A184" s="7"/>
      <c r="B184" s="25" t="n">
        <v>23</v>
      </c>
      <c r="C184" s="11" t="n">
        <f aca="false">(ABS(C27-E27)/C27)*100</f>
        <v>99.8959417273673</v>
      </c>
      <c r="D184" s="25" t="n">
        <f aca="false">(ABS(D27-F27)/D27)*100</f>
        <v>2.45907938215631</v>
      </c>
      <c r="E184" s="23"/>
      <c r="F184" s="25" t="n">
        <f aca="false">(ABS(C27-G27)/C27)*100</f>
        <v>0.0780437044745057</v>
      </c>
      <c r="G184" s="25" t="n">
        <f aca="false">(ABS(D27-H27)/D27)*100</f>
        <v>0.00192115576730961</v>
      </c>
      <c r="H184" s="23"/>
    </row>
    <row r="185" customFormat="false" ht="15" hidden="false" customHeight="false" outlineLevel="0" collapsed="false">
      <c r="A185" s="7"/>
      <c r="B185" s="25" t="n">
        <v>24</v>
      </c>
      <c r="C185" s="11" t="n">
        <f aca="false">(ABS(C28-E28)/C28)*100</f>
        <v>97.3731191022698</v>
      </c>
      <c r="D185" s="25" t="n">
        <f aca="false">(ABS(D28-F28)/D28)*100</f>
        <v>2.44619711812608</v>
      </c>
      <c r="E185" s="23"/>
      <c r="F185" s="25" t="n">
        <f aca="false">(ABS(C28-G28)/C28)*100</f>
        <v>0.0510073960724305</v>
      </c>
      <c r="G185" s="25" t="n">
        <f aca="false">(ABS(D28-H28)/D28)*100</f>
        <v>0.00128140236675017</v>
      </c>
      <c r="H185" s="23"/>
    </row>
    <row r="186" customFormat="false" ht="15" hidden="false" customHeight="false" outlineLevel="0" collapsed="false">
      <c r="A186" s="7"/>
      <c r="B186" s="25" t="n">
        <v>25</v>
      </c>
      <c r="C186" s="11" t="n">
        <f aca="false">(ABS(C29-E29)/C29)*100</f>
        <v>98.8986232790989</v>
      </c>
      <c r="D186" s="25" t="n">
        <f aca="false">(ABS(D29-F29)/D29)*100</f>
        <v>2.53261113425852</v>
      </c>
      <c r="E186" s="23"/>
      <c r="F186" s="25" t="n">
        <f aca="false">(ABS(C29-G29)/C29)*100</f>
        <v>0.0500625782227785</v>
      </c>
      <c r="G186" s="25" t="n">
        <f aca="false">(ABS(D29-H29)/D29)*100</f>
        <v>0.00128201019198103</v>
      </c>
      <c r="H186" s="23"/>
    </row>
    <row r="187" customFormat="false" ht="15" hidden="false" customHeight="false" outlineLevel="0" collapsed="false">
      <c r="A187" s="7"/>
      <c r="B187" s="25" t="n">
        <v>26</v>
      </c>
      <c r="C187" s="11" t="n">
        <f aca="false">(ABS(C30-E30)/C30)*100</f>
        <v>99.7524139638524</v>
      </c>
      <c r="D187" s="25" t="n">
        <f aca="false">(ABS(D30-F30)/D30)*100</f>
        <v>2.58333814222786</v>
      </c>
      <c r="E187" s="23"/>
      <c r="F187" s="25" t="n">
        <f aca="false">(ABS(C30-G30)/C30)*100</f>
        <v>0.247586036147561</v>
      </c>
      <c r="G187" s="25" t="n">
        <f aca="false">(ABS(D30-H30)/D30)*100</f>
        <v>0.00641185937510019</v>
      </c>
      <c r="H187" s="23"/>
    </row>
    <row r="188" customFormat="false" ht="15" hidden="false" customHeight="false" outlineLevel="0" collapsed="false">
      <c r="A188" s="7"/>
      <c r="B188" s="25" t="n">
        <v>27</v>
      </c>
      <c r="C188" s="11" t="n">
        <f aca="false">(ABS(C31-E31)/C31)*100</f>
        <v>98.0478282088824</v>
      </c>
      <c r="D188" s="25" t="n">
        <f aca="false">(ABS(D31-F31)/D31)*100</f>
        <v>2.577260073636</v>
      </c>
      <c r="E188" s="23"/>
      <c r="F188" s="25" t="n">
        <f aca="false">(ABS(C31-G31)/C31)*100</f>
        <v>0</v>
      </c>
      <c r="G188" s="25" t="n">
        <f aca="false">(ABS(D31-H31)/D31)*100</f>
        <v>0</v>
      </c>
      <c r="H188" s="23"/>
    </row>
    <row r="189" customFormat="false" ht="15" hidden="false" customHeight="false" outlineLevel="0" collapsed="false">
      <c r="A189" s="7"/>
      <c r="B189" s="25" t="n">
        <v>28</v>
      </c>
      <c r="C189" s="11" t="n">
        <f aca="false">(ABS(C32-E32)/C32)*100</f>
        <v>99.9032180014517</v>
      </c>
      <c r="D189" s="25" t="n">
        <f aca="false">(ABS(D32-F32)/D32)*100</f>
        <v>2.64905335959504</v>
      </c>
      <c r="E189" s="23"/>
      <c r="F189" s="25" t="n">
        <f aca="false">(ABS(C32-G32)/C32)*100</f>
        <v>0.0241954996370675</v>
      </c>
      <c r="G189" s="25" t="n">
        <f aca="false">(ABS(D32-H32)/D32)*100</f>
        <v>0.000641572622813039</v>
      </c>
      <c r="H189" s="23"/>
    </row>
    <row r="190" customFormat="false" ht="15" hidden="false" customHeight="false" outlineLevel="0" collapsed="false">
      <c r="A190" s="7"/>
      <c r="B190" s="25" t="n">
        <v>29</v>
      </c>
      <c r="C190" s="11" t="n">
        <f aca="false">(ABS(C33-E33)/C33)*100</f>
        <v>99.3013731630932</v>
      </c>
      <c r="D190" s="25" t="n">
        <f aca="false">(ABS(D33-F33)/D33)*100</f>
        <v>2.6448677886929</v>
      </c>
      <c r="E190" s="23"/>
      <c r="F190" s="25" t="n">
        <f aca="false">(ABS(C33-G33)/C33)*100</f>
        <v>0.0481811611659841</v>
      </c>
      <c r="G190" s="25" t="n">
        <f aca="false">(ABS(D33-H33)/D33)*100</f>
        <v>0.00128329344429544</v>
      </c>
      <c r="H190" s="23"/>
    </row>
    <row r="191" customFormat="false" ht="15" hidden="false" customHeight="false" outlineLevel="0" collapsed="false">
      <c r="A191" s="7"/>
      <c r="B191" s="25" t="n">
        <v>30</v>
      </c>
      <c r="C191" s="11" t="n">
        <f aca="false">(ABS(C34-E34)/C34)*100</f>
        <v>99.7365900383142</v>
      </c>
      <c r="D191" s="25" t="n">
        <f aca="false">(ABS(D34-F34)/D34)*100</f>
        <v>2.67288736009857</v>
      </c>
      <c r="E191" s="23"/>
      <c r="F191" s="25" t="n">
        <f aca="false">(ABS(C34-G34)/C34)*100</f>
        <v>0</v>
      </c>
      <c r="G191" s="25" t="n">
        <f aca="false">(ABS(D34-H34)/D34)*100</f>
        <v>0</v>
      </c>
      <c r="H191" s="23"/>
    </row>
    <row r="192" customFormat="false" ht="15" hidden="false" customHeight="false" outlineLevel="0" collapsed="false">
      <c r="A192" s="7"/>
      <c r="B192" s="25" t="n">
        <v>31</v>
      </c>
      <c r="C192" s="11" t="n">
        <f aca="false">(ABS(C35-E35)/C35)*100</f>
        <v>77.4470111931412</v>
      </c>
      <c r="D192" s="25" t="n">
        <f aca="false">(ABS(D35-F35)/D35)*100</f>
        <v>2.08727800206674</v>
      </c>
      <c r="E192" s="23"/>
      <c r="F192" s="25" t="n">
        <f aca="false">(ABS(C35-G35)/C35)*100</f>
        <v>0.0238151940938319</v>
      </c>
      <c r="G192" s="25" t="n">
        <f aca="false">(ABS(D35-H35)/D35)*100</f>
        <v>0.000641844404079563</v>
      </c>
      <c r="H192" s="23"/>
    </row>
    <row r="193" customFormat="false" ht="15" hidden="false" customHeight="false" outlineLevel="0" collapsed="false">
      <c r="A193" s="7"/>
      <c r="B193" s="25" t="n">
        <v>32</v>
      </c>
      <c r="C193" s="11" t="n">
        <f aca="false">(ABS(C36-E36)/C36)*100</f>
        <v>99.8333333333333</v>
      </c>
      <c r="D193" s="25" t="n">
        <f aca="false">(ABS(D36-F36)/D36)*100</f>
        <v>2.69127086007702</v>
      </c>
      <c r="E193" s="23"/>
      <c r="F193" s="25" t="n">
        <f aca="false">(ABS(C36-G36)/C36)*100</f>
        <v>0.0952380952380952</v>
      </c>
      <c r="G193" s="25" t="n">
        <f aca="false">(ABS(D36-H36)/D36)*100</f>
        <v>0.00256739409499358</v>
      </c>
      <c r="H193" s="23"/>
    </row>
    <row r="194" customFormat="false" ht="15" hidden="false" customHeight="false" outlineLevel="0" collapsed="false">
      <c r="A194" s="7"/>
      <c r="B194" s="25" t="n">
        <v>33</v>
      </c>
      <c r="C194" s="11" t="n">
        <f aca="false">(ABS(C37-E37)/C37)*100</f>
        <v>99.5682417846006</v>
      </c>
      <c r="D194" s="25" t="n">
        <f aca="false">(ABS(D37-F37)/D37)*100</f>
        <v>2.66378320103189</v>
      </c>
      <c r="E194" s="23"/>
      <c r="F194" s="25" t="n">
        <f aca="false">(ABS(C37-G37)/C37)*100</f>
        <v>0.0239865675221876</v>
      </c>
      <c r="G194" s="25" t="n">
        <f aca="false">(ABS(D37-H37)/D37)*100</f>
        <v>0.000641720838600792</v>
      </c>
      <c r="H194" s="23"/>
    </row>
    <row r="195" customFormat="false" ht="15" hidden="false" customHeight="false" outlineLevel="0" collapsed="false">
      <c r="A195" s="7"/>
      <c r="B195" s="25" t="n">
        <v>34</v>
      </c>
      <c r="C195" s="11" t="n">
        <f aca="false">(ABS(C38-E38)/C38)*100</f>
        <v>98.6007237635706</v>
      </c>
      <c r="D195" s="25" t="n">
        <f aca="false">(ABS(D38-F38)/D38)*100</f>
        <v>2.62230919765166</v>
      </c>
      <c r="E195" s="23"/>
      <c r="F195" s="25" t="n">
        <f aca="false">(ABS(C38-G38)/C38)*100</f>
        <v>0.120627261761158</v>
      </c>
      <c r="G195" s="25" t="n">
        <f aca="false">(ABS(D38-H38)/D38)*100</f>
        <v>0.00320811010233871</v>
      </c>
      <c r="H195" s="23"/>
    </row>
    <row r="196" customFormat="false" ht="15" hidden="false" customHeight="false" outlineLevel="0" collapsed="false">
      <c r="A196" s="7"/>
      <c r="B196" s="25" t="n">
        <v>35</v>
      </c>
      <c r="C196" s="11" t="n">
        <f aca="false">(ABS(C39-E39)/C39)*100</f>
        <v>99.6600291403594</v>
      </c>
      <c r="D196" s="25" t="n">
        <f aca="false">(ABS(D39-F39)/D39)*100</f>
        <v>2.63276067794871</v>
      </c>
      <c r="E196" s="23"/>
      <c r="F196" s="25" t="n">
        <f aca="false">(ABS(C39-G39)/C39)*100</f>
        <v>0.14570179698883</v>
      </c>
      <c r="G196" s="25" t="n">
        <f aca="false">(ABS(D39-H39)/D39)*100</f>
        <v>0.00384906531863846</v>
      </c>
      <c r="H196" s="23"/>
    </row>
    <row r="197" customFormat="false" ht="15" hidden="false" customHeight="false" outlineLevel="0" collapsed="false">
      <c r="A197" s="7"/>
      <c r="B197" s="25" t="n">
        <v>36</v>
      </c>
      <c r="C197" s="11" t="n">
        <f aca="false">(ABS(C40-E40)/C40)*100</f>
        <v>94.8876265744628</v>
      </c>
      <c r="D197" s="25" t="n">
        <f aca="false">(ABS(D40-F40)/D40)*100</f>
        <v>2.46359433411777</v>
      </c>
      <c r="E197" s="23"/>
      <c r="F197" s="25" t="n">
        <f aca="false">(ABS(C40-G40)/C40)*100</f>
        <v>0.0740923684860459</v>
      </c>
      <c r="G197" s="25" t="n">
        <f aca="false">(ABS(D40-H40)/D40)*100</f>
        <v>0.00192368115626062</v>
      </c>
      <c r="H197" s="23"/>
    </row>
    <row r="198" customFormat="false" ht="15" hidden="false" customHeight="false" outlineLevel="0" collapsed="false">
      <c r="A198" s="7"/>
      <c r="B198" s="25" t="n">
        <v>37</v>
      </c>
      <c r="C198" s="11" t="n">
        <f aca="false">(ABS(C41-E41)/C41)*100</f>
        <v>99.9748237663646</v>
      </c>
      <c r="D198" s="25" t="n">
        <f aca="false">(ABS(D41-F41)/D41)*100</f>
        <v>2.54505601558695</v>
      </c>
      <c r="E198" s="23"/>
      <c r="F198" s="25" t="n">
        <f aca="false">(ABS(C41-G41)/C41)*100</f>
        <v>0</v>
      </c>
      <c r="G198" s="25" t="n">
        <f aca="false">(ABS(D41-H41)/D41)*100</f>
        <v>0</v>
      </c>
      <c r="H198" s="23"/>
    </row>
    <row r="199" customFormat="false" ht="15" hidden="false" customHeight="false" outlineLevel="0" collapsed="false">
      <c r="A199" s="7"/>
      <c r="B199" s="25" t="n">
        <v>38</v>
      </c>
      <c r="C199" s="11" t="n">
        <f aca="false">(ABS(C42-E42)/C42)*100</f>
        <v>99.1948051948052</v>
      </c>
      <c r="D199" s="25" t="n">
        <f aca="false">(ABS(D42-F42)/D42)*100</f>
        <v>2.44572526416907</v>
      </c>
      <c r="E199" s="23"/>
      <c r="F199" s="25" t="n">
        <f aca="false">(ABS(C42-G42)/C42)*100</f>
        <v>0.0779220779220779</v>
      </c>
      <c r="G199" s="25" t="n">
        <f aca="false">(ABS(D42-H42)/D42)*100</f>
        <v>0.00192122958693564</v>
      </c>
      <c r="H199" s="23"/>
    </row>
    <row r="200" customFormat="false" ht="15" hidden="false" customHeight="false" outlineLevel="0" collapsed="false">
      <c r="A200" s="7"/>
      <c r="B200" s="25" t="n">
        <v>39</v>
      </c>
      <c r="C200" s="11" t="n">
        <f aca="false">(ABS(C43-E43)/C43)*100</f>
        <v>99.8914223669924</v>
      </c>
      <c r="D200" s="25" t="n">
        <f aca="false">(ABS(D43-F43)/D43)*100</f>
        <v>2.3542055835615</v>
      </c>
      <c r="E200" s="23"/>
      <c r="F200" s="25" t="n">
        <f aca="false">(ABS(C43-G43)/C43)*100</f>
        <v>0.0271444082519001</v>
      </c>
      <c r="G200" s="25" t="n">
        <f aca="false">(ABS(D43-H43)/D43)*100</f>
        <v>0.000639729778141713</v>
      </c>
      <c r="H200" s="23"/>
    </row>
    <row r="201" customFormat="false" ht="15" hidden="false" customHeight="false" outlineLevel="0" collapsed="false">
      <c r="A201" s="7"/>
      <c r="B201" s="25" t="n">
        <v>40</v>
      </c>
      <c r="C201" s="11" t="n">
        <f aca="false">(ABS(C44-E44)/C44)*100</f>
        <v>98.3921906402527</v>
      </c>
      <c r="D201" s="25" t="n">
        <f aca="false">(ABS(D44-F44)/D44)*100</f>
        <v>2.18953851658286</v>
      </c>
      <c r="E201" s="23"/>
      <c r="F201" s="25" t="n">
        <f aca="false">(ABS(C44-G44)/C44)*100</f>
        <v>0.0287108814240597</v>
      </c>
      <c r="G201" s="25" t="n">
        <f aca="false">(ABS(D44-H44)/D44)*100</f>
        <v>0.000638908233610407</v>
      </c>
      <c r="H201" s="23"/>
    </row>
    <row r="202" customFormat="false" ht="15" hidden="false" customHeight="false" outlineLevel="0" collapsed="false">
      <c r="A202" s="7"/>
      <c r="B202" s="25" t="n">
        <v>41</v>
      </c>
      <c r="C202" s="11" t="n">
        <f aca="false">(ABS(C45-E45)/C45)*100</f>
        <v>99.4935954721478</v>
      </c>
      <c r="D202" s="25" t="n">
        <f aca="false">(ABS(D45-F45)/D45)*100</f>
        <v>2.13223699750388</v>
      </c>
      <c r="E202" s="23"/>
      <c r="F202" s="25" t="n">
        <f aca="false">(ABS(C45-G45)/C45)*100</f>
        <v>0.0893655049151028</v>
      </c>
      <c r="G202" s="25" t="n">
        <f aca="false">(ABS(D45-H45)/D45)*100</f>
        <v>0.00191518293188971</v>
      </c>
      <c r="H202" s="23"/>
    </row>
    <row r="203" customFormat="false" ht="15" hidden="false" customHeight="false" outlineLevel="0" collapsed="false">
      <c r="A203" s="7"/>
      <c r="B203" s="25" t="n">
        <v>42</v>
      </c>
      <c r="C203" s="11" t="n">
        <f aca="false">(ABS(C46-E46)/C46)*100</f>
        <v>99.938856618771</v>
      </c>
      <c r="D203" s="25" t="n">
        <f aca="false">(ABS(D46-F46)/D46)*100</f>
        <v>2.08576587613014</v>
      </c>
      <c r="E203" s="23"/>
      <c r="F203" s="25" t="n">
        <f aca="false">(ABS(C46-G46)/C46)*100</f>
        <v>0.030571690614491</v>
      </c>
      <c r="G203" s="25" t="n">
        <f aca="false">(ABS(D46-H46)/D46)*100</f>
        <v>0.000638044012275967</v>
      </c>
      <c r="H203" s="23"/>
    </row>
    <row r="204" customFormat="false" ht="15" hidden="false" customHeight="false" outlineLevel="0" collapsed="false">
      <c r="A204" s="7"/>
      <c r="B204" s="25" t="n">
        <v>43</v>
      </c>
      <c r="C204" s="11" t="n">
        <f aca="false">(ABS(C47-E47)/C47)*100</f>
        <v>99.8112614029569</v>
      </c>
      <c r="D204" s="25" t="n">
        <f aca="false">(ABS(D47-F47)/D47)*100</f>
        <v>2.02332595762047</v>
      </c>
      <c r="E204" s="23"/>
      <c r="F204" s="25" t="n">
        <f aca="false">(ABS(C47-G47)/C47)*100</f>
        <v>0.0629128656810318</v>
      </c>
      <c r="G204" s="25" t="n">
        <f aca="false">(ABS(D47-H47)/D47)*100</f>
        <v>0.00127533939969774</v>
      </c>
      <c r="H204" s="23"/>
    </row>
    <row r="205" customFormat="false" ht="15" hidden="false" customHeight="false" outlineLevel="0" collapsed="false">
      <c r="A205" s="7"/>
      <c r="B205" s="25" t="n">
        <v>44</v>
      </c>
      <c r="C205" s="11" t="n">
        <f aca="false">(ABS(C48-E48)/C48)*100</f>
        <v>97.3996789727127</v>
      </c>
      <c r="D205" s="25" t="n">
        <f aca="false">(ABS(D48-F48)/D48)*100</f>
        <v>1.93390062784842</v>
      </c>
      <c r="E205" s="23"/>
      <c r="F205" s="25" t="n">
        <f aca="false">(ABS(C48-G48)/C48)*100</f>
        <v>0.128410914927769</v>
      </c>
      <c r="G205" s="25" t="n">
        <f aca="false">(ABS(D48-H48)/D48)*100</f>
        <v>0.00254963827007043</v>
      </c>
      <c r="H205" s="23"/>
    </row>
    <row r="206" customFormat="false" ht="15" hidden="false" customHeight="false" outlineLevel="0" collapsed="false">
      <c r="A206" s="7"/>
      <c r="B206" s="25" t="n">
        <v>45</v>
      </c>
      <c r="C206" s="11" t="n">
        <f aca="false">(ABS(C49-E49)/C49)*100</f>
        <v>95.6964520367937</v>
      </c>
      <c r="D206" s="25" t="n">
        <f aca="false">(ABS(D49-F49)/D49)*100</f>
        <v>1.85593414714952</v>
      </c>
      <c r="E206" s="23"/>
      <c r="F206" s="25" t="n">
        <f aca="false">(ABS(C49-G49)/C49)*100</f>
        <v>0.0657030223390276</v>
      </c>
      <c r="G206" s="25" t="n">
        <f aca="false">(ABS(D49-H49)/D49)*100</f>
        <v>0.00127424246285583</v>
      </c>
      <c r="H206" s="23"/>
    </row>
    <row r="207" customFormat="false" ht="15" hidden="false" customHeight="false" outlineLevel="0" collapsed="false">
      <c r="A207" s="7"/>
      <c r="B207" s="25" t="n">
        <v>46</v>
      </c>
      <c r="C207" s="11" t="n">
        <f aca="false">(ABS(C50-E50)/C50)*100</f>
        <v>100</v>
      </c>
      <c r="D207" s="25" t="n">
        <f aca="false">(ABS(D50-F50)/D50)*100</f>
        <v>1.91017891605786</v>
      </c>
      <c r="E207" s="23"/>
      <c r="F207" s="25" t="n">
        <f aca="false">(ABS(C50-G50)/C50)*100</f>
        <v>0.0333444481493831</v>
      </c>
      <c r="G207" s="25" t="n">
        <f aca="false">(ABS(D50-H50)/D50)*100</f>
        <v>0.000636938618225362</v>
      </c>
      <c r="H207" s="23"/>
    </row>
    <row r="208" customFormat="false" ht="15" hidden="false" customHeight="false" outlineLevel="0" collapsed="false">
      <c r="A208" s="7"/>
      <c r="B208" s="25" t="n">
        <v>47</v>
      </c>
      <c r="C208" s="11" t="n">
        <f aca="false">(ABS(C51-E51)/C51)*100</f>
        <v>99.6597482136781</v>
      </c>
      <c r="D208" s="25" t="n">
        <f aca="false">(ABS(D51-F51)/D51)*100</f>
        <v>1.86488052412757</v>
      </c>
      <c r="E208" s="23"/>
      <c r="F208" s="25" t="n">
        <f aca="false">(ABS(C51-G51)/C51)*100</f>
        <v>0.0680503572643756</v>
      </c>
      <c r="G208" s="25" t="n">
        <f aca="false">(ABS(D51-H51)/D51)*100</f>
        <v>0.00127339059346369</v>
      </c>
      <c r="H208" s="23"/>
    </row>
    <row r="209" customFormat="false" ht="15" hidden="false" customHeight="false" outlineLevel="0" collapsed="false">
      <c r="A209" s="7"/>
      <c r="B209" s="25" t="n">
        <v>48</v>
      </c>
      <c r="C209" s="11" t="n">
        <f aca="false">(ABS(C52-E52)/C52)*100</f>
        <v>92.9703652653343</v>
      </c>
      <c r="D209" s="25" t="n">
        <f aca="false">(ABS(D52-F52)/D52)*100</f>
        <v>1.7173993303543</v>
      </c>
      <c r="E209" s="23"/>
      <c r="F209" s="25" t="n">
        <f aca="false">(ABS(C52-G52)/C52)*100</f>
        <v>0.137835975189524</v>
      </c>
      <c r="G209" s="25" t="n">
        <f aca="false">(ABS(D52-H52)/D52)*100</f>
        <v>0.00254618136449859</v>
      </c>
      <c r="H209" s="23"/>
    </row>
    <row r="210" customFormat="false" ht="15" hidden="false" customHeight="false" outlineLevel="0" collapsed="false">
      <c r="A210" s="7"/>
      <c r="B210" s="25" t="n">
        <v>49</v>
      </c>
      <c r="C210" s="11" t="n">
        <f aca="false">(ABS(C53-E53)/C53)*100</f>
        <v>98.3617985360753</v>
      </c>
      <c r="D210" s="25" t="n">
        <f aca="false">(ABS(D53-F53)/D53)*100</f>
        <v>1.79595369468787</v>
      </c>
      <c r="E210" s="23"/>
      <c r="F210" s="25" t="n">
        <f aca="false">(ABS(C53-G53)/C53)*100</f>
        <v>0.069710700592541</v>
      </c>
      <c r="G210" s="25" t="n">
        <f aca="false">(ABS(D53-H53)/D53)*100</f>
        <v>0.0012728233130318</v>
      </c>
      <c r="H210" s="23"/>
    </row>
    <row r="211" customFormat="false" ht="15" hidden="false" customHeight="false" outlineLevel="0" collapsed="false">
      <c r="A211" s="7"/>
      <c r="B211" s="25" t="n">
        <v>50</v>
      </c>
      <c r="C211" s="11" t="n">
        <f aca="false">(ABS(C54-E54)/C54)*100</f>
        <v>97.7345132743363</v>
      </c>
      <c r="D211" s="25" t="n">
        <f aca="false">(ABS(D54-F54)/D54)*100</f>
        <v>1.75664068713218</v>
      </c>
      <c r="E211" s="23"/>
      <c r="F211" s="25" t="n">
        <f aca="false">(ABS(C54-G54)/C54)*100</f>
        <v>0.0353982300884956</v>
      </c>
      <c r="G211" s="25" t="n">
        <f aca="false">(ABS(D54-H54)/D54)*100</f>
        <v>0.000636233497693654</v>
      </c>
      <c r="H211" s="23"/>
    </row>
    <row r="212" customFormat="false" ht="15" hidden="false" customHeight="false" outlineLevel="0" collapsed="false">
      <c r="A212" s="7"/>
      <c r="B212" s="25" t="n">
        <v>51</v>
      </c>
      <c r="C212" s="11" t="n">
        <f aca="false">(ABS(C55-E55)/C55)*100</f>
        <v>96.5714285714286</v>
      </c>
      <c r="D212" s="25" t="n">
        <f aca="false">(ABS(D55-F55)/D55)*100</f>
        <v>1.72010178117048</v>
      </c>
      <c r="E212" s="23"/>
      <c r="F212" s="25" t="n">
        <f aca="false">(ABS(C55-G55)/C55)*100</f>
        <v>0</v>
      </c>
      <c r="G212" s="25" t="n">
        <f aca="false">(ABS(D55-H55)/D55)*100</f>
        <v>0</v>
      </c>
      <c r="H212" s="23"/>
    </row>
    <row r="213" customFormat="false" ht="15" hidden="false" customHeight="false" outlineLevel="0" collapsed="false">
      <c r="A213" s="7"/>
      <c r="B213" s="25" t="n">
        <v>52</v>
      </c>
      <c r="C213" s="11" t="n">
        <f aca="false">(ABS(C56-E56)/C56)*100</f>
        <v>99.4580924855491</v>
      </c>
      <c r="D213" s="25" t="n">
        <f aca="false">(ABS(D56-F56)/D56)*100</f>
        <v>1.75091584410298</v>
      </c>
      <c r="E213" s="23"/>
      <c r="F213" s="25" t="n">
        <f aca="false">(ABS(C56-G56)/C56)*100</f>
        <v>0</v>
      </c>
      <c r="G213" s="25" t="n">
        <f aca="false">(ABS(D56-H56)/D56)*100</f>
        <v>0</v>
      </c>
      <c r="H213" s="23"/>
    </row>
    <row r="214" customFormat="false" ht="15" hidden="false" customHeight="false" outlineLevel="0" collapsed="false">
      <c r="A214" s="7"/>
      <c r="B214" s="25" t="n">
        <v>53</v>
      </c>
      <c r="C214" s="11" t="n">
        <f aca="false">(ABS(C57-E57)/C57)*100</f>
        <v>85.0439882697947</v>
      </c>
      <c r="D214" s="25" t="n">
        <f aca="false">(ABS(D57-F57)/D57)*100</f>
        <v>1.47515133017956</v>
      </c>
      <c r="E214" s="23"/>
      <c r="F214" s="25" t="n">
        <f aca="false">(ABS(C57-G57)/C57)*100</f>
        <v>0.0366568914956012</v>
      </c>
      <c r="G214" s="25" t="n">
        <f aca="false">(ABS(D57-H57)/D57)*100</f>
        <v>0.000635841090594639</v>
      </c>
      <c r="H214" s="23"/>
    </row>
    <row r="215" customFormat="false" ht="15" hidden="false" customHeight="false" outlineLevel="0" collapsed="false">
      <c r="A215" s="7"/>
      <c r="B215" s="25" t="n">
        <v>54</v>
      </c>
      <c r="C215" s="11" t="n">
        <f aca="false">(ABS(C58-E58)/C58)*100</f>
        <v>94.0484937545922</v>
      </c>
      <c r="D215" s="25" t="n">
        <f aca="false">(ABS(D58-F58)/D58)*100</f>
        <v>1.62769109474942</v>
      </c>
      <c r="E215" s="23"/>
      <c r="F215" s="25" t="n">
        <f aca="false">(ABS(C58-G58)/C58)*100</f>
        <v>0.0367376928728876</v>
      </c>
      <c r="G215" s="25" t="n">
        <f aca="false">(ABS(D58-H58)/D58)*100</f>
        <v>0.000635816833886494</v>
      </c>
      <c r="H215" s="23"/>
    </row>
    <row r="216" customFormat="false" ht="15" hidden="false" customHeight="false" outlineLevel="0" collapsed="false">
      <c r="A216" s="7"/>
      <c r="B216" s="25" t="n">
        <v>55</v>
      </c>
      <c r="C216" s="11" t="n">
        <f aca="false">(ABS(C59-E59)/C59)*100</f>
        <v>99.554565701559</v>
      </c>
      <c r="D216" s="25" t="n">
        <f aca="false">(ABS(D59-F59)/D59)*100</f>
        <v>1.70495721714366</v>
      </c>
      <c r="E216" s="23"/>
      <c r="F216" s="25" t="n">
        <f aca="false">(ABS(C59-G59)/C59)*100</f>
        <v>0.0742390497401633</v>
      </c>
      <c r="G216" s="25" t="n">
        <f aca="false">(ABS(D59-H59)/D59)*100</f>
        <v>0.00127140732076335</v>
      </c>
      <c r="H216" s="23"/>
    </row>
    <row r="217" customFormat="false" ht="15" hidden="false" customHeight="false" outlineLevel="0" collapsed="false">
      <c r="A217" s="7"/>
      <c r="B217" s="25" t="n">
        <v>56</v>
      </c>
      <c r="C217" s="11" t="n">
        <f aca="false">(ABS(C60-E60)/C60)*100</f>
        <v>99.6246246246246</v>
      </c>
      <c r="D217" s="25" t="n">
        <f aca="false">(ABS(D60-F60)/D60)*100</f>
        <v>1.6868358163421</v>
      </c>
      <c r="E217" s="23"/>
      <c r="F217" s="25" t="n">
        <f aca="false">(ABS(C60-G60)/C60)*100</f>
        <v>0</v>
      </c>
      <c r="G217" s="25" t="n">
        <f aca="false">(ABS(D60-H60)/D60)*100</f>
        <v>0</v>
      </c>
      <c r="H217" s="23"/>
    </row>
    <row r="218" customFormat="false" ht="15" hidden="false" customHeight="false" outlineLevel="0" collapsed="false">
      <c r="A218" s="7"/>
      <c r="B218" s="25" t="n">
        <v>57</v>
      </c>
      <c r="C218" s="11" t="n">
        <f aca="false">(ABS(C61-E61)/C61)*100</f>
        <v>99.1304347826087</v>
      </c>
      <c r="D218" s="25" t="n">
        <f aca="false">(ABS(D61-F61)/D61)*100</f>
        <v>1.6662959550062</v>
      </c>
      <c r="E218" s="23"/>
      <c r="F218" s="25" t="n">
        <f aca="false">(ABS(C61-G61)/C61)*100</f>
        <v>0.0378071833648393</v>
      </c>
      <c r="G218" s="25" t="n">
        <f aca="false">(ABS(D61-H61)/D61)*100</f>
        <v>0.00063550570366369</v>
      </c>
      <c r="H218" s="23"/>
    </row>
    <row r="219" customFormat="false" ht="15" hidden="false" customHeight="false" outlineLevel="0" collapsed="false">
      <c r="A219" s="7"/>
      <c r="B219" s="25" t="n">
        <v>58</v>
      </c>
      <c r="C219" s="11" t="n">
        <f aca="false">(ABS(C62-E62)/C62)*100</f>
        <v>96.8927624100038</v>
      </c>
      <c r="D219" s="25" t="n">
        <f aca="false">(ABS(D62-F62)/D62)*100</f>
        <v>1.62492612527882</v>
      </c>
      <c r="E219" s="23"/>
      <c r="F219" s="25" t="n">
        <f aca="false">(ABS(C62-G62)/C62)*100</f>
        <v>0</v>
      </c>
      <c r="G219" s="25" t="n">
        <f aca="false">(ABS(D62-H62)/D62)*100</f>
        <v>0</v>
      </c>
      <c r="H219" s="23"/>
    </row>
    <row r="220" customFormat="false" ht="15" hidden="false" customHeight="false" outlineLevel="0" collapsed="false">
      <c r="A220" s="7"/>
      <c r="B220" s="25" t="n">
        <v>59</v>
      </c>
      <c r="C220" s="11" t="n">
        <f aca="false">(ABS(C63-E63)/C63)*100</f>
        <v>99.7327224131348</v>
      </c>
      <c r="D220" s="25" t="n">
        <f aca="false">(ABS(D63-F63)/D63)*100</f>
        <v>1.65966666878467</v>
      </c>
      <c r="E220" s="23"/>
      <c r="F220" s="25" t="n">
        <f aca="false">(ABS(C63-G63)/C63)*100</f>
        <v>0.0381825124093165</v>
      </c>
      <c r="G220" s="25" t="n">
        <f aca="false">(ABS(D63-H63)/D63)*100</f>
        <v>0.000635400715461206</v>
      </c>
      <c r="H220" s="23"/>
    </row>
    <row r="221" customFormat="false" ht="15" hidden="false" customHeight="false" outlineLevel="0" collapsed="false">
      <c r="A221" s="7"/>
      <c r="B221" s="25" t="n">
        <v>60</v>
      </c>
      <c r="C221" s="11" t="n">
        <f aca="false">(ABS(C64-E64)/C64)*100</f>
        <v>93.7065637065637</v>
      </c>
      <c r="D221" s="25" t="n">
        <f aca="false">(ABS(D64-F64)/D64)*100</f>
        <v>1.54183342862588</v>
      </c>
      <c r="E221" s="23"/>
      <c r="F221" s="25" t="n">
        <f aca="false">(ABS(C64-G64)/C64)*100</f>
        <v>0.0386100386100386</v>
      </c>
      <c r="G221" s="25" t="n">
        <f aca="false">(ABS(D64-H64)/D64)*100</f>
        <v>0.000635283654151579</v>
      </c>
      <c r="H221" s="23"/>
    </row>
    <row r="222" customFormat="false" ht="15" hidden="false" customHeight="false" outlineLevel="0" collapsed="false">
      <c r="A222" s="7"/>
      <c r="B222" s="25" t="n">
        <v>61</v>
      </c>
      <c r="C222" s="11" t="n">
        <f aca="false">(ABS(C65-E65)/C65)*100</f>
        <v>99.5356037151703</v>
      </c>
      <c r="D222" s="25" t="n">
        <f aca="false">(ABS(D65-F65)/D65)*100</f>
        <v>1.63388727956497</v>
      </c>
      <c r="E222" s="23"/>
      <c r="F222" s="25" t="n">
        <f aca="false">(ABS(C65-G65)/C65)*100</f>
        <v>0</v>
      </c>
      <c r="G222" s="25" t="n">
        <f aca="false">(ABS(D65-H65)/D65)*100</f>
        <v>0</v>
      </c>
      <c r="H222" s="23"/>
    </row>
    <row r="223" customFormat="false" ht="15" hidden="false" customHeight="false" outlineLevel="0" collapsed="false">
      <c r="A223" s="7"/>
      <c r="B223" s="25" t="n">
        <v>62</v>
      </c>
      <c r="C223" s="11" t="n">
        <f aca="false">(ABS(C66-E66)/C66)*100</f>
        <v>95.195660596668</v>
      </c>
      <c r="D223" s="25" t="n">
        <f aca="false">(ABS(D66-F66)/D66)*100</f>
        <v>1.56080269853067</v>
      </c>
      <c r="E223" s="23"/>
      <c r="F223" s="25" t="n">
        <f aca="false">(ABS(C66-G66)/C66)*100</f>
        <v>0.0387446726075165</v>
      </c>
      <c r="G223" s="25" t="n">
        <f aca="false">(ABS(D66-H66)/D66)*100</f>
        <v>0.000635247333549317</v>
      </c>
      <c r="H223" s="23"/>
    </row>
    <row r="224" customFormat="false" ht="15" hidden="false" customHeight="false" outlineLevel="0" collapsed="false">
      <c r="A224" s="7"/>
      <c r="B224" s="25" t="n">
        <v>63</v>
      </c>
      <c r="C224" s="11" t="n">
        <f aca="false">(ABS(C67-E67)/C67)*100</f>
        <v>99.6878657822864</v>
      </c>
      <c r="D224" s="25" t="n">
        <f aca="false">(ABS(D67-F67)/D67)*100</f>
        <v>1.62287137077053</v>
      </c>
      <c r="E224" s="23"/>
      <c r="F224" s="25" t="n">
        <f aca="false">(ABS(C67-G67)/C67)*100</f>
        <v>0.0390167772142021</v>
      </c>
      <c r="G224" s="25" t="n">
        <f aca="false">(ABS(D67-H67)/D67)*100</f>
        <v>0.000635174704802556</v>
      </c>
      <c r="H224" s="23"/>
    </row>
    <row r="225" customFormat="false" ht="15" hidden="false" customHeight="false" outlineLevel="0" collapsed="false">
      <c r="A225" s="7"/>
      <c r="B225" s="25" t="n">
        <v>64</v>
      </c>
      <c r="C225" s="11" t="n">
        <f aca="false">(ABS(C68-E68)/C68)*100</f>
        <v>99.5316159250586</v>
      </c>
      <c r="D225" s="25" t="n">
        <f aca="false">(ABS(D68-F68)/D68)*100</f>
        <v>1.61968520941577</v>
      </c>
      <c r="E225" s="23"/>
      <c r="F225" s="25" t="n">
        <f aca="false">(ABS(C68-G68)/C68)*100</f>
        <v>0.039032006245121</v>
      </c>
      <c r="G225" s="25" t="n">
        <f aca="false">(ABS(D68-H68)/D68)*100</f>
        <v>0.000635170670359126</v>
      </c>
      <c r="H225" s="23"/>
    </row>
    <row r="226" customFormat="false" ht="15" hidden="false" customHeight="false" outlineLevel="0" collapsed="false">
      <c r="A226" s="7"/>
      <c r="B226" s="25" t="n">
        <v>65</v>
      </c>
      <c r="C226" s="11" t="n">
        <f aca="false">(ABS(C69-E69)/C69)*100</f>
        <v>99.8821681068342</v>
      </c>
      <c r="D226" s="25" t="n">
        <f aca="false">(ABS(D69-F69)/D69)*100</f>
        <v>1.61507487901228</v>
      </c>
      <c r="E226" s="23"/>
      <c r="F226" s="25" t="n">
        <f aca="false">(ABS(C69-G69)/C69)*100</f>
        <v>0</v>
      </c>
      <c r="G226" s="25" t="n">
        <f aca="false">(ABS(D69-H69)/D69)*100</f>
        <v>0</v>
      </c>
      <c r="H226" s="23"/>
    </row>
    <row r="227" customFormat="false" ht="15" hidden="false" customHeight="false" outlineLevel="0" collapsed="false">
      <c r="A227" s="7"/>
      <c r="B227" s="25" t="n">
        <v>66</v>
      </c>
      <c r="C227" s="11" t="n">
        <f aca="false">(ABS(C70-E70)/C70)*100</f>
        <v>99.4464215104785</v>
      </c>
      <c r="D227" s="25" t="n">
        <f aca="false">(ABS(D70-F70)/D70)*100</f>
        <v>1.59711946961663</v>
      </c>
      <c r="E227" s="23"/>
      <c r="F227" s="25" t="n">
        <f aca="false">(ABS(C70-G70)/C70)*100</f>
        <v>0.0395413206801107</v>
      </c>
      <c r="G227" s="25" t="n">
        <f aca="false">(ABS(D70-H70)/D70)*100</f>
        <v>0.00063503756247182</v>
      </c>
      <c r="H227" s="23"/>
    </row>
    <row r="228" customFormat="false" ht="15" hidden="false" customHeight="false" outlineLevel="0" collapsed="false">
      <c r="A228" s="7"/>
      <c r="B228" s="25" t="n">
        <v>67</v>
      </c>
      <c r="C228" s="11" t="n">
        <f aca="false">(ABS(C71-E71)/C71)*100</f>
        <v>98.8460007958615</v>
      </c>
      <c r="D228" s="25" t="n">
        <f aca="false">(ABS(D71-F71)/D71)*100</f>
        <v>1.57727304475925</v>
      </c>
      <c r="E228" s="23"/>
      <c r="F228" s="25" t="n">
        <f aca="false">(ABS(C71-G71)/C71)*100</f>
        <v>0</v>
      </c>
      <c r="G228" s="25" t="n">
        <f aca="false">(ABS(D71-H71)/D71)*100</f>
        <v>0</v>
      </c>
      <c r="H228" s="23"/>
    </row>
    <row r="229" customFormat="false" ht="15" hidden="false" customHeight="false" outlineLevel="0" collapsed="false">
      <c r="A229" s="7"/>
      <c r="B229" s="25" t="n">
        <v>68</v>
      </c>
      <c r="C229" s="11" t="n">
        <f aca="false">(ABS(C72-E72)/C72)*100</f>
        <v>99.0083300277668</v>
      </c>
      <c r="D229" s="25" t="n">
        <f aca="false">(ABS(D72-F72)/D72)*100</f>
        <v>1.58497323452651</v>
      </c>
      <c r="E229" s="23"/>
      <c r="F229" s="25" t="n">
        <f aca="false">(ABS(C72-G72)/C72)*100</f>
        <v>0.0793335977786593</v>
      </c>
      <c r="G229" s="25" t="n">
        <f aca="false">(ABS(D72-H72)/D72)*100</f>
        <v>0.00127001060458855</v>
      </c>
      <c r="H229" s="23"/>
    </row>
    <row r="230" customFormat="false" ht="15" hidden="false" customHeight="false" outlineLevel="0" collapsed="false">
      <c r="A230" s="7"/>
      <c r="B230" s="25" t="n">
        <v>69</v>
      </c>
      <c r="C230" s="11" t="n">
        <f aca="false">(ABS(C73-E73)/C73)*100</f>
        <v>86.9151467089612</v>
      </c>
      <c r="D230" s="25" t="n">
        <f aca="false">(ABS(D73-F73)/D73)*100</f>
        <v>1.39194046152478</v>
      </c>
      <c r="E230" s="23"/>
      <c r="F230" s="25" t="n">
        <f aca="false">(ABS(C73-G73)/C73)*100</f>
        <v>0.0793021411578113</v>
      </c>
      <c r="G230" s="25" t="n">
        <f aca="false">(ABS(D73-H73)/D73)*100</f>
        <v>0.00127001866927444</v>
      </c>
      <c r="H230" s="23"/>
    </row>
    <row r="231" customFormat="false" ht="15" hidden="false" customHeight="false" outlineLevel="0" collapsed="false">
      <c r="A231" s="7"/>
      <c r="B231" s="25" t="n">
        <v>70</v>
      </c>
      <c r="C231" s="11" t="n">
        <f aca="false">(ABS(C74-E74)/C74)*100</f>
        <v>99.7211155378486</v>
      </c>
      <c r="D231" s="25" t="n">
        <f aca="false">(ABS(D74-F74)/D74)*100</f>
        <v>1.58930725760366</v>
      </c>
      <c r="E231" s="23"/>
      <c r="F231" s="25" t="n">
        <f aca="false">(ABS(C74-G74)/C74)*100</f>
        <v>0.0796812749003984</v>
      </c>
      <c r="G231" s="25" t="n">
        <f aca="false">(ABS(D74-H74)/D74)*100</f>
        <v>0.00126992189980316</v>
      </c>
      <c r="H231" s="23"/>
    </row>
    <row r="232" customFormat="false" ht="15" hidden="false" customHeight="false" outlineLevel="0" collapsed="false">
      <c r="A232" s="7"/>
      <c r="B232" s="25" t="n">
        <v>71</v>
      </c>
      <c r="C232" s="11" t="n">
        <f aca="false">(ABS(C75-E75)/C75)*100</f>
        <v>97.0916334661355</v>
      </c>
      <c r="D232" s="25" t="n">
        <f aca="false">(ABS(D75-F75)/D75)*100</f>
        <v>1.54739983491015</v>
      </c>
      <c r="E232" s="23"/>
      <c r="F232" s="25" t="n">
        <f aca="false">(ABS(C75-G75)/C75)*100</f>
        <v>0.159362549800797</v>
      </c>
      <c r="G232" s="25" t="n">
        <f aca="false">(ABS(D75-H75)/D75)*100</f>
        <v>0.00253984379960632</v>
      </c>
      <c r="H232" s="23"/>
    </row>
    <row r="233" customFormat="false" ht="15" hidden="false" customHeight="false" outlineLevel="0" collapsed="false">
      <c r="A233" s="7"/>
      <c r="B233" s="25" t="n">
        <v>72</v>
      </c>
      <c r="C233" s="11" t="n">
        <f aca="false">(ABS(C76-E76)/C76)*100</f>
        <v>99.4420087684336</v>
      </c>
      <c r="D233" s="25" t="n">
        <f aca="false">(ABS(D76-F76)/D76)*100</f>
        <v>1.58421751084189</v>
      </c>
      <c r="E233" s="23"/>
      <c r="F233" s="25" t="n">
        <f aca="false">(ABS(C76-G76)/C76)*100</f>
        <v>0.119569549621363</v>
      </c>
      <c r="G233" s="25" t="n">
        <f aca="false">(ABS(D76-H76)/D76)*100</f>
        <v>0.00190487075451931</v>
      </c>
      <c r="H233" s="23"/>
    </row>
    <row r="234" customFormat="false" ht="15" hidden="false" customHeight="false" outlineLevel="0" collapsed="false">
      <c r="A234" s="7"/>
      <c r="B234" s="25" t="n">
        <v>73</v>
      </c>
      <c r="C234" s="11" t="n">
        <f aca="false">(ABS(C77-E77)/C77)*100</f>
        <v>98.8395358143257</v>
      </c>
      <c r="D234" s="25" t="n">
        <f aca="false">(ABS(D77-F77)/D77)*100</f>
        <v>1.56824401114914</v>
      </c>
      <c r="E234" s="23"/>
      <c r="F234" s="25" t="n">
        <f aca="false">(ABS(C77-G77)/C77)*100</f>
        <v>0</v>
      </c>
      <c r="G234" s="25" t="n">
        <f aca="false">(ABS(D77-H77)/D77)*100</f>
        <v>0</v>
      </c>
      <c r="H234" s="23"/>
    </row>
    <row r="235" customFormat="false" ht="15" hidden="false" customHeight="false" outlineLevel="0" collapsed="false">
      <c r="A235" s="7"/>
      <c r="B235" s="25" t="n">
        <v>74</v>
      </c>
      <c r="C235" s="11" t="n">
        <f aca="false">(ABS(C78-E78)/C78)*100</f>
        <v>99.7991161108879</v>
      </c>
      <c r="D235" s="25" t="n">
        <f aca="false">(ABS(D78-F78)/D78)*100</f>
        <v>1.57703271517545</v>
      </c>
      <c r="E235" s="23"/>
      <c r="F235" s="25" t="n">
        <f aca="false">(ABS(C78-G78)/C78)*100</f>
        <v>0.0401767778224186</v>
      </c>
      <c r="G235" s="25" t="n">
        <f aca="false">(ABS(D78-H78)/D78)*100</f>
        <v>0.000634876294354045</v>
      </c>
      <c r="H235" s="23"/>
    </row>
    <row r="236" customFormat="false" ht="15" hidden="false" customHeight="false" outlineLevel="0" collapsed="false">
      <c r="A236" s="7"/>
      <c r="B236" s="25" t="n">
        <v>75</v>
      </c>
      <c r="C236" s="11" t="n">
        <f aca="false">(ABS(C79-E79)/C79)*100</f>
        <v>95.8449860167799</v>
      </c>
      <c r="D236" s="25" t="n">
        <f aca="false">(ABS(D79-F79)/D79)*100</f>
        <v>1.52320361657682</v>
      </c>
      <c r="E236" s="23"/>
      <c r="F236" s="25" t="n">
        <f aca="false">(ABS(C79-G79)/C79)*100</f>
        <v>0.0799041150619257</v>
      </c>
      <c r="G236" s="25" t="n">
        <f aca="false">(ABS(D79-H79)/D79)*100</f>
        <v>0.00126986545775475</v>
      </c>
      <c r="H236" s="23"/>
    </row>
    <row r="237" customFormat="false" ht="15" hidden="false" customHeight="false" outlineLevel="0" collapsed="false">
      <c r="A237" s="7"/>
      <c r="B237" s="25" t="n">
        <v>76</v>
      </c>
      <c r="C237" s="11" t="n">
        <f aca="false">(ABS(C80-E80)/C80)*100</f>
        <v>99.56</v>
      </c>
      <c r="D237" s="25" t="n">
        <f aca="false">(ABS(D80-F80)/D80)*100</f>
        <v>1.58031746031746</v>
      </c>
      <c r="E237" s="23"/>
      <c r="F237" s="25" t="n">
        <f aca="false">(ABS(C80-G80)/C80)*100</f>
        <v>0</v>
      </c>
      <c r="G237" s="25" t="n">
        <f aca="false">(ABS(D80-H80)/D80)*100</f>
        <v>0</v>
      </c>
      <c r="H237" s="23"/>
    </row>
    <row r="238" customFormat="false" ht="15" hidden="false" customHeight="false" outlineLevel="0" collapsed="false">
      <c r="A238" s="7"/>
      <c r="B238" s="25" t="n">
        <v>77</v>
      </c>
      <c r="C238" s="11" t="n">
        <f aca="false">(ABS(C81-E81)/C81)*100</f>
        <v>98.6459577857427</v>
      </c>
      <c r="D238" s="25" t="n">
        <f aca="false">(ABS(D81-F81)/D81)*100</f>
        <v>1.57280825962448</v>
      </c>
      <c r="E238" s="23"/>
      <c r="F238" s="25" t="n">
        <f aca="false">(ABS(C81-G81)/C81)*100</f>
        <v>0.0398247710075667</v>
      </c>
      <c r="G238" s="25" t="n">
        <f aca="false">(ABS(D81-H81)/D81)*100</f>
        <v>0.00063496498168126</v>
      </c>
      <c r="H238" s="23"/>
    </row>
    <row r="239" customFormat="false" ht="15" hidden="false" customHeight="false" outlineLevel="0" collapsed="false">
      <c r="A239" s="7"/>
      <c r="B239" s="25" t="n">
        <v>78</v>
      </c>
      <c r="C239" s="11" t="n">
        <f aca="false">(ABS(C82-E82)/C82)*100</f>
        <v>86.8074930251096</v>
      </c>
      <c r="D239" s="25" t="n">
        <f aca="false">(ABS(D82-F82)/D82)*100</f>
        <v>1.38293616778102</v>
      </c>
      <c r="E239" s="23"/>
      <c r="F239" s="25" t="n">
        <f aca="false">(ABS(C82-G82)/C82)*100</f>
        <v>0.0797130330809087</v>
      </c>
      <c r="G239" s="25" t="n">
        <f aca="false">(ABS(D82-H82)/D82)*100</f>
        <v>0.0012699138363462</v>
      </c>
      <c r="H239" s="23"/>
    </row>
    <row r="240" customFormat="false" ht="15" hidden="false" customHeight="false" outlineLevel="0" collapsed="false">
      <c r="A240" s="7"/>
      <c r="B240" s="25" t="n">
        <v>79</v>
      </c>
      <c r="C240" s="11" t="n">
        <f aca="false">(ABS(C83-E83)/C83)*100</f>
        <v>92.1366163621922</v>
      </c>
      <c r="D240" s="25" t="n">
        <f aca="false">(ABS(D83-F83)/D83)*100</f>
        <v>1.47318423692866</v>
      </c>
      <c r="E240" s="23"/>
      <c r="F240" s="25" t="n">
        <f aca="false">(ABS(C83-G83)/C83)*100</f>
        <v>0.039714058776807</v>
      </c>
      <c r="G240" s="25" t="n">
        <f aca="false">(ABS(D83-H83)/D83)*100</f>
        <v>0.0006349932055727</v>
      </c>
      <c r="H240" s="23"/>
    </row>
    <row r="241" customFormat="false" ht="15" hidden="false" customHeight="false" outlineLevel="0" collapsed="false">
      <c r="A241" s="7"/>
      <c r="B241" s="25" t="n">
        <v>80</v>
      </c>
      <c r="C241" s="11" t="n">
        <f aca="false">(ABS(C84-E84)/C84)*100</f>
        <v>95.3081510934394</v>
      </c>
      <c r="D241" s="25" t="n">
        <f aca="false">(ABS(D84-F84)/D84)*100</f>
        <v>1.52204971902086</v>
      </c>
      <c r="E241" s="23"/>
      <c r="F241" s="25" t="n">
        <f aca="false">(ABS(C84-G84)/C84)*100</f>
        <v>0</v>
      </c>
      <c r="G241" s="25" t="n">
        <f aca="false">(ABS(D84-H84)/D84)*100</f>
        <v>0</v>
      </c>
      <c r="H241" s="23"/>
    </row>
    <row r="242" customFormat="false" ht="15" hidden="false" customHeight="false" outlineLevel="0" collapsed="false">
      <c r="A242" s="7"/>
      <c r="B242" s="25" t="n">
        <v>81</v>
      </c>
      <c r="C242" s="11" t="n">
        <f aca="false">(ABS(C85-E85)/C85)*100</f>
        <v>97.934868943606</v>
      </c>
      <c r="D242" s="25" t="n">
        <f aca="false">(ABS(D85-F85)/D85)*100</f>
        <v>1.56589324494228</v>
      </c>
      <c r="E242" s="23"/>
      <c r="F242" s="25" t="n">
        <f aca="false">(ABS(C85-G85)/C85)*100</f>
        <v>0.039714058776807</v>
      </c>
      <c r="G242" s="25" t="n">
        <f aca="false">(ABS(D85-H85)/D85)*100</f>
        <v>0.0006349932055727</v>
      </c>
      <c r="H242" s="23"/>
    </row>
    <row r="243" customFormat="false" ht="15" hidden="false" customHeight="false" outlineLevel="0" collapsed="false">
      <c r="A243" s="7"/>
      <c r="B243" s="25" t="n">
        <v>82</v>
      </c>
      <c r="C243" s="11" t="n">
        <f aca="false">(ABS(C86-E86)/C86)*100</f>
        <v>96.004746835443</v>
      </c>
      <c r="D243" s="25" t="n">
        <f aca="false">(ABS(D86-F86)/D86)*100</f>
        <v>1.54122637675269</v>
      </c>
      <c r="E243" s="23"/>
      <c r="F243" s="25" t="n">
        <f aca="false">(ABS(C86-G86)/C86)*100</f>
        <v>0.0791139240506329</v>
      </c>
      <c r="G243" s="25" t="n">
        <f aca="false">(ABS(D86-H86)/D86)*100</f>
        <v>0.00127006705954074</v>
      </c>
      <c r="H243" s="23"/>
    </row>
    <row r="244" customFormat="false" ht="15" hidden="false" customHeight="false" outlineLevel="0" collapsed="false">
      <c r="A244" s="7"/>
      <c r="B244" s="25" t="n">
        <v>83</v>
      </c>
      <c r="C244" s="11" t="n">
        <f aca="false">(ABS(C87-E87)/C87)*100</f>
        <v>90.1806755695208</v>
      </c>
      <c r="D244" s="25" t="n">
        <f aca="false">(ABS(D87-F87)/D87)*100</f>
        <v>1.45820366583256</v>
      </c>
      <c r="E244" s="23"/>
      <c r="F244" s="25" t="n">
        <f aca="false">(ABS(C87-G87)/C87)*100</f>
        <v>0.0392772977219167</v>
      </c>
      <c r="G244" s="25" t="n">
        <f aca="false">(ABS(D87-H87)/D87)*100</f>
        <v>0.000635106126233694</v>
      </c>
      <c r="H244" s="23"/>
    </row>
    <row r="245" customFormat="false" ht="15" hidden="false" customHeight="false" outlineLevel="0" collapsed="false">
      <c r="A245" s="7"/>
      <c r="B245" s="25" t="n">
        <v>84</v>
      </c>
      <c r="C245" s="11" t="n">
        <f aca="false">(ABS(C88-E88)/C88)*100</f>
        <v>99.6487119437939</v>
      </c>
      <c r="D245" s="25" t="n">
        <f aca="false">(ABS(D88-F88)/D88)*100</f>
        <v>1.62159072142685</v>
      </c>
      <c r="E245" s="23"/>
      <c r="F245" s="25" t="n">
        <f aca="false">(ABS(C88-G88)/C88)*100</f>
        <v>0.078064012490242</v>
      </c>
      <c r="G245" s="25" t="n">
        <f aca="false">(ABS(D88-H88)/D88)*100</f>
        <v>0.00127034134071825</v>
      </c>
      <c r="H245" s="23"/>
    </row>
    <row r="246" customFormat="false" ht="15" hidden="false" customHeight="false" outlineLevel="0" collapsed="false">
      <c r="A246" s="7"/>
      <c r="B246" s="25" t="n">
        <v>85</v>
      </c>
      <c r="C246" s="11" t="n">
        <f aca="false">(ABS(C89-E89)/C89)*100</f>
        <v>99.6882307092751</v>
      </c>
      <c r="D246" s="25" t="n">
        <f aca="false">(ABS(D89-F89)/D89)*100</f>
        <v>1.62480785599045</v>
      </c>
      <c r="E246" s="23"/>
      <c r="F246" s="25" t="n">
        <f aca="false">(ABS(C89-G89)/C89)*100</f>
        <v>0.038971161340608</v>
      </c>
      <c r="G246" s="25" t="n">
        <f aca="false">(ABS(D89-H89)/D89)*100</f>
        <v>0.000635186808440362</v>
      </c>
      <c r="H246" s="23"/>
    </row>
    <row r="247" customFormat="false" ht="15" hidden="false" customHeight="false" outlineLevel="0" collapsed="false">
      <c r="A247" s="7"/>
      <c r="B247" s="25" t="n">
        <v>86</v>
      </c>
      <c r="C247" s="11" t="n">
        <f aca="false">(ABS(C90-E90)/C90)*100</f>
        <v>95.3768453768454</v>
      </c>
      <c r="D247" s="25" t="n">
        <f aca="false">(ABS(D90-F90)/D90)*100</f>
        <v>1.55946285873998</v>
      </c>
      <c r="E247" s="23"/>
      <c r="F247" s="25" t="n">
        <f aca="false">(ABS(C90-G90)/C90)*100</f>
        <v>0.0388500388500389</v>
      </c>
      <c r="G247" s="25" t="n">
        <f aca="false">(ABS(D90-H90)/D90)*100</f>
        <v>0.000635219087063128</v>
      </c>
      <c r="H247" s="23"/>
    </row>
    <row r="248" customFormat="false" ht="15" hidden="false" customHeight="false" outlineLevel="0" collapsed="false">
      <c r="A248" s="7"/>
      <c r="B248" s="25" t="n">
        <v>87</v>
      </c>
      <c r="C248" s="11" t="n">
        <f aca="false">(ABS(C91-E91)/C91)*100</f>
        <v>99.5359628770302</v>
      </c>
      <c r="D248" s="25" t="n">
        <f aca="false">(ABS(D91-F91)/D91)*100</f>
        <v>1.63517857369738</v>
      </c>
      <c r="E248" s="23"/>
      <c r="F248" s="25" t="n">
        <f aca="false">(ABS(C91-G91)/C91)*100</f>
        <v>0</v>
      </c>
      <c r="G248" s="25" t="n">
        <f aca="false">(ABS(D91-H91)/D91)*100</f>
        <v>0</v>
      </c>
      <c r="H248" s="23"/>
    </row>
    <row r="249" customFormat="false" ht="15" hidden="false" customHeight="false" outlineLevel="0" collapsed="false">
      <c r="A249" s="7"/>
      <c r="B249" s="25" t="n">
        <v>88</v>
      </c>
      <c r="C249" s="11" t="n">
        <f aca="false">(ABS(C92-E92)/C92)*100</f>
        <v>99.9227799227799</v>
      </c>
      <c r="D249" s="25" t="n">
        <f aca="false">(ABS(D92-F92)/D92)*100</f>
        <v>1.64411409694429</v>
      </c>
      <c r="E249" s="23"/>
      <c r="F249" s="25" t="n">
        <f aca="false">(ABS(C92-G92)/C92)*100</f>
        <v>0.0386100386100386</v>
      </c>
      <c r="G249" s="25" t="n">
        <f aca="false">(ABS(D92-H92)/D92)*100</f>
        <v>0.000635283654151579</v>
      </c>
      <c r="H249" s="23"/>
    </row>
    <row r="250" customFormat="false" ht="15" hidden="false" customHeight="false" outlineLevel="0" collapsed="false">
      <c r="A250" s="7"/>
      <c r="B250" s="25" t="n">
        <v>89</v>
      </c>
      <c r="C250" s="11" t="n">
        <f aca="false">(ABS(C93-E93)/C93)*100</f>
        <v>99.9236641221374</v>
      </c>
      <c r="D250" s="25" t="n">
        <f aca="false">(ABS(D93-F93)/D93)*100</f>
        <v>1.66348964290253</v>
      </c>
      <c r="E250" s="23"/>
      <c r="F250" s="25" t="n">
        <f aca="false">(ABS(C93-G93)/C93)*100</f>
        <v>0</v>
      </c>
      <c r="G250" s="25" t="n">
        <f aca="false">(ABS(D93-H93)/D93)*100</f>
        <v>0</v>
      </c>
      <c r="H250" s="23"/>
    </row>
    <row r="251" customFormat="false" ht="15" hidden="false" customHeight="false" outlineLevel="0" collapsed="false">
      <c r="A251" s="7"/>
      <c r="B251" s="25" t="n">
        <v>90</v>
      </c>
      <c r="C251" s="11" t="n">
        <f aca="false">(ABS(C94-E94)/C94)*100</f>
        <v>98.8623435722412</v>
      </c>
      <c r="D251" s="25" t="n">
        <f aca="false">(ABS(D94-F94)/D94)*100</f>
        <v>1.65667914312767</v>
      </c>
      <c r="E251" s="23"/>
      <c r="F251" s="25" t="n">
        <f aca="false">(ABS(C94-G94)/C94)*100</f>
        <v>0.0379218809252939</v>
      </c>
      <c r="G251" s="25" t="n">
        <f aca="false">(ABS(D94-H94)/D94)*100</f>
        <v>0.00063547339590628</v>
      </c>
      <c r="H251" s="23"/>
    </row>
    <row r="252" customFormat="false" ht="15" hidden="false" customHeight="false" outlineLevel="0" collapsed="false">
      <c r="A252" s="7"/>
      <c r="B252" s="25" t="n">
        <v>91</v>
      </c>
      <c r="C252" s="11" t="n">
        <f aca="false">(ABS(C95-E95)/C95)*100</f>
        <v>99.5847489618724</v>
      </c>
      <c r="D252" s="25" t="n">
        <f aca="false">(ABS(D95-F95)/D95)*100</f>
        <v>1.67650666344669</v>
      </c>
      <c r="E252" s="23"/>
      <c r="F252" s="25" t="n">
        <f aca="false">(ABS(C95-G95)/C95)*100</f>
        <v>0.264250660626652</v>
      </c>
      <c r="G252" s="25" t="n">
        <f aca="false">(ABS(D95-H95)/D95)*100</f>
        <v>0.00444865301142033</v>
      </c>
      <c r="H252" s="23"/>
    </row>
    <row r="253" customFormat="false" ht="15" hidden="false" customHeight="false" outlineLevel="0" collapsed="false">
      <c r="A253" s="7"/>
      <c r="B253" s="25" t="n">
        <v>92</v>
      </c>
      <c r="C253" s="11" t="n">
        <f aca="false">(ABS(C96-E96)/C96)*100</f>
        <v>99.437148217636</v>
      </c>
      <c r="D253" s="25" t="n">
        <f aca="false">(ABS(D96-F96)/D96)*100</f>
        <v>1.68430419169288</v>
      </c>
      <c r="E253" s="23"/>
      <c r="F253" s="25" t="n">
        <f aca="false">(ABS(C96-G96)/C96)*100</f>
        <v>0.075046904315197</v>
      </c>
      <c r="G253" s="25" t="n">
        <f aca="false">(ABS(D96-H96)/D96)*100</f>
        <v>0.00127117297486255</v>
      </c>
      <c r="H253" s="23"/>
    </row>
    <row r="254" customFormat="false" ht="15" hidden="false" customHeight="false" outlineLevel="0" collapsed="false">
      <c r="A254" s="7"/>
      <c r="B254" s="25" t="n">
        <v>93</v>
      </c>
      <c r="C254" s="11" t="n">
        <f aca="false">(ABS(C97-E97)/C97)*100</f>
        <v>99.739970282318</v>
      </c>
      <c r="D254" s="25" t="n">
        <f aca="false">(ABS(D97-F97)/D97)*100</f>
        <v>1.70684262720269</v>
      </c>
      <c r="E254" s="23"/>
      <c r="F254" s="25" t="n">
        <f aca="false">(ABS(C97-G97)/C97)*100</f>
        <v>0.111441307578009</v>
      </c>
      <c r="G254" s="25" t="n">
        <f aca="false">(ABS(D97-H97)/D97)*100</f>
        <v>0.00190708673430468</v>
      </c>
      <c r="H254" s="23"/>
    </row>
    <row r="255" customFormat="false" ht="15" hidden="false" customHeight="false" outlineLevel="0" collapsed="false">
      <c r="A255" s="7"/>
      <c r="B255" s="25" t="n">
        <v>94</v>
      </c>
      <c r="C255" s="11" t="n">
        <f aca="false">(ABS(C98-E98)/C98)*100</f>
        <v>97.8715596330275</v>
      </c>
      <c r="D255" s="25" t="n">
        <f aca="false">(ABS(D98-F98)/D98)*100</f>
        <v>1.69575584167859</v>
      </c>
      <c r="E255" s="23"/>
      <c r="F255" s="25" t="n">
        <f aca="false">(ABS(C98-G98)/C98)*100</f>
        <v>0.073394495412844</v>
      </c>
      <c r="G255" s="25" t="n">
        <f aca="false">(ABS(D98-H98)/D98)*100</f>
        <v>0.00127165792401844</v>
      </c>
      <c r="H255" s="23"/>
    </row>
    <row r="256" customFormat="false" ht="15" hidden="false" customHeight="false" outlineLevel="0" collapsed="false">
      <c r="A256" s="7"/>
      <c r="B256" s="25" t="n">
        <v>95</v>
      </c>
      <c r="C256" s="11" t="n">
        <f aca="false">(ABS(C99-E99)/C99)*100</f>
        <v>99.7068523268597</v>
      </c>
      <c r="D256" s="25" t="n">
        <f aca="false">(ABS(D99-F99)/D99)*100</f>
        <v>1.73013460841477</v>
      </c>
      <c r="E256" s="23"/>
      <c r="F256" s="25" t="n">
        <f aca="false">(ABS(C99-G99)/C99)*100</f>
        <v>0.0366434591425431</v>
      </c>
      <c r="G256" s="25" t="n">
        <f aca="false">(ABS(D99-H99)/D99)*100</f>
        <v>0.00063584513355927</v>
      </c>
      <c r="H256" s="23"/>
    </row>
    <row r="257" customFormat="false" ht="15" hidden="false" customHeight="false" outlineLevel="0" collapsed="false">
      <c r="A257" s="7"/>
      <c r="B257" s="25" t="n">
        <v>96</v>
      </c>
      <c r="C257" s="11" t="n">
        <f aca="false">(ABS(C100-E100)/C100)*100</f>
        <v>91.7179023508137</v>
      </c>
      <c r="D257" s="25" t="n">
        <f aca="false">(ABS(D100-F100)/D100)*100</f>
        <v>1.6128724520622</v>
      </c>
      <c r="E257" s="23"/>
      <c r="F257" s="25" t="n">
        <f aca="false">(ABS(C100-G100)/C100)*100</f>
        <v>0.0723327305605787</v>
      </c>
      <c r="G257" s="25" t="n">
        <f aca="false">(ABS(D100-H100)/D100)*100</f>
        <v>0.00127198142907114</v>
      </c>
      <c r="H257" s="23"/>
    </row>
    <row r="258" customFormat="false" ht="15" hidden="false" customHeight="false" outlineLevel="0" collapsed="false">
      <c r="A258" s="7"/>
      <c r="B258" s="25" t="n">
        <v>97</v>
      </c>
      <c r="C258" s="11" t="n">
        <f aca="false">(ABS(C101-E101)/C101)*100</f>
        <v>97.918909221385</v>
      </c>
      <c r="D258" s="25" t="n">
        <f aca="false">(ABS(D101-F101)/D101)*100</f>
        <v>1.73586153816796</v>
      </c>
      <c r="E258" s="23"/>
      <c r="F258" s="25" t="n">
        <f aca="false">(ABS(C101-G101)/C101)*100</f>
        <v>0.035880875493362</v>
      </c>
      <c r="G258" s="25" t="n">
        <f aca="false">(ABS(D101-H101)/D101)*100</f>
        <v>0.000636079713509697</v>
      </c>
      <c r="H258" s="23"/>
    </row>
    <row r="259" customFormat="false" ht="15" hidden="false" customHeight="false" outlineLevel="0" collapsed="false">
      <c r="A259" s="7"/>
      <c r="B259" s="25" t="n">
        <v>98</v>
      </c>
      <c r="C259" s="11" t="n">
        <f aca="false">(ABS(C102-E102)/C102)*100</f>
        <v>97.9858657243816</v>
      </c>
      <c r="D259" s="25" t="n">
        <f aca="false">(ABS(D102-F102)/D102)*100</f>
        <v>1.76433161544824</v>
      </c>
      <c r="E259" s="23"/>
      <c r="F259" s="25" t="n">
        <f aca="false">(ABS(C102-G102)/C102)*100</f>
        <v>0.0706713780918728</v>
      </c>
      <c r="G259" s="25" t="n">
        <f aca="false">(ABS(D102-H102)/D102)*100</f>
        <v>0.00127250747598142</v>
      </c>
      <c r="H259" s="23"/>
    </row>
    <row r="260" customFormat="false" ht="15" hidden="false" customHeight="false" outlineLevel="0" collapsed="false">
      <c r="A260" s="7"/>
      <c r="B260" s="25" t="n">
        <v>99</v>
      </c>
      <c r="C260" s="11" t="n">
        <f aca="false">(ABS(C103-E103)/C103)*100</f>
        <v>88.2701009397842</v>
      </c>
      <c r="D260" s="25" t="n">
        <f aca="false">(ABS(D103-F103)/D103)*100</f>
        <v>1.6139810471784</v>
      </c>
      <c r="E260" s="23"/>
      <c r="F260" s="25" t="n">
        <f aca="false">(ABS(C103-G103)/C103)*100</f>
        <v>0.139227288548556</v>
      </c>
      <c r="G260" s="25" t="n">
        <f aca="false">(ABS(D103-H103)/D103)*100</f>
        <v>0.00254571143088075</v>
      </c>
      <c r="H260" s="23"/>
    </row>
    <row r="261" customFormat="false" ht="15" hidden="false" customHeight="false" outlineLevel="0" collapsed="false">
      <c r="A261" s="7"/>
      <c r="B261" s="25" t="n">
        <v>100</v>
      </c>
      <c r="C261" s="11" t="n">
        <f aca="false">(ABS(C104-E104)/C104)*100</f>
        <v>99.4847131569907</v>
      </c>
      <c r="D261" s="25" t="n">
        <f aca="false">(ABS(D104-F104)/D104)*100</f>
        <v>1.84354092266168</v>
      </c>
      <c r="E261" s="23"/>
      <c r="F261" s="25" t="n">
        <f aca="false">(ABS(C104-G104)/C104)*100</f>
        <v>0</v>
      </c>
      <c r="G261" s="25" t="n">
        <f aca="false">(ABS(D104-H104)/D104)*100</f>
        <v>0</v>
      </c>
      <c r="H261" s="23"/>
    </row>
    <row r="262" customFormat="false" ht="15" hidden="false" customHeight="false" outlineLevel="0" collapsed="false">
      <c r="A262" s="7"/>
      <c r="B262" s="25" t="n">
        <v>101</v>
      </c>
      <c r="C262" s="11" t="n">
        <f aca="false">(ABS(C105-E105)/C105)*100</f>
        <v>98.1657608695652</v>
      </c>
      <c r="D262" s="25" t="n">
        <f aca="false">(ABS(D105-F105)/D105)*100</f>
        <v>1.84010798696007</v>
      </c>
      <c r="E262" s="23"/>
      <c r="F262" s="25" t="n">
        <f aca="false">(ABS(C105-G105)/C105)*100</f>
        <v>0</v>
      </c>
      <c r="G262" s="25" t="n">
        <f aca="false">(ABS(D105-H105)/D105)*100</f>
        <v>0</v>
      </c>
      <c r="H262" s="23"/>
    </row>
    <row r="263" customFormat="false" ht="15" hidden="false" customHeight="false" outlineLevel="0" collapsed="false">
      <c r="A263" s="7"/>
      <c r="B263" s="25" t="n">
        <v>102</v>
      </c>
      <c r="C263" s="11" t="n">
        <f aca="false">(ABS(C106-E106)/C106)*100</f>
        <v>92.7927927927928</v>
      </c>
      <c r="D263" s="25" t="n">
        <f aca="false">(ABS(D106-F106)/D106)*100</f>
        <v>1.77130373304969</v>
      </c>
      <c r="E263" s="23"/>
      <c r="F263" s="25" t="n">
        <f aca="false">(ABS(C106-G106)/C106)*100</f>
        <v>0.0333667000333667</v>
      </c>
      <c r="G263" s="25" t="n">
        <f aca="false">(ABS(D106-H106)/D106)*100</f>
        <v>0.000636930504512653</v>
      </c>
      <c r="H263" s="23"/>
    </row>
    <row r="264" customFormat="false" ht="15" hidden="false" customHeight="false" outlineLevel="0" collapsed="false">
      <c r="A264" s="7"/>
      <c r="B264" s="25" t="n">
        <v>103</v>
      </c>
      <c r="C264" s="11" t="n">
        <f aca="false">(ABS(C107-E107)/C107)*100</f>
        <v>100</v>
      </c>
      <c r="D264" s="25" t="n">
        <f aca="false">(ABS(D107-F107)/D107)*100</f>
        <v>1.93744863308253</v>
      </c>
      <c r="E264" s="23"/>
      <c r="F264" s="25" t="n">
        <f aca="false">(ABS(C107-G107)/C107)*100</f>
        <v>0</v>
      </c>
      <c r="G264" s="25" t="n">
        <f aca="false">(ABS(D107-H107)/D107)*100</f>
        <v>0</v>
      </c>
      <c r="H264" s="23"/>
    </row>
    <row r="265" customFormat="false" ht="15" hidden="false" customHeight="false" outlineLevel="0" collapsed="false">
      <c r="A265" s="7"/>
      <c r="B265" s="25" t="n">
        <v>104</v>
      </c>
      <c r="C265" s="11" t="n">
        <f aca="false">(ABS(C108-E108)/C108)*100</f>
        <v>100</v>
      </c>
      <c r="D265" s="25" t="n">
        <f aca="false">(ABS(D108-F108)/D108)*100</f>
        <v>1.98683095045352</v>
      </c>
      <c r="E265" s="23"/>
      <c r="F265" s="25" t="n">
        <f aca="false">(ABS(C108-G108)/C108)*100</f>
        <v>0.160410651267244</v>
      </c>
      <c r="G265" s="25" t="n">
        <f aca="false">(ABS(D108-H108)/D108)*100</f>
        <v>0.00318708846720167</v>
      </c>
      <c r="H265" s="23"/>
    </row>
    <row r="266" customFormat="false" ht="15" hidden="false" customHeight="false" outlineLevel="0" collapsed="false">
      <c r="A266" s="7"/>
      <c r="B266" s="25" t="n">
        <v>105</v>
      </c>
      <c r="C266" s="11" t="n">
        <f aca="false">(ABS(C109-E109)/C109)*100</f>
        <v>100</v>
      </c>
      <c r="D266" s="25" t="n">
        <f aca="false">(ABS(D109-F109)/D109)*100</f>
        <v>2.02975442713481</v>
      </c>
      <c r="E266" s="23"/>
      <c r="F266" s="25" t="n">
        <f aca="false">(ABS(C109-G109)/C109)*100</f>
        <v>0</v>
      </c>
      <c r="G266" s="25" t="n">
        <f aca="false">(ABS(D109-H109)/D109)*100</f>
        <v>0</v>
      </c>
      <c r="H266" s="23"/>
    </row>
    <row r="267" customFormat="false" ht="15" hidden="false" customHeight="false" outlineLevel="0" collapsed="false">
      <c r="A267" s="7"/>
      <c r="B267" s="25" t="n">
        <v>106</v>
      </c>
      <c r="C267" s="11" t="n">
        <f aca="false">(ABS(C110-E110)/C110)*100</f>
        <v>99.6628869138829</v>
      </c>
      <c r="D267" s="25" t="n">
        <f aca="false">(ABS(D110-F110)/D110)*100</f>
        <v>2.07481322214921</v>
      </c>
      <c r="E267" s="23"/>
      <c r="F267" s="25" t="n">
        <f aca="false">(ABS(C110-G110)/C110)*100</f>
        <v>0.0612932883849218</v>
      </c>
      <c r="G267" s="25" t="n">
        <f aca="false">(ABS(D110-H110)/D110)*100</f>
        <v>0.00127602289185068</v>
      </c>
      <c r="H267" s="23"/>
    </row>
    <row r="268" customFormat="false" ht="15" hidden="false" customHeight="false" outlineLevel="0" collapsed="false">
      <c r="A268" s="7"/>
      <c r="B268" s="25" t="n">
        <v>107</v>
      </c>
      <c r="C268" s="11" t="n">
        <f aca="false">(ABS(C111-E111)/C111)*100</f>
        <v>98.8744075829384</v>
      </c>
      <c r="D268" s="25" t="n">
        <f aca="false">(ABS(D111-F111)/D111)*100</f>
        <v>2.13121871488405</v>
      </c>
      <c r="E268" s="23"/>
      <c r="F268" s="25" t="n">
        <f aca="false">(ABS(C111-G111)/C111)*100</f>
        <v>0.0592417061611374</v>
      </c>
      <c r="G268" s="25" t="n">
        <f aca="false">(ABS(D111-H111)/D111)*100</f>
        <v>0.00127694350801921</v>
      </c>
      <c r="H268" s="23"/>
    </row>
    <row r="269" customFormat="false" ht="15" hidden="false" customHeight="false" outlineLevel="0" collapsed="false">
      <c r="A269" s="7"/>
      <c r="B269" s="25" t="n">
        <v>108</v>
      </c>
      <c r="C269" s="11" t="n">
        <f aca="false">(ABS(C112-E112)/C112)*100</f>
        <v>99.5404939689833</v>
      </c>
      <c r="D269" s="25" t="n">
        <f aca="false">(ABS(D112-F112)/D112)*100</f>
        <v>2.21444178944275</v>
      </c>
      <c r="E269" s="23"/>
      <c r="F269" s="25" t="n">
        <f aca="false">(ABS(C112-G112)/C112)*100</f>
        <v>0.0861573808156232</v>
      </c>
      <c r="G269" s="25" t="n">
        <f aca="false">(ABS(D112-H112)/D112)*100</f>
        <v>0.00191671245479753</v>
      </c>
      <c r="H269" s="23"/>
    </row>
    <row r="270" customFormat="false" ht="15" hidden="false" customHeight="false" outlineLevel="0" collapsed="false">
      <c r="A270" s="7"/>
      <c r="B270" s="25" t="n">
        <v>109</v>
      </c>
      <c r="C270" s="11" t="n">
        <f aca="false">(ABS(C113-E113)/C113)*100</f>
        <v>99.1847826086957</v>
      </c>
      <c r="D270" s="25" t="n">
        <f aca="false">(ABS(D113-F113)/D113)*100</f>
        <v>2.3349539406346</v>
      </c>
      <c r="E270" s="23"/>
      <c r="F270" s="25" t="n">
        <f aca="false">(ABS(C113-G113)/C113)*100</f>
        <v>0</v>
      </c>
      <c r="G270" s="25" t="n">
        <f aca="false">(ABS(D113-H113)/D113)*100</f>
        <v>0</v>
      </c>
      <c r="H270" s="23"/>
    </row>
    <row r="271" customFormat="false" ht="15" hidden="false" customHeight="false" outlineLevel="0" collapsed="false">
      <c r="A271" s="7"/>
      <c r="B271" s="25" t="n">
        <v>110</v>
      </c>
      <c r="C271" s="11" t="n">
        <f aca="false">(ABS(C114-E114)/C114)*100</f>
        <v>99.66251298027</v>
      </c>
      <c r="D271" s="25" t="n">
        <f aca="false">(ABS(D114-F114)/D114)*100</f>
        <v>2.45856495120014</v>
      </c>
      <c r="E271" s="23"/>
      <c r="F271" s="25" t="n">
        <f aca="false">(ABS(C114-G114)/C114)*100</f>
        <v>0.0778816199376947</v>
      </c>
      <c r="G271" s="25" t="n">
        <f aca="false">(ABS(D114-H114)/D114)*100</f>
        <v>0.00192125419473833</v>
      </c>
      <c r="H271" s="23"/>
    </row>
    <row r="272" customFormat="false" ht="15" hidden="false" customHeight="false" outlineLevel="0" collapsed="false">
      <c r="A272" s="7"/>
      <c r="B272" s="25" t="n">
        <v>111</v>
      </c>
      <c r="C272" s="11" t="n">
        <f aca="false">(ABS(C115-E115)/C115)*100</f>
        <v>99.7476659096644</v>
      </c>
      <c r="D272" s="25" t="n">
        <f aca="false">(ABS(D115-F115)/D115)*100</f>
        <v>2.53337349474804</v>
      </c>
      <c r="E272" s="23"/>
      <c r="F272" s="25" t="n">
        <f aca="false">(ABS(C115-G115)/C115)*100</f>
        <v>0.0252334090335604</v>
      </c>
      <c r="G272" s="25" t="n">
        <f aca="false">(ABS(D115-H115)/D115)*100</f>
        <v>0.000640873638944609</v>
      </c>
      <c r="H272" s="23"/>
    </row>
    <row r="273" customFormat="false" ht="15" hidden="false" customHeight="false" outlineLevel="0" collapsed="false">
      <c r="A273" s="7"/>
      <c r="B273" s="25" t="n">
        <v>112</v>
      </c>
      <c r="C273" s="11" t="n">
        <f aca="false">(ABS(C116-E116)/C116)*100</f>
        <v>99.2844806316309</v>
      </c>
      <c r="D273" s="25" t="n">
        <f aca="false">(ABS(D116-F116)/D116)*100</f>
        <v>2.58036384156156</v>
      </c>
      <c r="E273" s="23"/>
      <c r="F273" s="25" t="n">
        <f aca="false">(ABS(C116-G116)/C116)*100</f>
        <v>0.074019245003701</v>
      </c>
      <c r="G273" s="25" t="n">
        <f aca="false">(ABS(D116-H116)/D116)*100</f>
        <v>0.00192373049818207</v>
      </c>
      <c r="H273" s="23"/>
    </row>
    <row r="274" customFormat="false" ht="15" hidden="false" customHeight="false" outlineLevel="0" collapsed="false">
      <c r="A274" s="7"/>
      <c r="B274" s="25" t="n">
        <v>113</v>
      </c>
      <c r="C274" s="11" t="n">
        <f aca="false">(ABS(C117-E117)/C117)*100</f>
        <v>99.4416120417577</v>
      </c>
      <c r="D274" s="25" t="n">
        <f aca="false">(ABS(D117-F117)/D117)*100</f>
        <v>2.62764544748879</v>
      </c>
      <c r="E274" s="23"/>
      <c r="F274" s="25" t="n">
        <f aca="false">(ABS(C117-G117)/C117)*100</f>
        <v>0.097110949259529</v>
      </c>
      <c r="G274" s="25" t="n">
        <f aca="false">(ABS(D117-H117)/D117)*100</f>
        <v>0.00256606000731327</v>
      </c>
      <c r="H274" s="23"/>
    </row>
    <row r="275" customFormat="false" ht="15" hidden="false" customHeight="false" outlineLevel="0" collapsed="false">
      <c r="A275" s="7"/>
      <c r="B275" s="25" t="n">
        <v>114</v>
      </c>
      <c r="C275" s="11" t="n">
        <f aca="false">(ABS(C118-E118)/C118)*100</f>
        <v>99.6380308880309</v>
      </c>
      <c r="D275" s="25" t="n">
        <f aca="false">(ABS(D118-F118)/D118)*100</f>
        <v>2.64924032440201</v>
      </c>
      <c r="E275" s="23"/>
      <c r="F275" s="25" t="n">
        <f aca="false">(ABS(C118-G118)/C118)*100</f>
        <v>0.120656370656371</v>
      </c>
      <c r="G275" s="25" t="n">
        <f aca="false">(ABS(D118-H118)/D118)*100</f>
        <v>0.00320808951852993</v>
      </c>
      <c r="H275" s="23"/>
    </row>
    <row r="276" customFormat="false" ht="15" hidden="false" customHeight="false" outlineLevel="0" collapsed="false">
      <c r="A276" s="7"/>
      <c r="B276" s="25" t="n">
        <v>115</v>
      </c>
      <c r="C276" s="11" t="n">
        <f aca="false">(ABS(C119-E119)/C119)*100</f>
        <v>98.9453499520614</v>
      </c>
      <c r="D276" s="25" t="n">
        <f aca="false">(ABS(D119-F119)/D119)*100</f>
        <v>2.64907462073568</v>
      </c>
      <c r="E276" s="23"/>
      <c r="F276" s="25" t="n">
        <f aca="false">(ABS(C119-G119)/C119)*100</f>
        <v>0.0719079578139981</v>
      </c>
      <c r="G276" s="25" t="n">
        <f aca="false">(ABS(D119-H119)/D119)*100</f>
        <v>0.00192519957902303</v>
      </c>
      <c r="H276" s="23"/>
    </row>
    <row r="277" customFormat="false" ht="15" hidden="false" customHeight="false" outlineLevel="0" collapsed="false">
      <c r="A277" s="7"/>
      <c r="B277" s="25" t="n">
        <v>116</v>
      </c>
      <c r="C277" s="11" t="n">
        <f aca="false">(ABS(C120-E120)/C120)*100</f>
        <v>99.8332539304431</v>
      </c>
      <c r="D277" s="25" t="n">
        <f aca="false">(ABS(D120-F120)/D120)*100</f>
        <v>2.68995263218701</v>
      </c>
      <c r="E277" s="23"/>
      <c r="F277" s="25" t="n">
        <f aca="false">(ABS(C120-G120)/C120)*100</f>
        <v>0.0238208670795617</v>
      </c>
      <c r="G277" s="25" t="n">
        <f aca="false">(ABS(D120-H120)/D120)*100</f>
        <v>0.000641840284463614</v>
      </c>
      <c r="H277" s="23"/>
    </row>
    <row r="278" customFormat="false" ht="15" hidden="false" customHeight="false" outlineLevel="0" collapsed="false">
      <c r="A278" s="7"/>
      <c r="B278" s="25" t="n">
        <v>117</v>
      </c>
      <c r="C278" s="11" t="n">
        <f aca="false">(ABS(C121-E121)/C121)*100</f>
        <v>98.4520123839009</v>
      </c>
      <c r="D278" s="25" t="n">
        <f aca="false">(ABS(D121-F121)/D121)*100</f>
        <v>2.65338476646491</v>
      </c>
      <c r="E278" s="23"/>
      <c r="F278" s="25" t="n">
        <f aca="false">(ABS(C121-G121)/C121)*100</f>
        <v>0</v>
      </c>
      <c r="G278" s="25" t="n">
        <f aca="false">(ABS(D121-H121)/D121)*100</f>
        <v>0</v>
      </c>
      <c r="H278" s="23"/>
    </row>
    <row r="279" customFormat="false" ht="15" hidden="false" customHeight="false" outlineLevel="0" collapsed="false">
      <c r="A279" s="7"/>
      <c r="B279" s="25" t="n">
        <v>118</v>
      </c>
      <c r="C279" s="11" t="n">
        <f aca="false">(ABS(C122-E122)/C122)*100</f>
        <v>96.4781983708673</v>
      </c>
      <c r="D279" s="25" t="n">
        <f aca="false">(ABS(D122-F122)/D122)*100</f>
        <v>2.5842927367705</v>
      </c>
      <c r="E279" s="23"/>
      <c r="F279" s="25" t="n">
        <f aca="false">(ABS(C122-G122)/C122)*100</f>
        <v>0.0718735026353618</v>
      </c>
      <c r="G279" s="25" t="n">
        <f aca="false">(ABS(D122-H122)/D122)*100</f>
        <v>0.00192522428862963</v>
      </c>
      <c r="H279" s="23"/>
    </row>
    <row r="280" customFormat="false" ht="15" hidden="false" customHeight="false" outlineLevel="0" collapsed="false">
      <c r="A280" s="7"/>
      <c r="B280" s="25" t="n">
        <v>119</v>
      </c>
      <c r="C280" s="11" t="n">
        <f aca="false">(ABS(C123-E123)/C123)*100</f>
        <v>99.7833935018051</v>
      </c>
      <c r="D280" s="25" t="n">
        <f aca="false">(ABS(D123-F123)/D123)*100</f>
        <v>2.66033558984889</v>
      </c>
      <c r="E280" s="23"/>
      <c r="F280" s="25" t="n">
        <f aca="false">(ABS(C123-G123)/C123)*100</f>
        <v>0.0962695547533093</v>
      </c>
      <c r="G280" s="25" t="n">
        <f aca="false">(ABS(D123-H123)/D123)*100</f>
        <v>0.0025666527639642</v>
      </c>
      <c r="H280" s="23"/>
    </row>
    <row r="281" customFormat="false" ht="15" hidden="false" customHeight="false" outlineLevel="0" collapsed="false">
      <c r="A281" s="7"/>
      <c r="B281" s="25" t="n">
        <v>120</v>
      </c>
      <c r="C281" s="11" t="n">
        <f aca="false">(ABS(C124-E124)/C124)*100</f>
        <v>99.6129656507015</v>
      </c>
      <c r="D281" s="25" t="n">
        <f aca="false">(ABS(D124-F124)/D124)*100</f>
        <v>2.64201301117627</v>
      </c>
      <c r="E281" s="23"/>
      <c r="F281" s="25" t="n">
        <f aca="false">(ABS(C124-G124)/C124)*100</f>
        <v>0.0483792936623125</v>
      </c>
      <c r="G281" s="25" t="n">
        <f aca="false">(ABS(D124-H124)/D124)*100</f>
        <v>0.0012831534779875</v>
      </c>
      <c r="H281" s="23"/>
    </row>
    <row r="282" customFormat="false" ht="15" hidden="false" customHeight="false" outlineLevel="0" collapsed="false">
      <c r="A282" s="7"/>
      <c r="B282" s="25" t="n">
        <v>121</v>
      </c>
      <c r="C282" s="11" t="n">
        <f aca="false">(ABS(C125-E125)/C125)*100</f>
        <v>98.2682926829268</v>
      </c>
      <c r="D282" s="25" t="n">
        <f aca="false">(ABS(D125-F125)/D125)*100</f>
        <v>2.58434894162925</v>
      </c>
      <c r="E282" s="23"/>
      <c r="F282" s="25" t="n">
        <f aca="false">(ABS(C125-G125)/C125)*100</f>
        <v>0.024390243902439</v>
      </c>
      <c r="G282" s="25" t="n">
        <f aca="false">(ABS(D125-H125)/D125)*100</f>
        <v>0.00064143681847338</v>
      </c>
      <c r="H282" s="23"/>
    </row>
    <row r="283" customFormat="false" ht="15" hidden="false" customHeight="false" outlineLevel="0" collapsed="false">
      <c r="A283" s="7"/>
      <c r="B283" s="25" t="n">
        <v>122</v>
      </c>
      <c r="C283" s="11" t="n">
        <f aca="false">(ABS(C126-E126)/C126)*100</f>
        <v>99.9257241891557</v>
      </c>
      <c r="D283" s="25" t="n">
        <f aca="false">(ABS(D126-F126)/D126)*100</f>
        <v>2.58782644379044</v>
      </c>
      <c r="E283" s="23"/>
      <c r="F283" s="25" t="n">
        <f aca="false">(ABS(C126-G126)/C126)*100</f>
        <v>0.0247586036147561</v>
      </c>
      <c r="G283" s="25" t="n">
        <f aca="false">(ABS(D126-H126)/D126)*100</f>
        <v>0.000641185937510019</v>
      </c>
      <c r="H283" s="23"/>
    </row>
    <row r="284" customFormat="false" ht="15" hidden="false" customHeight="false" outlineLevel="0" collapsed="false">
      <c r="A284" s="7"/>
      <c r="B284" s="25" t="n">
        <v>123</v>
      </c>
      <c r="C284" s="11" t="n">
        <f aca="false">(ABS(C127-E127)/C127)*100</f>
        <v>99.5747873936969</v>
      </c>
      <c r="D284" s="25" t="n">
        <f aca="false">(ABS(D127-F127)/D127)*100</f>
        <v>2.55189036038</v>
      </c>
      <c r="E284" s="23"/>
      <c r="F284" s="25" t="n">
        <f aca="false">(ABS(C127-G127)/C127)*100</f>
        <v>0.0250125062531266</v>
      </c>
      <c r="G284" s="25" t="n">
        <f aca="false">(ABS(D127-H127)/D127)*100</f>
        <v>0.000641017422853553</v>
      </c>
      <c r="H284" s="23"/>
    </row>
    <row r="285" customFormat="false" ht="15" hidden="false" customHeight="false" outlineLevel="0" collapsed="false">
      <c r="A285" s="7"/>
      <c r="B285" s="25" t="n">
        <v>124</v>
      </c>
      <c r="C285" s="11" t="n">
        <f aca="false">(ABS(C128-E128)/C128)*100</f>
        <v>97.9134860050891</v>
      </c>
      <c r="D285" s="25" t="n">
        <f aca="false">(ABS(D128-F128)/D128)*100</f>
        <v>2.46556032549497</v>
      </c>
      <c r="E285" s="23"/>
      <c r="F285" s="25" t="n">
        <f aca="false">(ABS(C128-G128)/C128)*100</f>
        <v>0.0508905852417303</v>
      </c>
      <c r="G285" s="25" t="n">
        <f aca="false">(ABS(D128-H128)/D128)*100</f>
        <v>0.00128147626065227</v>
      </c>
      <c r="H285" s="23"/>
    </row>
    <row r="286" customFormat="false" ht="15" hidden="false" customHeight="false" outlineLevel="0" collapsed="false">
      <c r="A286" s="7"/>
      <c r="B286" s="25" t="n">
        <v>125</v>
      </c>
      <c r="C286" s="11" t="n">
        <f aca="false">(ABS(C129-E129)/C129)*100</f>
        <v>99.6098829648895</v>
      </c>
      <c r="D286" s="25" t="n">
        <f aca="false">(ABS(D129-F129)/D129)*100</f>
        <v>2.45269123627165</v>
      </c>
      <c r="E286" s="23"/>
      <c r="F286" s="25" t="n">
        <f aca="false">(ABS(C129-G129)/C129)*100</f>
        <v>0.0520156046814044</v>
      </c>
      <c r="G286" s="25" t="n">
        <f aca="false">(ABS(D129-H129)/D129)*100</f>
        <v>0.00128077871345778</v>
      </c>
      <c r="H286" s="23"/>
    </row>
    <row r="287" customFormat="false" ht="15" hidden="false" customHeight="false" outlineLevel="0" collapsed="false">
      <c r="A287" s="7"/>
      <c r="B287" s="25" t="n">
        <v>126</v>
      </c>
      <c r="C287" s="11" t="n">
        <f aca="false">(ABS(C130-E130)/C130)*100</f>
        <v>47.0900876959872</v>
      </c>
      <c r="D287" s="25" t="n">
        <f aca="false">(ABS(D130-F130)/D130)*100</f>
        <v>1.13417436330703</v>
      </c>
      <c r="E287" s="23"/>
      <c r="F287" s="25" t="n">
        <f aca="false">(ABS(C130-G130)/C130)*100</f>
        <v>0</v>
      </c>
      <c r="G287" s="25" t="n">
        <f aca="false">(ABS(D130-H130)/D130)*100</f>
        <v>0</v>
      </c>
      <c r="H287" s="23"/>
    </row>
    <row r="288" customFormat="false" ht="15" hidden="false" customHeight="false" outlineLevel="0" collapsed="false">
      <c r="A288" s="7"/>
      <c r="B288" s="25" t="n">
        <v>127</v>
      </c>
      <c r="C288" s="11" t="n">
        <f aca="false">(ABS(C131-E131)/C131)*100</f>
        <v>99.6731135930264</v>
      </c>
      <c r="D288" s="25" t="n">
        <f aca="false">(ABS(D131-F131)/D131)*100</f>
        <v>2.34057660446878</v>
      </c>
      <c r="E288" s="23"/>
      <c r="F288" s="25" t="n">
        <f aca="false">(ABS(C131-G131)/C131)*100</f>
        <v>0.381367474802506</v>
      </c>
      <c r="G288" s="25" t="n">
        <f aca="false">(ABS(D131-H131)/D131)*100</f>
        <v>0.00895547211329952</v>
      </c>
      <c r="H288" s="23"/>
    </row>
    <row r="289" customFormat="false" ht="15" hidden="false" customHeight="false" outlineLevel="0" collapsed="false">
      <c r="A289" s="7"/>
      <c r="B289" s="25" t="n">
        <v>128</v>
      </c>
      <c r="C289" s="11" t="n">
        <f aca="false">(ABS(C132-E132)/C132)*100</f>
        <v>99.916224518291</v>
      </c>
      <c r="D289" s="25" t="n">
        <f aca="false">(ABS(D132-F132)/D132)*100</f>
        <v>2.28744589851617</v>
      </c>
      <c r="E289" s="23"/>
      <c r="F289" s="25" t="n">
        <f aca="false">(ABS(C132-G132)/C132)*100</f>
        <v>0.0558503211393466</v>
      </c>
      <c r="G289" s="25" t="n">
        <f aca="false">(ABS(D132-H132)/D132)*100</f>
        <v>0.0012786170478011</v>
      </c>
      <c r="H289" s="23"/>
    </row>
    <row r="290" customFormat="false" ht="15" hidden="false" customHeight="false" outlineLevel="0" collapsed="false">
      <c r="A290" s="7"/>
      <c r="B290" s="25" t="n">
        <v>129</v>
      </c>
      <c r="C290" s="11" t="n">
        <f aca="false">(ABS(C133-E133)/C133)*100</f>
        <v>99.7988505747127</v>
      </c>
      <c r="D290" s="25" t="n">
        <f aca="false">(ABS(D133-F133)/D133)*100</f>
        <v>2.21888576539739</v>
      </c>
      <c r="E290" s="23"/>
      <c r="F290" s="25" t="n">
        <f aca="false">(ABS(C133-G133)/C133)*100</f>
        <v>0.14367816091954</v>
      </c>
      <c r="G290" s="25" t="n">
        <f aca="false">(ABS(D133-H133)/D133)*100</f>
        <v>0.00319447993866599</v>
      </c>
      <c r="H290" s="23"/>
    </row>
    <row r="291" customFormat="false" ht="15" hidden="false" customHeight="false" outlineLevel="0" collapsed="false">
      <c r="A291" s="7"/>
      <c r="B291" s="25" t="n">
        <v>130</v>
      </c>
      <c r="C291" s="11" t="n">
        <f aca="false">(ABS(C134-E134)/C134)*100</f>
        <v>68.900088941595</v>
      </c>
      <c r="D291" s="25" t="n">
        <f aca="false">(ABS(D134-F134)/D134)*100</f>
        <v>1.48377993577097</v>
      </c>
      <c r="E291" s="23"/>
      <c r="F291" s="25" t="n">
        <f aca="false">(ABS(C134-G134)/C134)*100</f>
        <v>0</v>
      </c>
      <c r="G291" s="25" t="n">
        <f aca="false">(ABS(D134-H134)/D134)*100</f>
        <v>0</v>
      </c>
      <c r="H291" s="23"/>
    </row>
    <row r="292" customFormat="false" ht="15" hidden="false" customHeight="false" outlineLevel="0" collapsed="false">
      <c r="A292" s="7"/>
      <c r="B292" s="25" t="n">
        <v>131</v>
      </c>
      <c r="C292" s="11" t="n">
        <f aca="false">(ABS(C135-E135)/C135)*100</f>
        <v>99.9390243902439</v>
      </c>
      <c r="D292" s="25" t="n">
        <f aca="false">(ABS(D135-F135)/D135)*100</f>
        <v>2.09162838182746</v>
      </c>
      <c r="E292" s="23"/>
      <c r="F292" s="25" t="n">
        <f aca="false">(ABS(C135-G135)/C135)*100</f>
        <v>0.335365853658537</v>
      </c>
      <c r="G292" s="25" t="n">
        <f aca="false">(ABS(D135-H135)/D135)*100</f>
        <v>0.00701888718734048</v>
      </c>
      <c r="H292" s="23"/>
    </row>
    <row r="293" customFormat="false" ht="15" hidden="false" customHeight="false" outlineLevel="0" collapsed="false">
      <c r="A293" s="7"/>
      <c r="B293" s="25" t="n">
        <v>132</v>
      </c>
      <c r="C293" s="11" t="n">
        <f aca="false">(ABS(C136-E136)/C136)*100</f>
        <v>100</v>
      </c>
      <c r="D293" s="25" t="n">
        <f aca="false">(ABS(D136-F136)/D136)*100</f>
        <v>2.01349128422234</v>
      </c>
      <c r="E293" s="23"/>
      <c r="F293" s="25" t="n">
        <f aca="false">(ABS(C136-G136)/C136)*100</f>
        <v>0.0316656111462951</v>
      </c>
      <c r="G293" s="25" t="n">
        <f aca="false">(ABS(D136-H136)/D136)*100</f>
        <v>0.00063758432052639</v>
      </c>
      <c r="H293" s="23"/>
    </row>
    <row r="294" customFormat="false" ht="15" hidden="false" customHeight="false" outlineLevel="0" collapsed="false">
      <c r="A294" s="7"/>
      <c r="B294" s="25" t="n">
        <v>133</v>
      </c>
      <c r="C294" s="11" t="n">
        <f aca="false">(ABS(C137-E137)/C137)*100</f>
        <v>99.2765537652088</v>
      </c>
      <c r="D294" s="25" t="n">
        <f aca="false">(ABS(D137-F137)/D137)*100</f>
        <v>1.92343223389548</v>
      </c>
      <c r="E294" s="23"/>
      <c r="F294" s="25" t="n">
        <f aca="false">(ABS(C137-G137)/C137)*100</f>
        <v>0.0986517592897073</v>
      </c>
      <c r="G294" s="25" t="n">
        <f aca="false">(ABS(D137-H137)/D137)*100</f>
        <v>0.0019113271618703</v>
      </c>
      <c r="H294" s="23"/>
    </row>
    <row r="295" customFormat="false" ht="15" hidden="false" customHeight="false" outlineLevel="0" collapsed="false">
      <c r="A295" s="7"/>
      <c r="B295" s="25" t="n">
        <v>134</v>
      </c>
      <c r="C295" s="11" t="n">
        <f aca="false">(ABS(C138-E138)/C138)*100</f>
        <v>99.8620689655172</v>
      </c>
      <c r="D295" s="25" t="n">
        <f aca="false">(ABS(D138-F138)/D138)*100</f>
        <v>1.84341183959262</v>
      </c>
      <c r="E295" s="23"/>
      <c r="F295" s="25" t="n">
        <f aca="false">(ABS(C138-G138)/C138)*100</f>
        <v>0.103448275862069</v>
      </c>
      <c r="G295" s="25" t="n">
        <f aca="false">(ABS(D138-H138)/D138)*100</f>
        <v>0.00190961171228517</v>
      </c>
      <c r="H295" s="23"/>
    </row>
    <row r="296" customFormat="false" ht="15" hidden="false" customHeight="false" outlineLevel="0" collapsed="false">
      <c r="A296" s="7"/>
      <c r="B296" s="25" t="n">
        <v>135</v>
      </c>
      <c r="C296" s="11" t="n">
        <f aca="false">(ABS(C139-E139)/C139)*100</f>
        <v>99.9271402550091</v>
      </c>
      <c r="D296" s="25" t="n">
        <f aca="false">(ABS(D139-F139)/D139)*100</f>
        <v>1.74430065816667</v>
      </c>
      <c r="E296" s="23"/>
      <c r="F296" s="25" t="n">
        <f aca="false">(ABS(C139-G139)/C139)*100</f>
        <v>0.0728597449908925</v>
      </c>
      <c r="G296" s="25" t="n">
        <f aca="false">(ABS(D139-H139)/D139)*100</f>
        <v>0.00127181965597278</v>
      </c>
      <c r="H296" s="23"/>
    </row>
    <row r="297" customFormat="false" ht="15" hidden="false" customHeight="false" outlineLevel="0" collapsed="false">
      <c r="A297" s="7"/>
      <c r="B297" s="25" t="n">
        <v>136</v>
      </c>
      <c r="C297" s="11" t="n">
        <f aca="false">(ABS(C140-E140)/C140)*100</f>
        <v>98.5390234525183</v>
      </c>
      <c r="D297" s="25" t="n">
        <f aca="false">(ABS(D140-F140)/D140)*100</f>
        <v>1.62834579635195</v>
      </c>
      <c r="E297" s="23"/>
      <c r="F297" s="25" t="n">
        <f aca="false">(ABS(C140-G140)/C140)*100</f>
        <v>0.0768935024990388</v>
      </c>
      <c r="G297" s="25" t="n">
        <f aca="false">(ABS(D140-H140)/D140)*100</f>
        <v>0.00127065610327893</v>
      </c>
      <c r="H297" s="23"/>
    </row>
    <row r="298" customFormat="false" ht="15" hidden="false" customHeight="false" outlineLevel="0" collapsed="false">
      <c r="A298" s="7"/>
      <c r="B298" s="25" t="n">
        <v>137</v>
      </c>
      <c r="C298" s="11" t="n">
        <f aca="false">(ABS(C141-E141)/C141)*100</f>
        <v>99.95904995905</v>
      </c>
      <c r="D298" s="25" t="n">
        <f aca="false">(ABS(D141-F141)/D141)*100</f>
        <v>1.54927074474162</v>
      </c>
      <c r="E298" s="23"/>
      <c r="F298" s="25" t="n">
        <f aca="false">(ABS(C141-G141)/C141)*100</f>
        <v>0.0819000819000819</v>
      </c>
      <c r="G298" s="25" t="n">
        <f aca="false">(ABS(D141-H141)/D141)*100</f>
        <v>0.00126937381789563</v>
      </c>
      <c r="H298" s="23"/>
    </row>
    <row r="299" customFormat="false" ht="15" hidden="false" customHeight="false" outlineLevel="0" collapsed="false">
      <c r="A299" s="7"/>
      <c r="B299" s="25" t="n">
        <v>138</v>
      </c>
      <c r="C299" s="11" t="n">
        <f aca="false">(ABS(C142-E142)/C142)*100</f>
        <v>86.1061946902655</v>
      </c>
      <c r="D299" s="25" t="n">
        <f aca="false">(ABS(D142-F142)/D142)*100</f>
        <v>1.23367566882211</v>
      </c>
      <c r="E299" s="23"/>
      <c r="F299" s="25" t="n">
        <f aca="false">(ABS(C142-G142)/C142)*100</f>
        <v>0.0884955752212389</v>
      </c>
      <c r="G299" s="25" t="n">
        <f aca="false">(ABS(D142-H142)/D142)*100</f>
        <v>0.00126790921770001</v>
      </c>
      <c r="H299" s="23"/>
    </row>
    <row r="300" customFormat="false" ht="15" hidden="false" customHeight="false" outlineLevel="0" collapsed="false">
      <c r="A300" s="7"/>
      <c r="B300" s="25" t="n">
        <v>139</v>
      </c>
      <c r="C300" s="11" t="n">
        <f aca="false">(ABS(C143-E143)/C143)*100</f>
        <v>95.7163255592575</v>
      </c>
      <c r="D300" s="25" t="n">
        <f aca="false">(ABS(D143-F143)/D143)*100</f>
        <v>1.27359894616179</v>
      </c>
      <c r="E300" s="23"/>
      <c r="F300" s="25" t="n">
        <f aca="false">(ABS(C143-G143)/C143)*100</f>
        <v>0.0951927653498334</v>
      </c>
      <c r="G300" s="25" t="n">
        <f aca="false">(ABS(D143-H143)/D143)*100</f>
        <v>0.00126663246759004</v>
      </c>
      <c r="H300" s="23"/>
    </row>
    <row r="301" customFormat="false" ht="15" hidden="false" customHeight="false" outlineLevel="0" collapsed="false">
      <c r="A301" s="7"/>
      <c r="B301" s="25" t="n">
        <v>140</v>
      </c>
      <c r="C301" s="11" t="n">
        <f aca="false">(ABS(C144-E144)/C144)*100</f>
        <v>99.6357960457856</v>
      </c>
      <c r="D301" s="25" t="n">
        <f aca="false">(ABS(D144-F144)/D144)*100</f>
        <v>1.21142727008186</v>
      </c>
      <c r="E301" s="23"/>
      <c r="F301" s="25" t="n">
        <f aca="false">(ABS(C144-G144)/C144)*100</f>
        <v>0.104058272632674</v>
      </c>
      <c r="G301" s="25" t="n">
        <f aca="false">(ABS(D144-H144)/D144)*100</f>
        <v>0.00126519819329698</v>
      </c>
      <c r="H301" s="23"/>
    </row>
    <row r="302" customFormat="false" ht="15" hidden="false" customHeight="false" outlineLevel="0" collapsed="false">
      <c r="A302" s="7"/>
      <c r="B302" s="25" t="n">
        <v>141</v>
      </c>
      <c r="C302" s="11" t="n">
        <f aca="false">(ABS(C145-E145)/C145)*100</f>
        <v>99.4192799070848</v>
      </c>
      <c r="D302" s="25" t="n">
        <f aca="false">(ABS(D145-F145)/D145)*100</f>
        <v>1.08164116301697</v>
      </c>
      <c r="E302" s="23"/>
      <c r="F302" s="25" t="n">
        <f aca="false">(ABS(C145-G145)/C145)*100</f>
        <v>0.0580720092915215</v>
      </c>
      <c r="G302" s="25" t="n">
        <f aca="false">(ABS(D145-H145)/D145)*100</f>
        <v>0.000631799744752903</v>
      </c>
      <c r="H302" s="23"/>
    </row>
    <row r="303" customFormat="false" ht="15" hidden="false" customHeight="false" outlineLevel="0" collapsed="false">
      <c r="A303" s="7"/>
      <c r="B303" s="25" t="n">
        <v>142</v>
      </c>
      <c r="C303" s="11" t="n">
        <f aca="false">(ABS(C146-E146)/C146)*100</f>
        <v>99.4848679974244</v>
      </c>
      <c r="D303" s="25" t="n">
        <f aca="false">(ABS(D146-F146)/D146)*100</f>
        <v>0.975089462091425</v>
      </c>
      <c r="E303" s="23"/>
      <c r="F303" s="25" t="n">
        <f aca="false">(ABS(C146-G146)/C146)*100</f>
        <v>0.0643915003219575</v>
      </c>
      <c r="G303" s="25" t="n">
        <f aca="false">(ABS(D146-H146)/D146)*100</f>
        <v>0.000631125865431343</v>
      </c>
      <c r="H303" s="23"/>
    </row>
    <row r="304" customFormat="false" ht="15" hidden="false" customHeight="false" outlineLevel="0" collapsed="false">
      <c r="A304" s="7"/>
      <c r="B304" s="25" t="n">
        <v>143</v>
      </c>
      <c r="C304" s="11" t="n">
        <f aca="false">(ABS(C147-E147)/C147)*100</f>
        <v>98.8822652757079</v>
      </c>
      <c r="D304" s="25" t="n">
        <f aca="false">(ABS(D147-F147)/D147)*100</f>
        <v>0.836390222995374</v>
      </c>
      <c r="E304" s="23"/>
      <c r="F304" s="25" t="n">
        <f aca="false">(ABS(C147-G147)/C147)*100</f>
        <v>0.3725782414307</v>
      </c>
      <c r="G304" s="25" t="n">
        <f aca="false">(ABS(D147-H147)/D147)*100</f>
        <v>0.00315143264127873</v>
      </c>
      <c r="H304" s="23"/>
    </row>
    <row r="305" customFormat="false" ht="15" hidden="false" customHeight="false" outlineLevel="0" collapsed="false">
      <c r="A305" s="7"/>
      <c r="B305" s="25" t="n">
        <v>144</v>
      </c>
      <c r="C305" s="11" t="n">
        <f aca="false">(ABS(C148-E148)/C148)*100</f>
        <v>100</v>
      </c>
      <c r="D305" s="25" t="n">
        <f aca="false">(ABS(D148-F148)/D148)*100</f>
        <v>0.716978994215069</v>
      </c>
      <c r="E305" s="23"/>
      <c r="F305" s="25" t="n">
        <f aca="false">(ABS(C148-G148)/C148)*100</f>
        <v>0.263388937664618</v>
      </c>
      <c r="G305" s="25" t="n">
        <f aca="false">(ABS(D148-H148)/D148)*100</f>
        <v>0.00188844335614153</v>
      </c>
      <c r="H305" s="23"/>
    </row>
    <row r="306" customFormat="false" ht="15" hidden="false" customHeight="false" outlineLevel="0" collapsed="false">
      <c r="A306" s="7"/>
      <c r="B306" s="25" t="n">
        <v>145</v>
      </c>
      <c r="C306" s="11" t="n">
        <f aca="false">(ABS(C149-E149)/C149)*100</f>
        <v>99.672131147541</v>
      </c>
      <c r="D306" s="25" t="n">
        <f aca="false">(ABS(D149-F149)/D149)*100</f>
        <v>0.573278436056196</v>
      </c>
      <c r="E306" s="23"/>
      <c r="F306" s="25" t="n">
        <f aca="false">(ABS(C149-G149)/C149)*100</f>
        <v>0.109289617486339</v>
      </c>
      <c r="G306" s="25" t="n">
        <f aca="false">(ABS(D149-H149)/D149)*100</f>
        <v>0.000628594776377408</v>
      </c>
      <c r="H306" s="23"/>
    </row>
    <row r="307" customFormat="false" ht="15" hidden="false" customHeight="false" outlineLevel="0" collapsed="false">
      <c r="A307" s="7"/>
      <c r="B307" s="25" t="n">
        <v>146</v>
      </c>
      <c r="C307" s="11" t="n">
        <f aca="false">(ABS(C150-E150)/C150)*100</f>
        <v>99.1428571428571</v>
      </c>
      <c r="D307" s="25" t="n">
        <f aca="false">(ABS(D150-F150)/D150)*100</f>
        <v>0.435655994978029</v>
      </c>
      <c r="E307" s="23"/>
      <c r="F307" s="25" t="n">
        <f aca="false">(ABS(C150-G150)/C150)*100</f>
        <v>0</v>
      </c>
      <c r="G307" s="25" t="n">
        <f aca="false">(ABS(D150-H150)/D150)*100</f>
        <v>0</v>
      </c>
      <c r="H307" s="23"/>
    </row>
    <row r="308" customFormat="false" ht="15" hidden="false" customHeight="false" outlineLevel="0" collapsed="false">
      <c r="A308" s="7"/>
      <c r="B308" s="25" t="n">
        <v>147</v>
      </c>
      <c r="C308" s="11" t="n">
        <f aca="false">(ABS(C151-E151)/C151)*100</f>
        <v>79.7894736842105</v>
      </c>
      <c r="D308" s="25" t="n">
        <f aca="false">(ABS(D151-F151)/D151)*100</f>
        <v>0.237580316564802</v>
      </c>
      <c r="E308" s="23"/>
      <c r="F308" s="25" t="n">
        <f aca="false">(ABS(C151-G151)/C151)*100</f>
        <v>0</v>
      </c>
      <c r="G308" s="25" t="n">
        <f aca="false">(ABS(D151-H151)/D151)*100</f>
        <v>0</v>
      </c>
      <c r="H308" s="23"/>
    </row>
    <row r="309" customFormat="false" ht="15" hidden="false" customHeight="false" outlineLevel="0" collapsed="false">
      <c r="A309" s="7"/>
      <c r="B309" s="25" t="n">
        <v>148</v>
      </c>
      <c r="C309" s="11" t="n">
        <f aca="false">(ABS(C152-E152)/C152)*100</f>
        <v>97.9591836734694</v>
      </c>
      <c r="D309" s="25" t="n">
        <f aca="false">(ABS(D152-F152)/D152)*100</f>
        <v>0.150230039748365</v>
      </c>
      <c r="E309" s="26" t="s">
        <v>11</v>
      </c>
      <c r="F309" s="25" t="n">
        <f aca="false">IF(C152=0, (ABS(C152-G152)/1)*100, (ABS(C152-G152)/C152)*100)</f>
        <v>0.408163265306122</v>
      </c>
      <c r="G309" s="25" t="n">
        <f aca="false">IF(D152=0, (ABS(D152-H152)/1)*100, (ABS(D152-H152)/D152)*100)</f>
        <v>0.00062595849895152</v>
      </c>
      <c r="H309" s="26" t="s">
        <v>11</v>
      </c>
    </row>
    <row r="310" customFormat="false" ht="15" hidden="false" customHeight="false" outlineLevel="0" collapsed="false">
      <c r="A310" s="7"/>
      <c r="B310" s="14" t="s">
        <v>8</v>
      </c>
      <c r="C310" s="15" t="n">
        <f aca="false">(ABS(SUM(C4:C152)-SUM(E4:E152))/SUM(C4:C152))*100</f>
        <v>96.9890662867926</v>
      </c>
      <c r="D310" s="15" t="n">
        <f aca="false">(ABS(SUM(D4:D152)-SUM(F4:F152))/SUM(D4:D152))*100</f>
        <v>1.79174468983888</v>
      </c>
      <c r="E310" s="27" t="n">
        <f aca="false">SUM(C160:D309)/(149*2)</f>
        <v>49.0268903568641</v>
      </c>
      <c r="F310" s="15" t="n">
        <f aca="false">(ABS(SUM(C4:C152)-SUM(G4:G152))/SUM(C4:C152))*100</f>
        <v>0.00370007215140695</v>
      </c>
      <c r="G310" s="15" t="n">
        <f aca="false">(ABS(SUM(D4:D152)-SUM(H4:H152))/SUM(D4:D152))*100</f>
        <v>6.83539380583449E-005</v>
      </c>
      <c r="H310" s="27" t="n">
        <f aca="false">SUM(F161:G309)/(149*2)</f>
        <v>0.0341530407353889</v>
      </c>
    </row>
  </sheetData>
  <mergeCells count="11">
    <mergeCell ref="B1:B3"/>
    <mergeCell ref="C1:D2"/>
    <mergeCell ref="E1:H1"/>
    <mergeCell ref="E2:F2"/>
    <mergeCell ref="G2:H2"/>
    <mergeCell ref="A3:A153"/>
    <mergeCell ref="B158:B160"/>
    <mergeCell ref="C158:H158"/>
    <mergeCell ref="C159:E159"/>
    <mergeCell ref="F159:H159"/>
    <mergeCell ref="A160:A3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H286" colorId="64" zoomScale="100" zoomScaleNormal="100" zoomScalePageLayoutView="100" workbookViewId="0">
      <selection pane="topLeft" activeCell="F310" activeCellId="0" sqref="F310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1.54"/>
    <col collapsed="false" customWidth="true" hidden="false" outlineLevel="0" max="14" min="14" style="0" width="11.4"/>
  </cols>
  <sheetData>
    <row r="1" customFormat="false" ht="15" hidden="false" customHeight="false" outlineLevel="0" collapsed="false">
      <c r="A1" s="2"/>
      <c r="B1" s="19" t="s">
        <v>0</v>
      </c>
      <c r="C1" s="3" t="s">
        <v>14</v>
      </c>
      <c r="D1" s="3"/>
      <c r="E1" s="29" t="s">
        <v>15</v>
      </c>
      <c r="F1" s="29"/>
      <c r="G1" s="29"/>
      <c r="H1" s="29"/>
      <c r="I1" s="20" t="s">
        <v>16</v>
      </c>
      <c r="J1" s="20"/>
      <c r="K1" s="20"/>
      <c r="L1" s="20"/>
    </row>
    <row r="2" customFormat="false" ht="15" hidden="false" customHeight="false" outlineLevel="0" collapsed="false">
      <c r="A2" s="2"/>
      <c r="B2" s="19"/>
      <c r="C2" s="19"/>
      <c r="D2" s="3"/>
      <c r="E2" s="5" t="s">
        <v>3</v>
      </c>
      <c r="F2" s="5"/>
      <c r="G2" s="30" t="s">
        <v>4</v>
      </c>
      <c r="H2" s="30"/>
      <c r="I2" s="31" t="s">
        <v>3</v>
      </c>
      <c r="J2" s="31"/>
      <c r="K2" s="6" t="s">
        <v>4</v>
      </c>
      <c r="L2" s="6"/>
    </row>
    <row r="3" customFormat="false" ht="15" hidden="false" customHeight="false" outlineLevel="0" collapsed="false">
      <c r="A3" s="7" t="s">
        <v>17</v>
      </c>
      <c r="B3" s="19"/>
      <c r="C3" s="32" t="s">
        <v>13</v>
      </c>
      <c r="D3" s="9" t="s">
        <v>7</v>
      </c>
      <c r="E3" s="8" t="s">
        <v>6</v>
      </c>
      <c r="F3" s="10" t="s">
        <v>7</v>
      </c>
      <c r="G3" s="8" t="s">
        <v>6</v>
      </c>
      <c r="H3" s="33" t="s">
        <v>7</v>
      </c>
      <c r="I3" s="32" t="s">
        <v>13</v>
      </c>
      <c r="J3" s="10" t="s">
        <v>7</v>
      </c>
      <c r="K3" s="28" t="s">
        <v>13</v>
      </c>
      <c r="L3" s="9" t="s">
        <v>7</v>
      </c>
    </row>
    <row r="4" customFormat="false" ht="15" hidden="false" customHeight="false" outlineLevel="0" collapsed="false">
      <c r="A4" s="7"/>
      <c r="B4" s="2" t="n">
        <v>0</v>
      </c>
      <c r="C4" s="11" t="n">
        <v>245</v>
      </c>
      <c r="D4" s="12" t="n">
        <v>159755</v>
      </c>
      <c r="E4" s="34" t="n">
        <f aca="false">'Color clustering'!E4</f>
        <v>245</v>
      </c>
      <c r="F4" s="13" t="n">
        <f aca="false">'Color clustering'!F4</f>
        <v>159755</v>
      </c>
      <c r="G4" s="34" t="n">
        <f aca="false">'Color clustering'!G4</f>
        <v>245</v>
      </c>
      <c r="H4" s="2" t="n">
        <f aca="false">'Color clustering'!H4</f>
        <v>159755</v>
      </c>
      <c r="I4" s="11" t="n">
        <f aca="false">'Color classification'!E4</f>
        <v>245</v>
      </c>
      <c r="J4" s="13" t="n">
        <f aca="false">'Color classification'!F4</f>
        <v>159755</v>
      </c>
      <c r="K4" s="2" t="n">
        <f aca="false">'Color classification'!G4</f>
        <v>245</v>
      </c>
      <c r="L4" s="12" t="n">
        <f aca="false">'Color classification'!H4</f>
        <v>159755</v>
      </c>
    </row>
    <row r="5" customFormat="false" ht="15" hidden="false" customHeight="false" outlineLevel="0" collapsed="false">
      <c r="A5" s="7"/>
      <c r="B5" s="2" t="n">
        <v>1</v>
      </c>
      <c r="C5" s="11" t="n">
        <v>475</v>
      </c>
      <c r="D5" s="12" t="n">
        <v>159525</v>
      </c>
      <c r="E5" s="34" t="n">
        <f aca="false">'Color clustering'!E5</f>
        <v>464</v>
      </c>
      <c r="F5" s="13" t="n">
        <f aca="false">'Color clustering'!F5</f>
        <v>159536</v>
      </c>
      <c r="G5" s="34" t="n">
        <f aca="false">'Color clustering'!G5</f>
        <v>476</v>
      </c>
      <c r="H5" s="2" t="n">
        <f aca="false">'Color clustering'!H5</f>
        <v>159524</v>
      </c>
      <c r="I5" s="11" t="n">
        <f aca="false">'Color classification'!E5</f>
        <v>32</v>
      </c>
      <c r="J5" s="13" t="n">
        <f aca="false">'Color classification'!F5</f>
        <v>159968</v>
      </c>
      <c r="K5" s="2" t="n">
        <f aca="false">'Color classification'!G5</f>
        <v>476</v>
      </c>
      <c r="L5" s="12" t="n">
        <f aca="false">'Color classification'!H5</f>
        <v>159524</v>
      </c>
    </row>
    <row r="6" customFormat="false" ht="15" hidden="false" customHeight="false" outlineLevel="0" collapsed="false">
      <c r="A6" s="7"/>
      <c r="B6" s="2" t="n">
        <v>2</v>
      </c>
      <c r="C6" s="11" t="n">
        <v>697</v>
      </c>
      <c r="D6" s="12" t="n">
        <v>159303</v>
      </c>
      <c r="E6" s="34" t="n">
        <f aca="false">'Color clustering'!E6</f>
        <v>691</v>
      </c>
      <c r="F6" s="13" t="n">
        <f aca="false">'Color clustering'!F6</f>
        <v>159309</v>
      </c>
      <c r="G6" s="34" t="n">
        <f aca="false">'Color clustering'!G6</f>
        <v>700</v>
      </c>
      <c r="H6" s="2" t="n">
        <f aca="false">'Color clustering'!H6</f>
        <v>159300</v>
      </c>
      <c r="I6" s="11" t="n">
        <f aca="false">'Color classification'!E6</f>
        <v>3</v>
      </c>
      <c r="J6" s="13" t="n">
        <f aca="false">'Color classification'!F6</f>
        <v>159997</v>
      </c>
      <c r="K6" s="2" t="n">
        <f aca="false">'Color classification'!G6</f>
        <v>700</v>
      </c>
      <c r="L6" s="12" t="n">
        <f aca="false">'Color classification'!H6</f>
        <v>159300</v>
      </c>
    </row>
    <row r="7" customFormat="false" ht="15" hidden="false" customHeight="false" outlineLevel="0" collapsed="false">
      <c r="A7" s="7"/>
      <c r="B7" s="2" t="n">
        <v>3</v>
      </c>
      <c r="C7" s="11" t="n">
        <v>915</v>
      </c>
      <c r="D7" s="12" t="n">
        <v>159085</v>
      </c>
      <c r="E7" s="34" t="n">
        <f aca="false">'Color clustering'!E7</f>
        <v>914</v>
      </c>
      <c r="F7" s="13" t="n">
        <f aca="false">'Color clustering'!F7</f>
        <v>159086</v>
      </c>
      <c r="G7" s="34" t="n">
        <f aca="false">'Color clustering'!G7</f>
        <v>917</v>
      </c>
      <c r="H7" s="2" t="n">
        <f aca="false">'Color clustering'!H7</f>
        <v>159083</v>
      </c>
      <c r="I7" s="11" t="n">
        <f aca="false">'Color classification'!E7</f>
        <v>0</v>
      </c>
      <c r="J7" s="13" t="n">
        <f aca="false">'Color classification'!F7</f>
        <v>160000</v>
      </c>
      <c r="K7" s="2" t="n">
        <f aca="false">'Color classification'!G7</f>
        <v>917</v>
      </c>
      <c r="L7" s="12" t="n">
        <f aca="false">'Color classification'!H7</f>
        <v>159083</v>
      </c>
    </row>
    <row r="8" customFormat="false" ht="15" hidden="false" customHeight="false" outlineLevel="0" collapsed="false">
      <c r="A8" s="7"/>
      <c r="B8" s="2" t="n">
        <v>4</v>
      </c>
      <c r="C8" s="11" t="n">
        <v>1139</v>
      </c>
      <c r="D8" s="12" t="n">
        <v>158861</v>
      </c>
      <c r="E8" s="34" t="n">
        <f aca="false">'Color clustering'!E8</f>
        <v>1122</v>
      </c>
      <c r="F8" s="13" t="n">
        <f aca="false">'Color clustering'!F8</f>
        <v>158878</v>
      </c>
      <c r="G8" s="34" t="n">
        <f aca="false">'Color clustering'!G8</f>
        <v>1143</v>
      </c>
      <c r="H8" s="2" t="n">
        <f aca="false">'Color clustering'!H8</f>
        <v>158857</v>
      </c>
      <c r="I8" s="11" t="n">
        <f aca="false">'Color classification'!E8</f>
        <v>316</v>
      </c>
      <c r="J8" s="13" t="n">
        <f aca="false">'Color classification'!F8</f>
        <v>159684</v>
      </c>
      <c r="K8" s="2" t="n">
        <f aca="false">'Color classification'!G8</f>
        <v>1141</v>
      </c>
      <c r="L8" s="12" t="n">
        <f aca="false">'Color classification'!H8</f>
        <v>158859</v>
      </c>
    </row>
    <row r="9" customFormat="false" ht="15" hidden="false" customHeight="false" outlineLevel="0" collapsed="false">
      <c r="A9" s="7"/>
      <c r="B9" s="2" t="n">
        <v>5</v>
      </c>
      <c r="C9" s="11" t="n">
        <v>1339</v>
      </c>
      <c r="D9" s="12" t="n">
        <v>158661</v>
      </c>
      <c r="E9" s="34" t="n">
        <f aca="false">'Color clustering'!E9</f>
        <v>1330</v>
      </c>
      <c r="F9" s="13" t="n">
        <f aca="false">'Color clustering'!F9</f>
        <v>158670</v>
      </c>
      <c r="G9" s="34" t="n">
        <f aca="false">'Color clustering'!G9</f>
        <v>1341</v>
      </c>
      <c r="H9" s="2" t="n">
        <f aca="false">'Color clustering'!H9</f>
        <v>158659</v>
      </c>
      <c r="I9" s="11" t="n">
        <f aca="false">'Color classification'!E9</f>
        <v>37</v>
      </c>
      <c r="J9" s="13" t="n">
        <f aca="false">'Color classification'!F9</f>
        <v>159963</v>
      </c>
      <c r="K9" s="2" t="n">
        <f aca="false">'Color classification'!G9</f>
        <v>1340</v>
      </c>
      <c r="L9" s="12" t="n">
        <f aca="false">'Color classification'!H9</f>
        <v>158660</v>
      </c>
    </row>
    <row r="10" customFormat="false" ht="15" hidden="false" customHeight="false" outlineLevel="0" collapsed="false">
      <c r="A10" s="7"/>
      <c r="B10" s="2" t="n">
        <v>6</v>
      </c>
      <c r="C10" s="11" t="n">
        <v>1549</v>
      </c>
      <c r="D10" s="12" t="n">
        <v>158451</v>
      </c>
      <c r="E10" s="34" t="n">
        <f aca="false">'Color clustering'!E10</f>
        <v>1559</v>
      </c>
      <c r="F10" s="13" t="n">
        <f aca="false">'Color clustering'!F10</f>
        <v>158441</v>
      </c>
      <c r="G10" s="34" t="n">
        <f aca="false">'Color clustering'!G10</f>
        <v>1555</v>
      </c>
      <c r="H10" s="2" t="n">
        <f aca="false">'Color clustering'!H10</f>
        <v>158445</v>
      </c>
      <c r="I10" s="11" t="n">
        <f aca="false">'Color classification'!E10</f>
        <v>0</v>
      </c>
      <c r="J10" s="13" t="n">
        <f aca="false">'Color classification'!F10</f>
        <v>160000</v>
      </c>
      <c r="K10" s="2" t="n">
        <f aca="false">'Color classification'!G10</f>
        <v>1551</v>
      </c>
      <c r="L10" s="12" t="n">
        <f aca="false">'Color classification'!H10</f>
        <v>158449</v>
      </c>
    </row>
    <row r="11" customFormat="false" ht="15" hidden="false" customHeight="false" outlineLevel="0" collapsed="false">
      <c r="A11" s="7"/>
      <c r="B11" s="2" t="n">
        <v>7</v>
      </c>
      <c r="C11" s="11" t="n">
        <v>1717</v>
      </c>
      <c r="D11" s="12" t="n">
        <v>158283</v>
      </c>
      <c r="E11" s="34" t="n">
        <f aca="false">'Color clustering'!E11</f>
        <v>1695</v>
      </c>
      <c r="F11" s="13" t="n">
        <f aca="false">'Color clustering'!F11</f>
        <v>158305</v>
      </c>
      <c r="G11" s="34" t="n">
        <f aca="false">'Color clustering'!G11</f>
        <v>1715</v>
      </c>
      <c r="H11" s="2" t="n">
        <f aca="false">'Color clustering'!H11</f>
        <v>158285</v>
      </c>
      <c r="I11" s="11" t="n">
        <f aca="false">'Color classification'!E11</f>
        <v>50</v>
      </c>
      <c r="J11" s="13" t="n">
        <f aca="false">'Color classification'!F11</f>
        <v>159950</v>
      </c>
      <c r="K11" s="2" t="n">
        <f aca="false">'Color classification'!G11</f>
        <v>1714</v>
      </c>
      <c r="L11" s="12" t="n">
        <f aca="false">'Color classification'!H11</f>
        <v>158286</v>
      </c>
    </row>
    <row r="12" customFormat="false" ht="15" hidden="false" customHeight="false" outlineLevel="0" collapsed="false">
      <c r="A12" s="7"/>
      <c r="B12" s="2" t="n">
        <v>8</v>
      </c>
      <c r="C12" s="11" t="n">
        <v>1919</v>
      </c>
      <c r="D12" s="12" t="n">
        <v>158081</v>
      </c>
      <c r="E12" s="34" t="n">
        <f aca="false">'Color clustering'!E12</f>
        <v>1911</v>
      </c>
      <c r="F12" s="13" t="n">
        <f aca="false">'Color clustering'!F12</f>
        <v>158089</v>
      </c>
      <c r="G12" s="34" t="n">
        <f aca="false">'Color clustering'!G12</f>
        <v>1926</v>
      </c>
      <c r="H12" s="2" t="n">
        <f aca="false">'Color clustering'!H12</f>
        <v>158074</v>
      </c>
      <c r="I12" s="11" t="n">
        <f aca="false">'Color classification'!E12</f>
        <v>20</v>
      </c>
      <c r="J12" s="13" t="n">
        <f aca="false">'Color classification'!F12</f>
        <v>159980</v>
      </c>
      <c r="K12" s="2" t="n">
        <f aca="false">'Color classification'!G12</f>
        <v>1921</v>
      </c>
      <c r="L12" s="12" t="n">
        <f aca="false">'Color classification'!H12</f>
        <v>158079</v>
      </c>
    </row>
    <row r="13" customFormat="false" ht="15" hidden="false" customHeight="false" outlineLevel="0" collapsed="false">
      <c r="A13" s="7"/>
      <c r="B13" s="2" t="n">
        <v>9</v>
      </c>
      <c r="C13" s="11" t="n">
        <v>2101</v>
      </c>
      <c r="D13" s="12" t="n">
        <v>157899</v>
      </c>
      <c r="E13" s="34" t="n">
        <f aca="false">'Color clustering'!E13</f>
        <v>2048</v>
      </c>
      <c r="F13" s="13" t="n">
        <f aca="false">'Color clustering'!F13</f>
        <v>157952</v>
      </c>
      <c r="G13" s="34" t="n">
        <f aca="false">'Color clustering'!G13</f>
        <v>2110</v>
      </c>
      <c r="H13" s="2" t="n">
        <f aca="false">'Color clustering'!H13</f>
        <v>157890</v>
      </c>
      <c r="I13" s="11" t="n">
        <f aca="false">'Color classification'!E13</f>
        <v>1</v>
      </c>
      <c r="J13" s="13" t="n">
        <f aca="false">'Color classification'!F13</f>
        <v>159999</v>
      </c>
      <c r="K13" s="2" t="n">
        <f aca="false">'Color classification'!G13</f>
        <v>2107</v>
      </c>
      <c r="L13" s="12" t="n">
        <f aca="false">'Color classification'!H13</f>
        <v>157893</v>
      </c>
    </row>
    <row r="14" customFormat="false" ht="15" hidden="false" customHeight="false" outlineLevel="0" collapsed="false">
      <c r="A14" s="7"/>
      <c r="B14" s="2" t="n">
        <v>10</v>
      </c>
      <c r="C14" s="11" t="n">
        <v>2261</v>
      </c>
      <c r="D14" s="12" t="n">
        <v>157739</v>
      </c>
      <c r="E14" s="34" t="n">
        <f aca="false">'Color clustering'!E14</f>
        <v>2247</v>
      </c>
      <c r="F14" s="13" t="n">
        <f aca="false">'Color clustering'!F14</f>
        <v>157753</v>
      </c>
      <c r="G14" s="34" t="n">
        <f aca="false">'Color clustering'!G14</f>
        <v>2269</v>
      </c>
      <c r="H14" s="2" t="n">
        <f aca="false">'Color clustering'!H14</f>
        <v>157731</v>
      </c>
      <c r="I14" s="11" t="n">
        <f aca="false">'Color classification'!E14</f>
        <v>1</v>
      </c>
      <c r="J14" s="13" t="n">
        <f aca="false">'Color classification'!F14</f>
        <v>159999</v>
      </c>
      <c r="K14" s="2" t="n">
        <f aca="false">'Color classification'!G14</f>
        <v>2261</v>
      </c>
      <c r="L14" s="12" t="n">
        <f aca="false">'Color classification'!H14</f>
        <v>157739</v>
      </c>
    </row>
    <row r="15" customFormat="false" ht="15" hidden="false" customHeight="false" outlineLevel="0" collapsed="false">
      <c r="A15" s="7"/>
      <c r="B15" s="2" t="n">
        <v>11</v>
      </c>
      <c r="C15" s="11" t="n">
        <v>2441</v>
      </c>
      <c r="D15" s="12" t="n">
        <v>157559</v>
      </c>
      <c r="E15" s="34" t="n">
        <f aca="false">'Color clustering'!E15</f>
        <v>2419</v>
      </c>
      <c r="F15" s="13" t="n">
        <f aca="false">'Color clustering'!F15</f>
        <v>157581</v>
      </c>
      <c r="G15" s="34" t="n">
        <f aca="false">'Color clustering'!G15</f>
        <v>2440</v>
      </c>
      <c r="H15" s="2" t="n">
        <f aca="false">'Color clustering'!H15</f>
        <v>157560</v>
      </c>
      <c r="I15" s="11" t="n">
        <f aca="false">'Color classification'!E15</f>
        <v>10</v>
      </c>
      <c r="J15" s="13" t="n">
        <f aca="false">'Color classification'!F15</f>
        <v>159990</v>
      </c>
      <c r="K15" s="2" t="n">
        <f aca="false">'Color classification'!G15</f>
        <v>2444</v>
      </c>
      <c r="L15" s="12" t="n">
        <f aca="false">'Color classification'!H15</f>
        <v>157556</v>
      </c>
    </row>
    <row r="16" customFormat="false" ht="15" hidden="false" customHeight="false" outlineLevel="0" collapsed="false">
      <c r="A16" s="7"/>
      <c r="B16" s="2" t="n">
        <v>12</v>
      </c>
      <c r="C16" s="11" t="n">
        <v>2601</v>
      </c>
      <c r="D16" s="12" t="n">
        <v>157399</v>
      </c>
      <c r="E16" s="34" t="n">
        <f aca="false">'Color clustering'!E16</f>
        <v>2586</v>
      </c>
      <c r="F16" s="13" t="n">
        <f aca="false">'Color clustering'!F16</f>
        <v>157414</v>
      </c>
      <c r="G16" s="34" t="n">
        <f aca="false">'Color clustering'!G16</f>
        <v>2610</v>
      </c>
      <c r="H16" s="2" t="n">
        <f aca="false">'Color clustering'!H16</f>
        <v>157390</v>
      </c>
      <c r="I16" s="11" t="n">
        <f aca="false">'Color classification'!E16</f>
        <v>2</v>
      </c>
      <c r="J16" s="13" t="n">
        <f aca="false">'Color classification'!F16</f>
        <v>159998</v>
      </c>
      <c r="K16" s="2" t="n">
        <f aca="false">'Color classification'!G16</f>
        <v>2603</v>
      </c>
      <c r="L16" s="12" t="n">
        <f aca="false">'Color classification'!H16</f>
        <v>157397</v>
      </c>
    </row>
    <row r="17" customFormat="false" ht="15" hidden="false" customHeight="false" outlineLevel="0" collapsed="false">
      <c r="A17" s="7"/>
      <c r="B17" s="2" t="n">
        <v>13</v>
      </c>
      <c r="C17" s="11" t="n">
        <v>2745</v>
      </c>
      <c r="D17" s="12" t="n">
        <v>157255</v>
      </c>
      <c r="E17" s="34" t="n">
        <f aca="false">'Color clustering'!E17</f>
        <v>2751</v>
      </c>
      <c r="F17" s="13" t="n">
        <f aca="false">'Color clustering'!F17</f>
        <v>157249</v>
      </c>
      <c r="G17" s="34" t="n">
        <f aca="false">'Color clustering'!G17</f>
        <v>2744</v>
      </c>
      <c r="H17" s="2" t="n">
        <f aca="false">'Color clustering'!H17</f>
        <v>157256</v>
      </c>
      <c r="I17" s="11" t="n">
        <f aca="false">'Color classification'!E17</f>
        <v>854</v>
      </c>
      <c r="J17" s="13" t="n">
        <f aca="false">'Color classification'!F17</f>
        <v>159146</v>
      </c>
      <c r="K17" s="2" t="n">
        <f aca="false">'Color classification'!G17</f>
        <v>2747</v>
      </c>
      <c r="L17" s="12" t="n">
        <f aca="false">'Color classification'!H17</f>
        <v>157253</v>
      </c>
    </row>
    <row r="18" customFormat="false" ht="15" hidden="false" customHeight="false" outlineLevel="0" collapsed="false">
      <c r="A18" s="7"/>
      <c r="B18" s="2" t="n">
        <v>14</v>
      </c>
      <c r="C18" s="11" t="n">
        <v>2899</v>
      </c>
      <c r="D18" s="12" t="n">
        <v>157101</v>
      </c>
      <c r="E18" s="34" t="n">
        <f aca="false">'Color clustering'!E18</f>
        <v>2882</v>
      </c>
      <c r="F18" s="13" t="n">
        <f aca="false">'Color clustering'!F18</f>
        <v>157118</v>
      </c>
      <c r="G18" s="34" t="n">
        <f aca="false">'Color clustering'!G18</f>
        <v>2903</v>
      </c>
      <c r="H18" s="2" t="n">
        <f aca="false">'Color clustering'!H18</f>
        <v>157097</v>
      </c>
      <c r="I18" s="11" t="n">
        <f aca="false">'Color classification'!E18</f>
        <v>7</v>
      </c>
      <c r="J18" s="13" t="n">
        <f aca="false">'Color classification'!F18</f>
        <v>159993</v>
      </c>
      <c r="K18" s="2" t="n">
        <f aca="false">'Color classification'!G18</f>
        <v>2899</v>
      </c>
      <c r="L18" s="12" t="n">
        <f aca="false">'Color classification'!H18</f>
        <v>157101</v>
      </c>
    </row>
    <row r="19" customFormat="false" ht="15" hidden="false" customHeight="false" outlineLevel="0" collapsed="false">
      <c r="A19" s="7"/>
      <c r="B19" s="2" t="n">
        <v>15</v>
      </c>
      <c r="C19" s="11" t="n">
        <v>3039</v>
      </c>
      <c r="D19" s="12" t="n">
        <v>156961</v>
      </c>
      <c r="E19" s="34" t="n">
        <f aca="false">'Color clustering'!E19</f>
        <v>3014</v>
      </c>
      <c r="F19" s="13" t="n">
        <f aca="false">'Color clustering'!F19</f>
        <v>156986</v>
      </c>
      <c r="G19" s="34" t="n">
        <f aca="false">'Color clustering'!G19</f>
        <v>3042</v>
      </c>
      <c r="H19" s="2" t="n">
        <f aca="false">'Color clustering'!H19</f>
        <v>156958</v>
      </c>
      <c r="I19" s="11" t="n">
        <f aca="false">'Color classification'!E19</f>
        <v>20</v>
      </c>
      <c r="J19" s="13" t="n">
        <f aca="false">'Color classification'!F19</f>
        <v>159980</v>
      </c>
      <c r="K19" s="2" t="n">
        <f aca="false">'Color classification'!G19</f>
        <v>3037</v>
      </c>
      <c r="L19" s="12" t="n">
        <f aca="false">'Color classification'!H19</f>
        <v>156963</v>
      </c>
    </row>
    <row r="20" customFormat="false" ht="15" hidden="false" customHeight="false" outlineLevel="0" collapsed="false">
      <c r="A20" s="7"/>
      <c r="B20" s="2" t="n">
        <v>16</v>
      </c>
      <c r="C20" s="11" t="n">
        <v>3157</v>
      </c>
      <c r="D20" s="12" t="n">
        <v>156843</v>
      </c>
      <c r="E20" s="34" t="n">
        <f aca="false">'Color clustering'!E20</f>
        <v>3150</v>
      </c>
      <c r="F20" s="13" t="n">
        <f aca="false">'Color clustering'!F20</f>
        <v>156850</v>
      </c>
      <c r="G20" s="34" t="n">
        <f aca="false">'Color clustering'!G20</f>
        <v>3166</v>
      </c>
      <c r="H20" s="2" t="n">
        <f aca="false">'Color clustering'!H20</f>
        <v>156834</v>
      </c>
      <c r="I20" s="11" t="n">
        <f aca="false">'Color classification'!E20</f>
        <v>0</v>
      </c>
      <c r="J20" s="13" t="n">
        <f aca="false">'Color classification'!F20</f>
        <v>160000</v>
      </c>
      <c r="K20" s="2" t="n">
        <f aca="false">'Color classification'!G20</f>
        <v>3162</v>
      </c>
      <c r="L20" s="12" t="n">
        <f aca="false">'Color classification'!H20</f>
        <v>156838</v>
      </c>
    </row>
    <row r="21" customFormat="false" ht="15" hidden="false" customHeight="false" outlineLevel="0" collapsed="false">
      <c r="A21" s="7"/>
      <c r="B21" s="2" t="n">
        <v>17</v>
      </c>
      <c r="C21" s="11" t="n">
        <v>3275</v>
      </c>
      <c r="D21" s="12" t="n">
        <v>156725</v>
      </c>
      <c r="E21" s="34" t="n">
        <f aca="false">'Color clustering'!E21</f>
        <v>3250</v>
      </c>
      <c r="F21" s="13" t="n">
        <f aca="false">'Color clustering'!F21</f>
        <v>156750</v>
      </c>
      <c r="G21" s="34" t="n">
        <f aca="false">'Color clustering'!G21</f>
        <v>3285</v>
      </c>
      <c r="H21" s="2" t="n">
        <f aca="false">'Color clustering'!H21</f>
        <v>156715</v>
      </c>
      <c r="I21" s="11" t="n">
        <f aca="false">'Color classification'!E21</f>
        <v>5</v>
      </c>
      <c r="J21" s="13" t="n">
        <f aca="false">'Color classification'!F21</f>
        <v>159995</v>
      </c>
      <c r="K21" s="2" t="n">
        <f aca="false">'Color classification'!G21</f>
        <v>3281</v>
      </c>
      <c r="L21" s="12" t="n">
        <f aca="false">'Color classification'!H21</f>
        <v>156719</v>
      </c>
    </row>
    <row r="22" customFormat="false" ht="15" hidden="false" customHeight="false" outlineLevel="0" collapsed="false">
      <c r="A22" s="7"/>
      <c r="B22" s="2" t="n">
        <v>18</v>
      </c>
      <c r="C22" s="11" t="n">
        <v>3369</v>
      </c>
      <c r="D22" s="12" t="n">
        <v>156631</v>
      </c>
      <c r="E22" s="34" t="n">
        <f aca="false">'Color clustering'!E22</f>
        <v>3343</v>
      </c>
      <c r="F22" s="13" t="n">
        <f aca="false">'Color clustering'!F22</f>
        <v>156657</v>
      </c>
      <c r="G22" s="34" t="n">
        <f aca="false">'Color clustering'!G22</f>
        <v>3376</v>
      </c>
      <c r="H22" s="2" t="n">
        <f aca="false">'Color clustering'!H22</f>
        <v>156624</v>
      </c>
      <c r="I22" s="11" t="n">
        <f aca="false">'Color classification'!E22</f>
        <v>8</v>
      </c>
      <c r="J22" s="13" t="n">
        <f aca="false">'Color classification'!F22</f>
        <v>159992</v>
      </c>
      <c r="K22" s="2" t="n">
        <f aca="false">'Color classification'!G22</f>
        <v>3377</v>
      </c>
      <c r="L22" s="12" t="n">
        <f aca="false">'Color classification'!H22</f>
        <v>156623</v>
      </c>
    </row>
    <row r="23" customFormat="false" ht="15" hidden="false" customHeight="false" outlineLevel="0" collapsed="false">
      <c r="A23" s="7"/>
      <c r="B23" s="2" t="n">
        <v>19</v>
      </c>
      <c r="C23" s="11" t="n">
        <v>3479</v>
      </c>
      <c r="D23" s="12" t="n">
        <v>156521</v>
      </c>
      <c r="E23" s="34" t="n">
        <f aca="false">'Color clustering'!E23</f>
        <v>3450</v>
      </c>
      <c r="F23" s="13" t="n">
        <f aca="false">'Color clustering'!F23</f>
        <v>156550</v>
      </c>
      <c r="G23" s="34" t="n">
        <f aca="false">'Color clustering'!G23</f>
        <v>3470</v>
      </c>
      <c r="H23" s="2" t="n">
        <f aca="false">'Color clustering'!H23</f>
        <v>156530</v>
      </c>
      <c r="I23" s="11" t="n">
        <f aca="false">'Color classification'!E23</f>
        <v>390</v>
      </c>
      <c r="J23" s="13" t="n">
        <f aca="false">'Color classification'!F23</f>
        <v>159610</v>
      </c>
      <c r="K23" s="2" t="n">
        <f aca="false">'Color classification'!G23</f>
        <v>3483</v>
      </c>
      <c r="L23" s="12" t="n">
        <f aca="false">'Color classification'!H23</f>
        <v>156517</v>
      </c>
    </row>
    <row r="24" customFormat="false" ht="15" hidden="false" customHeight="false" outlineLevel="0" collapsed="false">
      <c r="A24" s="7"/>
      <c r="B24" s="2" t="n">
        <v>20</v>
      </c>
      <c r="C24" s="11" t="n">
        <v>3579</v>
      </c>
      <c r="D24" s="12" t="n">
        <v>156421</v>
      </c>
      <c r="E24" s="34" t="n">
        <f aca="false">'Color clustering'!E24</f>
        <v>3556</v>
      </c>
      <c r="F24" s="13" t="n">
        <f aca="false">'Color clustering'!F24</f>
        <v>156444</v>
      </c>
      <c r="G24" s="34" t="n">
        <f aca="false">'Color clustering'!G24</f>
        <v>3581</v>
      </c>
      <c r="H24" s="2" t="n">
        <f aca="false">'Color clustering'!H24</f>
        <v>156419</v>
      </c>
      <c r="I24" s="11" t="n">
        <f aca="false">'Color classification'!E24</f>
        <v>25</v>
      </c>
      <c r="J24" s="13" t="n">
        <f aca="false">'Color classification'!F24</f>
        <v>159975</v>
      </c>
      <c r="K24" s="2" t="n">
        <f aca="false">'Color classification'!G24</f>
        <v>3580</v>
      </c>
      <c r="L24" s="12" t="n">
        <f aca="false">'Color classification'!H24</f>
        <v>156420</v>
      </c>
    </row>
    <row r="25" customFormat="false" ht="15" hidden="false" customHeight="false" outlineLevel="0" collapsed="false">
      <c r="A25" s="7"/>
      <c r="B25" s="2" t="n">
        <v>21</v>
      </c>
      <c r="C25" s="11" t="n">
        <v>3669</v>
      </c>
      <c r="D25" s="12" t="n">
        <v>156331</v>
      </c>
      <c r="E25" s="34" t="n">
        <f aca="false">'Color clustering'!E25</f>
        <v>3644</v>
      </c>
      <c r="F25" s="13" t="n">
        <f aca="false">'Color clustering'!F25</f>
        <v>156356</v>
      </c>
      <c r="G25" s="34" t="n">
        <f aca="false">'Color clustering'!G25</f>
        <v>3677</v>
      </c>
      <c r="H25" s="2" t="n">
        <f aca="false">'Color clustering'!H25</f>
        <v>156323</v>
      </c>
      <c r="I25" s="11" t="n">
        <f aca="false">'Color classification'!E25</f>
        <v>67</v>
      </c>
      <c r="J25" s="13" t="n">
        <f aca="false">'Color classification'!F25</f>
        <v>159933</v>
      </c>
      <c r="K25" s="2" t="n">
        <f aca="false">'Color classification'!G25</f>
        <v>3673</v>
      </c>
      <c r="L25" s="12" t="n">
        <f aca="false">'Color classification'!H25</f>
        <v>156327</v>
      </c>
    </row>
    <row r="26" customFormat="false" ht="15" hidden="false" customHeight="false" outlineLevel="0" collapsed="false">
      <c r="A26" s="7"/>
      <c r="B26" s="2" t="n">
        <v>22</v>
      </c>
      <c r="C26" s="11" t="n">
        <v>3763</v>
      </c>
      <c r="D26" s="12" t="n">
        <v>156237</v>
      </c>
      <c r="E26" s="34" t="n">
        <f aca="false">'Color clustering'!E26</f>
        <v>3715</v>
      </c>
      <c r="F26" s="13" t="n">
        <f aca="false">'Color clustering'!F26</f>
        <v>156285</v>
      </c>
      <c r="G26" s="34" t="n">
        <f aca="false">'Color clustering'!G26</f>
        <v>3769</v>
      </c>
      <c r="H26" s="2" t="n">
        <f aca="false">'Color clustering'!H26</f>
        <v>156231</v>
      </c>
      <c r="I26" s="11" t="n">
        <f aca="false">'Color classification'!E26</f>
        <v>282</v>
      </c>
      <c r="J26" s="13" t="n">
        <f aca="false">'Color classification'!F26</f>
        <v>159718</v>
      </c>
      <c r="K26" s="2" t="n">
        <f aca="false">'Color classification'!G26</f>
        <v>3766</v>
      </c>
      <c r="L26" s="12" t="n">
        <f aca="false">'Color classification'!H26</f>
        <v>156234</v>
      </c>
    </row>
    <row r="27" customFormat="false" ht="15" hidden="false" customHeight="false" outlineLevel="0" collapsed="false">
      <c r="A27" s="7"/>
      <c r="B27" s="2" t="n">
        <v>23</v>
      </c>
      <c r="C27" s="11" t="n">
        <v>3843</v>
      </c>
      <c r="D27" s="12" t="n">
        <v>156157</v>
      </c>
      <c r="E27" s="34" t="n">
        <f aca="false">'Color clustering'!E27</f>
        <v>3834</v>
      </c>
      <c r="F27" s="13" t="n">
        <f aca="false">'Color clustering'!F27</f>
        <v>156166</v>
      </c>
      <c r="G27" s="34" t="n">
        <f aca="false">'Color clustering'!G27</f>
        <v>3848</v>
      </c>
      <c r="H27" s="2" t="n">
        <f aca="false">'Color clustering'!H27</f>
        <v>156152</v>
      </c>
      <c r="I27" s="11" t="n">
        <f aca="false">'Color classification'!E27</f>
        <v>4</v>
      </c>
      <c r="J27" s="13" t="n">
        <f aca="false">'Color classification'!F27</f>
        <v>159996</v>
      </c>
      <c r="K27" s="2" t="n">
        <f aca="false">'Color classification'!G27</f>
        <v>3847</v>
      </c>
      <c r="L27" s="12" t="n">
        <f aca="false">'Color classification'!H27</f>
        <v>156153</v>
      </c>
    </row>
    <row r="28" customFormat="false" ht="15" hidden="false" customHeight="false" outlineLevel="0" collapsed="false">
      <c r="A28" s="7"/>
      <c r="B28" s="2" t="n">
        <v>24</v>
      </c>
      <c r="C28" s="11" t="n">
        <v>3921</v>
      </c>
      <c r="D28" s="12" t="n">
        <v>156079</v>
      </c>
      <c r="E28" s="34" t="n">
        <f aca="false">'Color clustering'!E28</f>
        <v>3877</v>
      </c>
      <c r="F28" s="13" t="n">
        <f aca="false">'Color clustering'!F28</f>
        <v>156123</v>
      </c>
      <c r="G28" s="34" t="n">
        <f aca="false">'Color clustering'!G28</f>
        <v>3924</v>
      </c>
      <c r="H28" s="2" t="n">
        <f aca="false">'Color clustering'!H28</f>
        <v>156076</v>
      </c>
      <c r="I28" s="11" t="n">
        <f aca="false">'Color classification'!E28</f>
        <v>103</v>
      </c>
      <c r="J28" s="13" t="n">
        <f aca="false">'Color classification'!F28</f>
        <v>159897</v>
      </c>
      <c r="K28" s="2" t="n">
        <f aca="false">'Color classification'!G28</f>
        <v>3923</v>
      </c>
      <c r="L28" s="12" t="n">
        <f aca="false">'Color classification'!H28</f>
        <v>156077</v>
      </c>
    </row>
    <row r="29" customFormat="false" ht="15" hidden="false" customHeight="false" outlineLevel="0" collapsed="false">
      <c r="A29" s="7"/>
      <c r="B29" s="2" t="n">
        <v>25</v>
      </c>
      <c r="C29" s="11" t="n">
        <v>3995</v>
      </c>
      <c r="D29" s="12" t="n">
        <v>156005</v>
      </c>
      <c r="E29" s="34" t="n">
        <f aca="false">'Color clustering'!E29</f>
        <v>3982</v>
      </c>
      <c r="F29" s="13" t="n">
        <f aca="false">'Color clustering'!F29</f>
        <v>156018</v>
      </c>
      <c r="G29" s="34" t="n">
        <f aca="false">'Color clustering'!G29</f>
        <v>4005</v>
      </c>
      <c r="H29" s="2" t="n">
        <f aca="false">'Color clustering'!H29</f>
        <v>155995</v>
      </c>
      <c r="I29" s="11" t="n">
        <f aca="false">'Color classification'!E29</f>
        <v>44</v>
      </c>
      <c r="J29" s="13" t="n">
        <f aca="false">'Color classification'!F29</f>
        <v>159956</v>
      </c>
      <c r="K29" s="2" t="n">
        <f aca="false">'Color classification'!G29</f>
        <v>3997</v>
      </c>
      <c r="L29" s="12" t="n">
        <f aca="false">'Color classification'!H29</f>
        <v>156003</v>
      </c>
    </row>
    <row r="30" customFormat="false" ht="15" hidden="false" customHeight="false" outlineLevel="0" collapsed="false">
      <c r="A30" s="7"/>
      <c r="B30" s="2" t="n">
        <v>26</v>
      </c>
      <c r="C30" s="11" t="n">
        <v>4039</v>
      </c>
      <c r="D30" s="12" t="n">
        <v>155961</v>
      </c>
      <c r="E30" s="34" t="n">
        <f aca="false">'Color clustering'!E30</f>
        <v>4037</v>
      </c>
      <c r="F30" s="13" t="n">
        <f aca="false">'Color clustering'!F30</f>
        <v>155963</v>
      </c>
      <c r="G30" s="34" t="n">
        <f aca="false">'Color clustering'!G30</f>
        <v>4043</v>
      </c>
      <c r="H30" s="2" t="n">
        <f aca="false">'Color clustering'!H30</f>
        <v>155957</v>
      </c>
      <c r="I30" s="11" t="n">
        <f aca="false">'Color classification'!E30</f>
        <v>10</v>
      </c>
      <c r="J30" s="13" t="n">
        <f aca="false">'Color classification'!F30</f>
        <v>159990</v>
      </c>
      <c r="K30" s="2" t="n">
        <f aca="false">'Color classification'!G30</f>
        <v>4049</v>
      </c>
      <c r="L30" s="12" t="n">
        <f aca="false">'Color classification'!H30</f>
        <v>155951</v>
      </c>
    </row>
    <row r="31" customFormat="false" ht="15" hidden="false" customHeight="false" outlineLevel="0" collapsed="false">
      <c r="A31" s="7"/>
      <c r="B31" s="2" t="n">
        <v>27</v>
      </c>
      <c r="C31" s="11" t="n">
        <v>4097</v>
      </c>
      <c r="D31" s="12" t="n">
        <v>155903</v>
      </c>
      <c r="E31" s="34" t="n">
        <f aca="false">'Color clustering'!E31</f>
        <v>4077</v>
      </c>
      <c r="F31" s="13" t="n">
        <f aca="false">'Color clustering'!F31</f>
        <v>155923</v>
      </c>
      <c r="G31" s="34" t="n">
        <f aca="false">'Color clustering'!G31</f>
        <v>4100</v>
      </c>
      <c r="H31" s="2" t="n">
        <f aca="false">'Color clustering'!H31</f>
        <v>155900</v>
      </c>
      <c r="I31" s="11" t="n">
        <f aca="false">'Color classification'!E31</f>
        <v>80</v>
      </c>
      <c r="J31" s="13" t="n">
        <f aca="false">'Color classification'!F31</f>
        <v>159920</v>
      </c>
      <c r="K31" s="2" t="n">
        <f aca="false">'Color classification'!G31</f>
        <v>4098</v>
      </c>
      <c r="L31" s="12" t="n">
        <f aca="false">'Color classification'!H31</f>
        <v>155902</v>
      </c>
    </row>
    <row r="32" customFormat="false" ht="15" hidden="false" customHeight="false" outlineLevel="0" collapsed="false">
      <c r="A32" s="7"/>
      <c r="B32" s="2" t="n">
        <v>28</v>
      </c>
      <c r="C32" s="11" t="n">
        <v>4133</v>
      </c>
      <c r="D32" s="12" t="n">
        <v>155867</v>
      </c>
      <c r="E32" s="34" t="n">
        <f aca="false">'Color clustering'!E32</f>
        <v>4084</v>
      </c>
      <c r="F32" s="13" t="n">
        <f aca="false">'Color clustering'!F32</f>
        <v>155916</v>
      </c>
      <c r="G32" s="34" t="n">
        <f aca="false">'Color clustering'!G32</f>
        <v>4136</v>
      </c>
      <c r="H32" s="2" t="n">
        <f aca="false">'Color clustering'!H32</f>
        <v>155864</v>
      </c>
      <c r="I32" s="11" t="n">
        <f aca="false">'Color classification'!E32</f>
        <v>4</v>
      </c>
      <c r="J32" s="13" t="n">
        <f aca="false">'Color classification'!F32</f>
        <v>159996</v>
      </c>
      <c r="K32" s="2" t="n">
        <f aca="false">'Color classification'!G32</f>
        <v>4132</v>
      </c>
      <c r="L32" s="12" t="n">
        <f aca="false">'Color classification'!H32</f>
        <v>155868</v>
      </c>
    </row>
    <row r="33" customFormat="false" ht="15" hidden="false" customHeight="false" outlineLevel="0" collapsed="false">
      <c r="A33" s="7"/>
      <c r="B33" s="2" t="n">
        <v>29</v>
      </c>
      <c r="C33" s="11" t="n">
        <v>4153</v>
      </c>
      <c r="D33" s="12" t="n">
        <v>155847</v>
      </c>
      <c r="E33" s="34" t="n">
        <f aca="false">'Color clustering'!E33</f>
        <v>4151</v>
      </c>
      <c r="F33" s="13" t="n">
        <f aca="false">'Color clustering'!F33</f>
        <v>155849</v>
      </c>
      <c r="G33" s="34" t="n">
        <f aca="false">'Color clustering'!G33</f>
        <v>4160</v>
      </c>
      <c r="H33" s="2" t="n">
        <f aca="false">'Color clustering'!H33</f>
        <v>155840</v>
      </c>
      <c r="I33" s="11" t="n">
        <f aca="false">'Color classification'!E33</f>
        <v>29</v>
      </c>
      <c r="J33" s="13" t="n">
        <f aca="false">'Color classification'!F33</f>
        <v>159971</v>
      </c>
      <c r="K33" s="2" t="n">
        <f aca="false">'Color classification'!G33</f>
        <v>4153</v>
      </c>
      <c r="L33" s="12" t="n">
        <f aca="false">'Color classification'!H33</f>
        <v>155847</v>
      </c>
    </row>
    <row r="34" customFormat="false" ht="15" hidden="false" customHeight="false" outlineLevel="0" collapsed="false">
      <c r="A34" s="7"/>
      <c r="B34" s="2" t="n">
        <v>30</v>
      </c>
      <c r="C34" s="11" t="n">
        <v>4173</v>
      </c>
      <c r="D34" s="12" t="n">
        <v>155827</v>
      </c>
      <c r="E34" s="34" t="n">
        <f aca="false">'Color clustering'!E34</f>
        <v>4149</v>
      </c>
      <c r="F34" s="13" t="n">
        <f aca="false">'Color clustering'!F34</f>
        <v>155851</v>
      </c>
      <c r="G34" s="34" t="n">
        <f aca="false">'Color clustering'!G34</f>
        <v>4182</v>
      </c>
      <c r="H34" s="2" t="n">
        <f aca="false">'Color clustering'!H34</f>
        <v>155818</v>
      </c>
      <c r="I34" s="11" t="n">
        <f aca="false">'Color classification'!E34</f>
        <v>11</v>
      </c>
      <c r="J34" s="13" t="n">
        <f aca="false">'Color classification'!F34</f>
        <v>159989</v>
      </c>
      <c r="K34" s="2" t="n">
        <f aca="false">'Color classification'!G34</f>
        <v>4176</v>
      </c>
      <c r="L34" s="12" t="n">
        <f aca="false">'Color classification'!H34</f>
        <v>155824</v>
      </c>
    </row>
    <row r="35" customFormat="false" ht="15" hidden="false" customHeight="false" outlineLevel="0" collapsed="false">
      <c r="A35" s="7"/>
      <c r="B35" s="2" t="n">
        <v>31</v>
      </c>
      <c r="C35" s="11" t="n">
        <v>4197</v>
      </c>
      <c r="D35" s="12" t="n">
        <v>155803</v>
      </c>
      <c r="E35" s="34" t="n">
        <f aca="false">'Color clustering'!E35</f>
        <v>4168</v>
      </c>
      <c r="F35" s="13" t="n">
        <f aca="false">'Color clustering'!F35</f>
        <v>155832</v>
      </c>
      <c r="G35" s="34" t="n">
        <f aca="false">'Color clustering'!G35</f>
        <v>4205</v>
      </c>
      <c r="H35" s="2" t="n">
        <f aca="false">'Color clustering'!H35</f>
        <v>155795</v>
      </c>
      <c r="I35" s="11" t="n">
        <f aca="false">'Color classification'!E35</f>
        <v>947</v>
      </c>
      <c r="J35" s="13" t="n">
        <f aca="false">'Color classification'!F35</f>
        <v>159053</v>
      </c>
      <c r="K35" s="2" t="n">
        <f aca="false">'Color classification'!G35</f>
        <v>4200</v>
      </c>
      <c r="L35" s="12" t="n">
        <f aca="false">'Color classification'!H35</f>
        <v>155800</v>
      </c>
    </row>
    <row r="36" customFormat="false" ht="15" hidden="false" customHeight="false" outlineLevel="0" collapsed="false">
      <c r="A36" s="7"/>
      <c r="B36" s="2" t="n">
        <v>32</v>
      </c>
      <c r="C36" s="11" t="n">
        <v>4199</v>
      </c>
      <c r="D36" s="12" t="n">
        <v>155801</v>
      </c>
      <c r="E36" s="34" t="n">
        <f aca="false">'Color clustering'!E36</f>
        <v>4161</v>
      </c>
      <c r="F36" s="13" t="n">
        <f aca="false">'Color clustering'!F36</f>
        <v>155839</v>
      </c>
      <c r="G36" s="34" t="n">
        <f aca="false">'Color clustering'!G36</f>
        <v>4203</v>
      </c>
      <c r="H36" s="2" t="n">
        <f aca="false">'Color clustering'!H36</f>
        <v>155797</v>
      </c>
      <c r="I36" s="11" t="n">
        <f aca="false">'Color classification'!E36</f>
        <v>7</v>
      </c>
      <c r="J36" s="13" t="n">
        <f aca="false">'Color classification'!F36</f>
        <v>159993</v>
      </c>
      <c r="K36" s="2" t="n">
        <f aca="false">'Color classification'!G36</f>
        <v>4204</v>
      </c>
      <c r="L36" s="12" t="n">
        <f aca="false">'Color classification'!H36</f>
        <v>155796</v>
      </c>
    </row>
    <row r="37" customFormat="false" ht="15" hidden="false" customHeight="false" outlineLevel="0" collapsed="false">
      <c r="A37" s="7"/>
      <c r="B37" s="2" t="n">
        <v>33</v>
      </c>
      <c r="C37" s="11" t="n">
        <v>4169</v>
      </c>
      <c r="D37" s="12" t="n">
        <v>155831</v>
      </c>
      <c r="E37" s="34" t="n">
        <f aca="false">'Color clustering'!E37</f>
        <v>4123</v>
      </c>
      <c r="F37" s="13" t="n">
        <f aca="false">'Color clustering'!F37</f>
        <v>155877</v>
      </c>
      <c r="G37" s="34" t="n">
        <f aca="false">'Color clustering'!G37</f>
        <v>4171</v>
      </c>
      <c r="H37" s="2" t="n">
        <f aca="false">'Color clustering'!H37</f>
        <v>155829</v>
      </c>
      <c r="I37" s="11" t="n">
        <f aca="false">'Color classification'!E37</f>
        <v>18</v>
      </c>
      <c r="J37" s="13" t="n">
        <f aca="false">'Color classification'!F37</f>
        <v>159982</v>
      </c>
      <c r="K37" s="2" t="n">
        <f aca="false">'Color classification'!G37</f>
        <v>4168</v>
      </c>
      <c r="L37" s="12" t="n">
        <f aca="false">'Color classification'!H37</f>
        <v>155832</v>
      </c>
    </row>
    <row r="38" customFormat="false" ht="15" hidden="false" customHeight="false" outlineLevel="0" collapsed="false">
      <c r="A38" s="7"/>
      <c r="B38" s="2" t="n">
        <v>34</v>
      </c>
      <c r="C38" s="11" t="n">
        <v>4145</v>
      </c>
      <c r="D38" s="12" t="n">
        <v>155855</v>
      </c>
      <c r="E38" s="34" t="n">
        <f aca="false">'Color clustering'!E38</f>
        <v>4112</v>
      </c>
      <c r="F38" s="13" t="n">
        <f aca="false">'Color clustering'!F38</f>
        <v>155888</v>
      </c>
      <c r="G38" s="34" t="n">
        <f aca="false">'Color clustering'!G38</f>
        <v>4151</v>
      </c>
      <c r="H38" s="2" t="n">
        <f aca="false">'Color clustering'!H38</f>
        <v>155849</v>
      </c>
      <c r="I38" s="11" t="n">
        <f aca="false">'Color classification'!E38</f>
        <v>58</v>
      </c>
      <c r="J38" s="13" t="n">
        <f aca="false">'Color classification'!F38</f>
        <v>159942</v>
      </c>
      <c r="K38" s="2" t="n">
        <f aca="false">'Color classification'!G38</f>
        <v>4140</v>
      </c>
      <c r="L38" s="12" t="n">
        <f aca="false">'Color classification'!H38</f>
        <v>155860</v>
      </c>
    </row>
    <row r="39" customFormat="false" ht="15" hidden="false" customHeight="false" outlineLevel="0" collapsed="false">
      <c r="A39" s="7"/>
      <c r="B39" s="2" t="n">
        <v>35</v>
      </c>
      <c r="C39" s="11" t="n">
        <v>4115</v>
      </c>
      <c r="D39" s="12" t="n">
        <v>155885</v>
      </c>
      <c r="E39" s="34" t="n">
        <f aca="false">'Color clustering'!E39</f>
        <v>4099</v>
      </c>
      <c r="F39" s="13" t="n">
        <f aca="false">'Color clustering'!F39</f>
        <v>155901</v>
      </c>
      <c r="G39" s="34" t="n">
        <f aca="false">'Color clustering'!G39</f>
        <v>4129</v>
      </c>
      <c r="H39" s="2" t="n">
        <f aca="false">'Color clustering'!H39</f>
        <v>155871</v>
      </c>
      <c r="I39" s="11" t="n">
        <f aca="false">'Color classification'!E39</f>
        <v>14</v>
      </c>
      <c r="J39" s="13" t="n">
        <f aca="false">'Color classification'!F39</f>
        <v>159986</v>
      </c>
      <c r="K39" s="2" t="n">
        <f aca="false">'Color classification'!G39</f>
        <v>4124</v>
      </c>
      <c r="L39" s="12" t="n">
        <f aca="false">'Color classification'!H39</f>
        <v>155876</v>
      </c>
    </row>
    <row r="40" customFormat="false" ht="15" hidden="false" customHeight="false" outlineLevel="0" collapsed="false">
      <c r="A40" s="7"/>
      <c r="B40" s="2" t="n">
        <v>36</v>
      </c>
      <c r="C40" s="11" t="n">
        <v>4049</v>
      </c>
      <c r="D40" s="12" t="n">
        <v>155951</v>
      </c>
      <c r="E40" s="34" t="n">
        <f aca="false">'Color clustering'!E40</f>
        <v>3999</v>
      </c>
      <c r="F40" s="13" t="n">
        <f aca="false">'Color clustering'!F40</f>
        <v>156001</v>
      </c>
      <c r="G40" s="34" t="n">
        <f aca="false">'Color clustering'!G40</f>
        <v>4050</v>
      </c>
      <c r="H40" s="2" t="n">
        <f aca="false">'Color clustering'!H40</f>
        <v>155950</v>
      </c>
      <c r="I40" s="11" t="n">
        <f aca="false">'Color classification'!E40</f>
        <v>207</v>
      </c>
      <c r="J40" s="13" t="n">
        <f aca="false">'Color classification'!F40</f>
        <v>159793</v>
      </c>
      <c r="K40" s="2" t="n">
        <f aca="false">'Color classification'!G40</f>
        <v>4052</v>
      </c>
      <c r="L40" s="12" t="n">
        <f aca="false">'Color classification'!H40</f>
        <v>155948</v>
      </c>
    </row>
    <row r="41" customFormat="false" ht="15" hidden="false" customHeight="false" outlineLevel="0" collapsed="false">
      <c r="A41" s="7"/>
      <c r="B41" s="2" t="n">
        <v>37</v>
      </c>
      <c r="C41" s="11" t="n">
        <v>3971</v>
      </c>
      <c r="D41" s="12" t="n">
        <v>156029</v>
      </c>
      <c r="E41" s="34" t="n">
        <f aca="false">'Color clustering'!E41</f>
        <v>3928</v>
      </c>
      <c r="F41" s="13" t="n">
        <f aca="false">'Color clustering'!F41</f>
        <v>156072</v>
      </c>
      <c r="G41" s="34" t="n">
        <f aca="false">'Color clustering'!G41</f>
        <v>3979</v>
      </c>
      <c r="H41" s="2" t="n">
        <f aca="false">'Color clustering'!H41</f>
        <v>156021</v>
      </c>
      <c r="I41" s="11" t="n">
        <f aca="false">'Color classification'!E41</f>
        <v>1</v>
      </c>
      <c r="J41" s="13" t="n">
        <f aca="false">'Color classification'!F41</f>
        <v>159999</v>
      </c>
      <c r="K41" s="2" t="n">
        <f aca="false">'Color classification'!G41</f>
        <v>3972</v>
      </c>
      <c r="L41" s="12" t="n">
        <f aca="false">'Color classification'!H41</f>
        <v>156028</v>
      </c>
    </row>
    <row r="42" customFormat="false" ht="15" hidden="false" customHeight="false" outlineLevel="0" collapsed="false">
      <c r="A42" s="7"/>
      <c r="B42" s="2" t="n">
        <v>38</v>
      </c>
      <c r="C42" s="11" t="n">
        <v>3851</v>
      </c>
      <c r="D42" s="12" t="n">
        <v>156149</v>
      </c>
      <c r="E42" s="34" t="n">
        <f aca="false">'Color clustering'!E42</f>
        <v>3809</v>
      </c>
      <c r="F42" s="13" t="n">
        <f aca="false">'Color clustering'!F42</f>
        <v>156191</v>
      </c>
      <c r="G42" s="34" t="n">
        <f aca="false">'Color clustering'!G42</f>
        <v>3857</v>
      </c>
      <c r="H42" s="2" t="n">
        <f aca="false">'Color clustering'!H42</f>
        <v>156143</v>
      </c>
      <c r="I42" s="11" t="n">
        <f aca="false">'Color classification'!E42</f>
        <v>31</v>
      </c>
      <c r="J42" s="13" t="n">
        <f aca="false">'Color classification'!F42</f>
        <v>159969</v>
      </c>
      <c r="K42" s="2" t="n">
        <f aca="false">'Color classification'!G42</f>
        <v>3847</v>
      </c>
      <c r="L42" s="12" t="n">
        <f aca="false">'Color classification'!H42</f>
        <v>156153</v>
      </c>
    </row>
    <row r="43" customFormat="false" ht="15" hidden="false" customHeight="false" outlineLevel="0" collapsed="false">
      <c r="A43" s="7"/>
      <c r="B43" s="2" t="n">
        <v>39</v>
      </c>
      <c r="C43" s="11" t="n">
        <v>3680</v>
      </c>
      <c r="D43" s="12" t="n">
        <v>156320</v>
      </c>
      <c r="E43" s="34" t="n">
        <f aca="false">'Color clustering'!E43</f>
        <v>3619</v>
      </c>
      <c r="F43" s="13" t="n">
        <f aca="false">'Color clustering'!F43</f>
        <v>156381</v>
      </c>
      <c r="G43" s="34" t="n">
        <f aca="false">'Color clustering'!G43</f>
        <v>3688</v>
      </c>
      <c r="H43" s="2" t="n">
        <f aca="false">'Color clustering'!H43</f>
        <v>156312</v>
      </c>
      <c r="I43" s="11" t="n">
        <f aca="false">'Color classification'!E43</f>
        <v>4</v>
      </c>
      <c r="J43" s="13" t="n">
        <f aca="false">'Color classification'!F43</f>
        <v>159996</v>
      </c>
      <c r="K43" s="2" t="n">
        <f aca="false">'Color classification'!G43</f>
        <v>3683</v>
      </c>
      <c r="L43" s="12" t="n">
        <f aca="false">'Color classification'!H43</f>
        <v>156317</v>
      </c>
    </row>
    <row r="44" customFormat="false" ht="15" hidden="false" customHeight="false" outlineLevel="0" collapsed="false">
      <c r="A44" s="7"/>
      <c r="B44" s="2" t="n">
        <v>40</v>
      </c>
      <c r="C44" s="11" t="n">
        <v>3480</v>
      </c>
      <c r="D44" s="12" t="n">
        <v>156520</v>
      </c>
      <c r="E44" s="34" t="n">
        <f aca="false">'Color clustering'!E44</f>
        <v>3413</v>
      </c>
      <c r="F44" s="13" t="n">
        <f aca="false">'Color clustering'!F44</f>
        <v>156587</v>
      </c>
      <c r="G44" s="34" t="n">
        <f aca="false">'Color clustering'!G44</f>
        <v>3486</v>
      </c>
      <c r="H44" s="2" t="n">
        <f aca="false">'Color clustering'!H44</f>
        <v>156514</v>
      </c>
      <c r="I44" s="11" t="n">
        <f aca="false">'Color classification'!E44</f>
        <v>56</v>
      </c>
      <c r="J44" s="13" t="n">
        <f aca="false">'Color classification'!F44</f>
        <v>159944</v>
      </c>
      <c r="K44" s="2" t="n">
        <f aca="false">'Color classification'!G44</f>
        <v>3484</v>
      </c>
      <c r="L44" s="12" t="n">
        <f aca="false">'Color classification'!H44</f>
        <v>156516</v>
      </c>
    </row>
    <row r="45" customFormat="false" ht="15" hidden="false" customHeight="false" outlineLevel="0" collapsed="false">
      <c r="A45" s="7"/>
      <c r="B45" s="2" t="n">
        <v>41</v>
      </c>
      <c r="C45" s="11" t="n">
        <v>3356</v>
      </c>
      <c r="D45" s="12" t="n">
        <v>156644</v>
      </c>
      <c r="E45" s="34" t="n">
        <f aca="false">'Color clustering'!E45</f>
        <v>3307</v>
      </c>
      <c r="F45" s="13" t="n">
        <f aca="false">'Color clustering'!F45</f>
        <v>156693</v>
      </c>
      <c r="G45" s="34" t="n">
        <f aca="false">'Color clustering'!G45</f>
        <v>3360</v>
      </c>
      <c r="H45" s="2" t="n">
        <f aca="false">'Color clustering'!H45</f>
        <v>156640</v>
      </c>
      <c r="I45" s="11" t="n">
        <f aca="false">'Color classification'!E45</f>
        <v>17</v>
      </c>
      <c r="J45" s="13" t="n">
        <f aca="false">'Color classification'!F45</f>
        <v>159983</v>
      </c>
      <c r="K45" s="2" t="n">
        <f aca="false">'Color classification'!G45</f>
        <v>3360</v>
      </c>
      <c r="L45" s="12" t="n">
        <f aca="false">'Color classification'!H45</f>
        <v>156640</v>
      </c>
    </row>
    <row r="46" customFormat="false" ht="15" hidden="false" customHeight="false" outlineLevel="0" collapsed="false">
      <c r="A46" s="7"/>
      <c r="B46" s="2" t="n">
        <v>42</v>
      </c>
      <c r="C46" s="11" t="n">
        <v>3266</v>
      </c>
      <c r="D46" s="12" t="n">
        <v>156734</v>
      </c>
      <c r="E46" s="34" t="n">
        <f aca="false">'Color clustering'!E46</f>
        <v>3249</v>
      </c>
      <c r="F46" s="13" t="n">
        <f aca="false">'Color clustering'!F46</f>
        <v>156751</v>
      </c>
      <c r="G46" s="34" t="n">
        <f aca="false">'Color clustering'!G46</f>
        <v>3279</v>
      </c>
      <c r="H46" s="2" t="n">
        <f aca="false">'Color clustering'!H46</f>
        <v>156721</v>
      </c>
      <c r="I46" s="11" t="n">
        <f aca="false">'Color classification'!E46</f>
        <v>2</v>
      </c>
      <c r="J46" s="13" t="n">
        <f aca="false">'Color classification'!F46</f>
        <v>159998</v>
      </c>
      <c r="K46" s="2" t="n">
        <f aca="false">'Color classification'!G46</f>
        <v>3270</v>
      </c>
      <c r="L46" s="12" t="n">
        <f aca="false">'Color classification'!H46</f>
        <v>156730</v>
      </c>
    </row>
    <row r="47" customFormat="false" ht="15" hidden="false" customHeight="false" outlineLevel="0" collapsed="false">
      <c r="A47" s="7"/>
      <c r="B47" s="2" t="n">
        <v>43</v>
      </c>
      <c r="C47" s="11" t="n">
        <v>3180</v>
      </c>
      <c r="D47" s="12" t="n">
        <v>156820</v>
      </c>
      <c r="E47" s="34" t="n">
        <f aca="false">'Color clustering'!E47</f>
        <v>3159</v>
      </c>
      <c r="F47" s="13" t="n">
        <f aca="false">'Color clustering'!F47</f>
        <v>156841</v>
      </c>
      <c r="G47" s="34" t="n">
        <f aca="false">'Color clustering'!G47</f>
        <v>3187</v>
      </c>
      <c r="H47" s="2" t="n">
        <f aca="false">'Color clustering'!H47</f>
        <v>156813</v>
      </c>
      <c r="I47" s="11" t="n">
        <f aca="false">'Color classification'!E47</f>
        <v>6</v>
      </c>
      <c r="J47" s="13" t="n">
        <f aca="false">'Color classification'!F47</f>
        <v>159994</v>
      </c>
      <c r="K47" s="2" t="n">
        <f aca="false">'Color classification'!G47</f>
        <v>3181</v>
      </c>
      <c r="L47" s="12" t="n">
        <f aca="false">'Color classification'!H47</f>
        <v>156819</v>
      </c>
    </row>
    <row r="48" customFormat="false" ht="15" hidden="false" customHeight="false" outlineLevel="0" collapsed="false">
      <c r="A48" s="7"/>
      <c r="B48" s="2" t="n">
        <v>44</v>
      </c>
      <c r="C48" s="11" t="n">
        <v>3116</v>
      </c>
      <c r="D48" s="12" t="n">
        <v>156884</v>
      </c>
      <c r="E48" s="34" t="n">
        <f aca="false">'Color clustering'!E48</f>
        <v>3098</v>
      </c>
      <c r="F48" s="13" t="n">
        <f aca="false">'Color clustering'!F48</f>
        <v>156902</v>
      </c>
      <c r="G48" s="34" t="n">
        <f aca="false">'Color clustering'!G48</f>
        <v>3123</v>
      </c>
      <c r="H48" s="2" t="n">
        <f aca="false">'Color clustering'!H48</f>
        <v>156877</v>
      </c>
      <c r="I48" s="11" t="n">
        <f aca="false">'Color classification'!E48</f>
        <v>81</v>
      </c>
      <c r="J48" s="13" t="n">
        <f aca="false">'Color classification'!F48</f>
        <v>159919</v>
      </c>
      <c r="K48" s="2" t="n">
        <f aca="false">'Color classification'!G48</f>
        <v>3111</v>
      </c>
      <c r="L48" s="12" t="n">
        <f aca="false">'Color classification'!H48</f>
        <v>156889</v>
      </c>
    </row>
    <row r="49" customFormat="false" ht="15" hidden="false" customHeight="false" outlineLevel="0" collapsed="false">
      <c r="A49" s="7"/>
      <c r="B49" s="2" t="n">
        <v>45</v>
      </c>
      <c r="C49" s="11" t="n">
        <v>3040</v>
      </c>
      <c r="D49" s="12" t="n">
        <v>156960</v>
      </c>
      <c r="E49" s="34" t="n">
        <f aca="false">'Color clustering'!E49</f>
        <v>2985</v>
      </c>
      <c r="F49" s="13" t="n">
        <f aca="false">'Color clustering'!F49</f>
        <v>157015</v>
      </c>
      <c r="G49" s="34" t="n">
        <f aca="false">'Color clustering'!G49</f>
        <v>3046</v>
      </c>
      <c r="H49" s="2" t="n">
        <f aca="false">'Color clustering'!H49</f>
        <v>156954</v>
      </c>
      <c r="I49" s="11" t="n">
        <f aca="false">'Color classification'!E49</f>
        <v>131</v>
      </c>
      <c r="J49" s="13" t="n">
        <f aca="false">'Color classification'!F49</f>
        <v>159869</v>
      </c>
      <c r="K49" s="2" t="n">
        <f aca="false">'Color classification'!G49</f>
        <v>3046</v>
      </c>
      <c r="L49" s="12" t="n">
        <f aca="false">'Color classification'!H49</f>
        <v>156954</v>
      </c>
    </row>
    <row r="50" customFormat="false" ht="15" hidden="false" customHeight="false" outlineLevel="0" collapsed="false">
      <c r="A50" s="7"/>
      <c r="B50" s="2" t="n">
        <v>46</v>
      </c>
      <c r="C50" s="11" t="n">
        <v>3000</v>
      </c>
      <c r="D50" s="12" t="n">
        <v>157000</v>
      </c>
      <c r="E50" s="34" t="n">
        <f aca="false">'Color clustering'!E50</f>
        <v>2962</v>
      </c>
      <c r="F50" s="13" t="n">
        <f aca="false">'Color clustering'!F50</f>
        <v>157038</v>
      </c>
      <c r="G50" s="34" t="n">
        <f aca="false">'Color clustering'!G50</f>
        <v>2999</v>
      </c>
      <c r="H50" s="2" t="n">
        <f aca="false">'Color clustering'!H50</f>
        <v>157001</v>
      </c>
      <c r="I50" s="11" t="n">
        <f aca="false">'Color classification'!E50</f>
        <v>0</v>
      </c>
      <c r="J50" s="13" t="n">
        <f aca="false">'Color classification'!F50</f>
        <v>160000</v>
      </c>
      <c r="K50" s="2" t="n">
        <f aca="false">'Color classification'!G50</f>
        <v>2998</v>
      </c>
      <c r="L50" s="12" t="n">
        <f aca="false">'Color classification'!H50</f>
        <v>157002</v>
      </c>
    </row>
    <row r="51" customFormat="false" ht="15" hidden="false" customHeight="false" outlineLevel="0" collapsed="false">
      <c r="A51" s="7"/>
      <c r="B51" s="2" t="n">
        <v>47</v>
      </c>
      <c r="C51" s="11" t="n">
        <v>2938</v>
      </c>
      <c r="D51" s="12" t="n">
        <v>157062</v>
      </c>
      <c r="E51" s="34" t="n">
        <f aca="false">'Color clustering'!E51</f>
        <v>2900</v>
      </c>
      <c r="F51" s="13" t="n">
        <f aca="false">'Color clustering'!F51</f>
        <v>157100</v>
      </c>
      <c r="G51" s="34" t="n">
        <f aca="false">'Color clustering'!G51</f>
        <v>2943</v>
      </c>
      <c r="H51" s="2" t="n">
        <f aca="false">'Color clustering'!H51</f>
        <v>157057</v>
      </c>
      <c r="I51" s="11" t="n">
        <f aca="false">'Color classification'!E51</f>
        <v>10</v>
      </c>
      <c r="J51" s="13" t="n">
        <f aca="false">'Color classification'!F51</f>
        <v>159990</v>
      </c>
      <c r="K51" s="2" t="n">
        <f aca="false">'Color classification'!G51</f>
        <v>2941</v>
      </c>
      <c r="L51" s="12" t="n">
        <f aca="false">'Color classification'!H51</f>
        <v>157059</v>
      </c>
    </row>
    <row r="52" customFormat="false" ht="15" hidden="false" customHeight="false" outlineLevel="0" collapsed="false">
      <c r="A52" s="7"/>
      <c r="B52" s="2" t="n">
        <v>48</v>
      </c>
      <c r="C52" s="11" t="n">
        <v>2906</v>
      </c>
      <c r="D52" s="12" t="n">
        <v>157094</v>
      </c>
      <c r="E52" s="34" t="n">
        <f aca="false">'Color clustering'!E52</f>
        <v>2891</v>
      </c>
      <c r="F52" s="13" t="n">
        <f aca="false">'Color clustering'!F52</f>
        <v>157109</v>
      </c>
      <c r="G52" s="34" t="n">
        <f aca="false">'Color clustering'!G52</f>
        <v>2905</v>
      </c>
      <c r="H52" s="2" t="n">
        <f aca="false">'Color clustering'!H52</f>
        <v>157095</v>
      </c>
      <c r="I52" s="11" t="n">
        <f aca="false">'Color classification'!E52</f>
        <v>204</v>
      </c>
      <c r="J52" s="13" t="n">
        <f aca="false">'Color classification'!F52</f>
        <v>159796</v>
      </c>
      <c r="K52" s="2" t="n">
        <f aca="false">'Color classification'!G52</f>
        <v>2906</v>
      </c>
      <c r="L52" s="12" t="n">
        <f aca="false">'Color classification'!H52</f>
        <v>157094</v>
      </c>
    </row>
    <row r="53" customFormat="false" ht="15" hidden="false" customHeight="false" outlineLevel="0" collapsed="false">
      <c r="A53" s="7"/>
      <c r="B53" s="2" t="n">
        <v>49</v>
      </c>
      <c r="C53" s="11" t="n">
        <v>2872</v>
      </c>
      <c r="D53" s="12" t="n">
        <v>157128</v>
      </c>
      <c r="E53" s="34" t="n">
        <f aca="false">'Color clustering'!E53</f>
        <v>2840</v>
      </c>
      <c r="F53" s="13" t="n">
        <f aca="false">'Color clustering'!F53</f>
        <v>157160</v>
      </c>
      <c r="G53" s="34" t="n">
        <f aca="false">'Color clustering'!G53</f>
        <v>2867</v>
      </c>
      <c r="H53" s="2" t="n">
        <f aca="false">'Color clustering'!H53</f>
        <v>157133</v>
      </c>
      <c r="I53" s="11" t="n">
        <f aca="false">'Color classification'!E53</f>
        <v>47</v>
      </c>
      <c r="J53" s="13" t="n">
        <f aca="false">'Color classification'!F53</f>
        <v>159953</v>
      </c>
      <c r="K53" s="2" t="n">
        <f aca="false">'Color classification'!G53</f>
        <v>2867</v>
      </c>
      <c r="L53" s="12" t="n">
        <f aca="false">'Color classification'!H53</f>
        <v>157133</v>
      </c>
    </row>
    <row r="54" customFormat="false" ht="15" hidden="false" customHeight="false" outlineLevel="0" collapsed="false">
      <c r="A54" s="7"/>
      <c r="B54" s="2" t="n">
        <v>50</v>
      </c>
      <c r="C54" s="11" t="n">
        <v>2828</v>
      </c>
      <c r="D54" s="12" t="n">
        <v>157172</v>
      </c>
      <c r="E54" s="34" t="n">
        <f aca="false">'Color clustering'!E54</f>
        <v>2803</v>
      </c>
      <c r="F54" s="13" t="n">
        <f aca="false">'Color clustering'!F54</f>
        <v>157197</v>
      </c>
      <c r="G54" s="34" t="n">
        <f aca="false">'Color clustering'!G54</f>
        <v>2831</v>
      </c>
      <c r="H54" s="2" t="n">
        <f aca="false">'Color clustering'!H54</f>
        <v>157169</v>
      </c>
      <c r="I54" s="11" t="n">
        <f aca="false">'Color classification'!E54</f>
        <v>64</v>
      </c>
      <c r="J54" s="13" t="n">
        <f aca="false">'Color classification'!F54</f>
        <v>159936</v>
      </c>
      <c r="K54" s="2" t="n">
        <f aca="false">'Color classification'!G54</f>
        <v>2826</v>
      </c>
      <c r="L54" s="12" t="n">
        <f aca="false">'Color classification'!H54</f>
        <v>157174</v>
      </c>
    </row>
    <row r="55" customFormat="false" ht="15" hidden="false" customHeight="false" outlineLevel="0" collapsed="false">
      <c r="A55" s="7"/>
      <c r="B55" s="2" t="n">
        <v>51</v>
      </c>
      <c r="C55" s="11" t="n">
        <v>2802</v>
      </c>
      <c r="D55" s="12" t="n">
        <v>157198</v>
      </c>
      <c r="E55" s="34" t="n">
        <f aca="false">'Color clustering'!E55</f>
        <v>2765</v>
      </c>
      <c r="F55" s="13" t="n">
        <f aca="false">'Color clustering'!F55</f>
        <v>157235</v>
      </c>
      <c r="G55" s="34" t="n">
        <f aca="false">'Color clustering'!G55</f>
        <v>2806</v>
      </c>
      <c r="H55" s="2" t="n">
        <f aca="false">'Color clustering'!H55</f>
        <v>157194</v>
      </c>
      <c r="I55" s="11" t="n">
        <f aca="false">'Color classification'!E55</f>
        <v>96</v>
      </c>
      <c r="J55" s="13" t="n">
        <f aca="false">'Color classification'!F55</f>
        <v>159904</v>
      </c>
      <c r="K55" s="2" t="n">
        <f aca="false">'Color classification'!G55</f>
        <v>2800</v>
      </c>
      <c r="L55" s="12" t="n">
        <f aca="false">'Color classification'!H55</f>
        <v>157200</v>
      </c>
    </row>
    <row r="56" customFormat="false" ht="15" hidden="false" customHeight="false" outlineLevel="0" collapsed="false">
      <c r="A56" s="7"/>
      <c r="B56" s="2" t="n">
        <v>52</v>
      </c>
      <c r="C56" s="11" t="n">
        <v>2764</v>
      </c>
      <c r="D56" s="12" t="n">
        <v>157236</v>
      </c>
      <c r="E56" s="34" t="n">
        <f aca="false">'Color clustering'!E56</f>
        <v>2725</v>
      </c>
      <c r="F56" s="13" t="n">
        <f aca="false">'Color clustering'!F56</f>
        <v>157275</v>
      </c>
      <c r="G56" s="34" t="n">
        <f aca="false">'Color clustering'!G56</f>
        <v>2771</v>
      </c>
      <c r="H56" s="2" t="n">
        <f aca="false">'Color clustering'!H56</f>
        <v>157229</v>
      </c>
      <c r="I56" s="11" t="n">
        <f aca="false">'Color classification'!E56</f>
        <v>15</v>
      </c>
      <c r="J56" s="13" t="n">
        <f aca="false">'Color classification'!F56</f>
        <v>159985</v>
      </c>
      <c r="K56" s="2" t="n">
        <f aca="false">'Color classification'!G56</f>
        <v>2768</v>
      </c>
      <c r="L56" s="12" t="n">
        <f aca="false">'Color classification'!H56</f>
        <v>157232</v>
      </c>
    </row>
    <row r="57" customFormat="false" ht="15" hidden="false" customHeight="false" outlineLevel="0" collapsed="false">
      <c r="A57" s="7"/>
      <c r="B57" s="2" t="n">
        <v>53</v>
      </c>
      <c r="C57" s="11" t="n">
        <v>2726</v>
      </c>
      <c r="D57" s="12" t="n">
        <v>157274</v>
      </c>
      <c r="E57" s="34" t="n">
        <f aca="false">'Color clustering'!E57</f>
        <v>2687</v>
      </c>
      <c r="F57" s="13" t="n">
        <f aca="false">'Color clustering'!F57</f>
        <v>157313</v>
      </c>
      <c r="G57" s="34" t="n">
        <f aca="false">'Color clustering'!G57</f>
        <v>2728</v>
      </c>
      <c r="H57" s="2" t="n">
        <f aca="false">'Color clustering'!H57</f>
        <v>157272</v>
      </c>
      <c r="I57" s="11" t="n">
        <f aca="false">'Color classification'!E57</f>
        <v>408</v>
      </c>
      <c r="J57" s="13" t="n">
        <f aca="false">'Color classification'!F57</f>
        <v>159592</v>
      </c>
      <c r="K57" s="2" t="n">
        <f aca="false">'Color classification'!G57</f>
        <v>2727</v>
      </c>
      <c r="L57" s="12" t="n">
        <f aca="false">'Color classification'!H57</f>
        <v>157273</v>
      </c>
    </row>
    <row r="58" customFormat="false" ht="15" hidden="false" customHeight="false" outlineLevel="0" collapsed="false">
      <c r="A58" s="7"/>
      <c r="B58" s="2" t="n">
        <v>54</v>
      </c>
      <c r="C58" s="11" t="n">
        <v>2724</v>
      </c>
      <c r="D58" s="12" t="n">
        <v>157276</v>
      </c>
      <c r="E58" s="34" t="n">
        <f aca="false">'Color clustering'!E58</f>
        <v>2718</v>
      </c>
      <c r="F58" s="13" t="n">
        <f aca="false">'Color clustering'!F58</f>
        <v>157282</v>
      </c>
      <c r="G58" s="34" t="n">
        <f aca="false">'Color clustering'!G58</f>
        <v>2723</v>
      </c>
      <c r="H58" s="2" t="n">
        <f aca="false">'Color clustering'!H58</f>
        <v>157277</v>
      </c>
      <c r="I58" s="11" t="n">
        <f aca="false">'Color classification'!E58</f>
        <v>162</v>
      </c>
      <c r="J58" s="13" t="n">
        <f aca="false">'Color classification'!F58</f>
        <v>159838</v>
      </c>
      <c r="K58" s="2" t="n">
        <f aca="false">'Color classification'!G58</f>
        <v>2721</v>
      </c>
      <c r="L58" s="12" t="n">
        <f aca="false">'Color classification'!H58</f>
        <v>157279</v>
      </c>
    </row>
    <row r="59" customFormat="false" ht="15" hidden="false" customHeight="false" outlineLevel="0" collapsed="false">
      <c r="A59" s="7"/>
      <c r="B59" s="2" t="n">
        <v>55</v>
      </c>
      <c r="C59" s="11" t="n">
        <v>2690</v>
      </c>
      <c r="D59" s="12" t="n">
        <v>157310</v>
      </c>
      <c r="E59" s="34" t="n">
        <f aca="false">'Color clustering'!E59</f>
        <v>2653</v>
      </c>
      <c r="F59" s="13" t="n">
        <f aca="false">'Color clustering'!F59</f>
        <v>157347</v>
      </c>
      <c r="G59" s="34" t="n">
        <f aca="false">'Color clustering'!G59</f>
        <v>2696</v>
      </c>
      <c r="H59" s="2" t="n">
        <f aca="false">'Color clustering'!H59</f>
        <v>157304</v>
      </c>
      <c r="I59" s="11" t="n">
        <f aca="false">'Color classification'!E59</f>
        <v>12</v>
      </c>
      <c r="J59" s="13" t="n">
        <f aca="false">'Color classification'!F59</f>
        <v>159988</v>
      </c>
      <c r="K59" s="2" t="n">
        <f aca="false">'Color classification'!G59</f>
        <v>2692</v>
      </c>
      <c r="L59" s="12" t="n">
        <f aca="false">'Color classification'!H59</f>
        <v>157308</v>
      </c>
    </row>
    <row r="60" customFormat="false" ht="15" hidden="false" customHeight="false" outlineLevel="0" collapsed="false">
      <c r="A60" s="7"/>
      <c r="B60" s="2" t="n">
        <v>56</v>
      </c>
      <c r="C60" s="11" t="n">
        <v>2664</v>
      </c>
      <c r="D60" s="12" t="n">
        <v>157336</v>
      </c>
      <c r="E60" s="34" t="n">
        <f aca="false">'Color clustering'!E60</f>
        <v>2640</v>
      </c>
      <c r="F60" s="13" t="n">
        <f aca="false">'Color clustering'!F60</f>
        <v>157360</v>
      </c>
      <c r="G60" s="34" t="n">
        <f aca="false">'Color clustering'!G60</f>
        <v>2677</v>
      </c>
      <c r="H60" s="2" t="n">
        <f aca="false">'Color clustering'!H60</f>
        <v>157323</v>
      </c>
      <c r="I60" s="11" t="n">
        <f aca="false">'Color classification'!E60</f>
        <v>10</v>
      </c>
      <c r="J60" s="13" t="n">
        <f aca="false">'Color classification'!F60</f>
        <v>159990</v>
      </c>
      <c r="K60" s="2" t="n">
        <f aca="false">'Color classification'!G60</f>
        <v>2664</v>
      </c>
      <c r="L60" s="12" t="n">
        <f aca="false">'Color classification'!H60</f>
        <v>157336</v>
      </c>
    </row>
    <row r="61" customFormat="false" ht="15" hidden="false" customHeight="false" outlineLevel="0" collapsed="false">
      <c r="A61" s="7"/>
      <c r="B61" s="2" t="n">
        <v>57</v>
      </c>
      <c r="C61" s="11" t="n">
        <v>2646</v>
      </c>
      <c r="D61" s="12" t="n">
        <v>157354</v>
      </c>
      <c r="E61" s="34" t="n">
        <f aca="false">'Color clustering'!E61</f>
        <v>2635</v>
      </c>
      <c r="F61" s="13" t="n">
        <f aca="false">'Color clustering'!F61</f>
        <v>157365</v>
      </c>
      <c r="G61" s="34" t="n">
        <f aca="false">'Color clustering'!G61</f>
        <v>2651</v>
      </c>
      <c r="H61" s="2" t="n">
        <f aca="false">'Color clustering'!H61</f>
        <v>157349</v>
      </c>
      <c r="I61" s="11" t="n">
        <f aca="false">'Color classification'!E61</f>
        <v>23</v>
      </c>
      <c r="J61" s="13" t="n">
        <f aca="false">'Color classification'!F61</f>
        <v>159977</v>
      </c>
      <c r="K61" s="2" t="n">
        <f aca="false">'Color classification'!G61</f>
        <v>2644</v>
      </c>
      <c r="L61" s="12" t="n">
        <f aca="false">'Color classification'!H61</f>
        <v>157356</v>
      </c>
    </row>
    <row r="62" customFormat="false" ht="15" hidden="false" customHeight="false" outlineLevel="0" collapsed="false">
      <c r="A62" s="7"/>
      <c r="B62" s="2" t="n">
        <v>58</v>
      </c>
      <c r="C62" s="11" t="n">
        <v>2636</v>
      </c>
      <c r="D62" s="12" t="n">
        <v>157364</v>
      </c>
      <c r="E62" s="34" t="n">
        <f aca="false">'Color clustering'!E62</f>
        <v>2619</v>
      </c>
      <c r="F62" s="13" t="n">
        <f aca="false">'Color clustering'!F62</f>
        <v>157381</v>
      </c>
      <c r="G62" s="34" t="n">
        <f aca="false">'Color clustering'!G62</f>
        <v>2642</v>
      </c>
      <c r="H62" s="2" t="n">
        <f aca="false">'Color clustering'!H62</f>
        <v>157358</v>
      </c>
      <c r="I62" s="11" t="n">
        <f aca="false">'Color classification'!E62</f>
        <v>82</v>
      </c>
      <c r="J62" s="13" t="n">
        <f aca="false">'Color classification'!F62</f>
        <v>159918</v>
      </c>
      <c r="K62" s="2" t="n">
        <f aca="false">'Color classification'!G62</f>
        <v>2639</v>
      </c>
      <c r="L62" s="12" t="n">
        <f aca="false">'Color classification'!H62</f>
        <v>157361</v>
      </c>
    </row>
    <row r="63" customFormat="false" ht="15" hidden="false" customHeight="false" outlineLevel="0" collapsed="false">
      <c r="A63" s="7"/>
      <c r="B63" s="2" t="n">
        <v>59</v>
      </c>
      <c r="C63" s="11" t="n">
        <v>2620</v>
      </c>
      <c r="D63" s="12" t="n">
        <v>157380</v>
      </c>
      <c r="E63" s="34" t="n">
        <f aca="false">'Color clustering'!E63</f>
        <v>2606</v>
      </c>
      <c r="F63" s="13" t="n">
        <f aca="false">'Color clustering'!F63</f>
        <v>157394</v>
      </c>
      <c r="G63" s="34" t="n">
        <f aca="false">'Color clustering'!G63</f>
        <v>2628</v>
      </c>
      <c r="H63" s="2" t="n">
        <f aca="false">'Color clustering'!H63</f>
        <v>157372</v>
      </c>
      <c r="I63" s="11" t="n">
        <f aca="false">'Color classification'!E63</f>
        <v>7</v>
      </c>
      <c r="J63" s="13" t="n">
        <f aca="false">'Color classification'!F63</f>
        <v>159993</v>
      </c>
      <c r="K63" s="2" t="n">
        <f aca="false">'Color classification'!G63</f>
        <v>2620</v>
      </c>
      <c r="L63" s="12" t="n">
        <f aca="false">'Color classification'!H63</f>
        <v>157380</v>
      </c>
    </row>
    <row r="64" customFormat="false" ht="15" hidden="false" customHeight="false" outlineLevel="0" collapsed="false">
      <c r="A64" s="7"/>
      <c r="B64" s="2" t="n">
        <v>60</v>
      </c>
      <c r="C64" s="11" t="n">
        <v>2590</v>
      </c>
      <c r="D64" s="12" t="n">
        <v>157410</v>
      </c>
      <c r="E64" s="34" t="n">
        <f aca="false">'Color clustering'!E64</f>
        <v>2562</v>
      </c>
      <c r="F64" s="13" t="n">
        <f aca="false">'Color clustering'!F64</f>
        <v>157438</v>
      </c>
      <c r="G64" s="34" t="n">
        <f aca="false">'Color clustering'!G64</f>
        <v>2596</v>
      </c>
      <c r="H64" s="2" t="n">
        <f aca="false">'Color clustering'!H64</f>
        <v>157404</v>
      </c>
      <c r="I64" s="11" t="n">
        <f aca="false">'Color classification'!E64</f>
        <v>163</v>
      </c>
      <c r="J64" s="13" t="n">
        <f aca="false">'Color classification'!F64</f>
        <v>159837</v>
      </c>
      <c r="K64" s="2" t="n">
        <f aca="false">'Color classification'!G64</f>
        <v>2589</v>
      </c>
      <c r="L64" s="12" t="n">
        <f aca="false">'Color classification'!H64</f>
        <v>157411</v>
      </c>
    </row>
    <row r="65" customFormat="false" ht="15" hidden="false" customHeight="false" outlineLevel="0" collapsed="false">
      <c r="A65" s="7"/>
      <c r="B65" s="2" t="n">
        <v>61</v>
      </c>
      <c r="C65" s="11" t="n">
        <v>2586</v>
      </c>
      <c r="D65" s="12" t="n">
        <v>157414</v>
      </c>
      <c r="E65" s="34" t="n">
        <f aca="false">'Color clustering'!E65</f>
        <v>2555</v>
      </c>
      <c r="F65" s="13" t="n">
        <f aca="false">'Color clustering'!F65</f>
        <v>157445</v>
      </c>
      <c r="G65" s="34" t="n">
        <f aca="false">'Color clustering'!G65</f>
        <v>2591</v>
      </c>
      <c r="H65" s="2" t="n">
        <f aca="false">'Color clustering'!H65</f>
        <v>157409</v>
      </c>
      <c r="I65" s="11" t="n">
        <f aca="false">'Color classification'!E65</f>
        <v>12</v>
      </c>
      <c r="J65" s="13" t="n">
        <f aca="false">'Color classification'!F65</f>
        <v>159988</v>
      </c>
      <c r="K65" s="2" t="n">
        <f aca="false">'Color classification'!G65</f>
        <v>2584</v>
      </c>
      <c r="L65" s="12" t="n">
        <f aca="false">'Color classification'!H65</f>
        <v>157416</v>
      </c>
    </row>
    <row r="66" customFormat="false" ht="15" hidden="false" customHeight="false" outlineLevel="0" collapsed="false">
      <c r="A66" s="7"/>
      <c r="B66" s="2" t="n">
        <v>62</v>
      </c>
      <c r="C66" s="11" t="n">
        <v>2576</v>
      </c>
      <c r="D66" s="12" t="n">
        <v>157424</v>
      </c>
      <c r="E66" s="34" t="n">
        <f aca="false">'Color clustering'!E66</f>
        <v>2567</v>
      </c>
      <c r="F66" s="13" t="n">
        <f aca="false">'Color clustering'!F66</f>
        <v>157433</v>
      </c>
      <c r="G66" s="34" t="n">
        <f aca="false">'Color clustering'!G66</f>
        <v>2594</v>
      </c>
      <c r="H66" s="2" t="n">
        <f aca="false">'Color clustering'!H66</f>
        <v>157406</v>
      </c>
      <c r="I66" s="11" t="n">
        <f aca="false">'Color classification'!E66</f>
        <v>124</v>
      </c>
      <c r="J66" s="13" t="n">
        <f aca="false">'Color classification'!F66</f>
        <v>159876</v>
      </c>
      <c r="K66" s="2" t="n">
        <f aca="false">'Color classification'!G66</f>
        <v>2582</v>
      </c>
      <c r="L66" s="12" t="n">
        <f aca="false">'Color classification'!H66</f>
        <v>157418</v>
      </c>
    </row>
    <row r="67" customFormat="false" ht="15" hidden="false" customHeight="false" outlineLevel="0" collapsed="false">
      <c r="A67" s="7"/>
      <c r="B67" s="2" t="n">
        <v>63</v>
      </c>
      <c r="C67" s="11" t="n">
        <v>2562</v>
      </c>
      <c r="D67" s="12" t="n">
        <v>157438</v>
      </c>
      <c r="E67" s="34" t="n">
        <f aca="false">'Color clustering'!E67</f>
        <v>2525</v>
      </c>
      <c r="F67" s="13" t="n">
        <f aca="false">'Color clustering'!F67</f>
        <v>157475</v>
      </c>
      <c r="G67" s="34" t="n">
        <f aca="false">'Color clustering'!G67</f>
        <v>2565</v>
      </c>
      <c r="H67" s="2" t="n">
        <f aca="false">'Color clustering'!H67</f>
        <v>157435</v>
      </c>
      <c r="I67" s="11" t="n">
        <f aca="false">'Color classification'!E67</f>
        <v>8</v>
      </c>
      <c r="J67" s="13" t="n">
        <f aca="false">'Color classification'!F67</f>
        <v>159992</v>
      </c>
      <c r="K67" s="2" t="n">
        <f aca="false">'Color classification'!G67</f>
        <v>2562</v>
      </c>
      <c r="L67" s="12" t="n">
        <f aca="false">'Color classification'!H67</f>
        <v>157438</v>
      </c>
    </row>
    <row r="68" customFormat="false" ht="15" hidden="false" customHeight="false" outlineLevel="0" collapsed="false">
      <c r="A68" s="7"/>
      <c r="B68" s="2" t="n">
        <v>64</v>
      </c>
      <c r="C68" s="11" t="n">
        <v>2562</v>
      </c>
      <c r="D68" s="12" t="n">
        <v>157438</v>
      </c>
      <c r="E68" s="34" t="n">
        <f aca="false">'Color clustering'!E68</f>
        <v>2507</v>
      </c>
      <c r="F68" s="13" t="n">
        <f aca="false">'Color clustering'!F68</f>
        <v>157493</v>
      </c>
      <c r="G68" s="34" t="n">
        <f aca="false">'Color clustering'!G68</f>
        <v>2562</v>
      </c>
      <c r="H68" s="2" t="n">
        <f aca="false">'Color clustering'!H68</f>
        <v>157438</v>
      </c>
      <c r="I68" s="11" t="n">
        <f aca="false">'Color classification'!E68</f>
        <v>12</v>
      </c>
      <c r="J68" s="13" t="n">
        <f aca="false">'Color classification'!F68</f>
        <v>159988</v>
      </c>
      <c r="K68" s="2" t="n">
        <f aca="false">'Color classification'!G68</f>
        <v>2561</v>
      </c>
      <c r="L68" s="12" t="n">
        <f aca="false">'Color classification'!H68</f>
        <v>157439</v>
      </c>
    </row>
    <row r="69" customFormat="false" ht="15" hidden="false" customHeight="false" outlineLevel="0" collapsed="false">
      <c r="A69" s="7"/>
      <c r="B69" s="2" t="n">
        <v>65</v>
      </c>
      <c r="C69" s="11" t="n">
        <v>2546</v>
      </c>
      <c r="D69" s="12" t="n">
        <v>157454</v>
      </c>
      <c r="E69" s="34" t="n">
        <f aca="false">'Color clustering'!E69</f>
        <v>2509</v>
      </c>
      <c r="F69" s="13" t="n">
        <f aca="false">'Color clustering'!F69</f>
        <v>157491</v>
      </c>
      <c r="G69" s="34" t="n">
        <f aca="false">'Color clustering'!G69</f>
        <v>2546</v>
      </c>
      <c r="H69" s="2" t="n">
        <f aca="false">'Color clustering'!H69</f>
        <v>157454</v>
      </c>
      <c r="I69" s="11" t="n">
        <f aca="false">'Color classification'!E69</f>
        <v>3</v>
      </c>
      <c r="J69" s="13" t="n">
        <f aca="false">'Color classification'!F69</f>
        <v>159997</v>
      </c>
      <c r="K69" s="2" t="n">
        <f aca="false">'Color classification'!G69</f>
        <v>2546</v>
      </c>
      <c r="L69" s="12" t="n">
        <f aca="false">'Color classification'!H69</f>
        <v>157454</v>
      </c>
    </row>
    <row r="70" customFormat="false" ht="15" hidden="false" customHeight="false" outlineLevel="0" collapsed="false">
      <c r="A70" s="7"/>
      <c r="B70" s="2" t="n">
        <v>66</v>
      </c>
      <c r="C70" s="11" t="n">
        <v>2528</v>
      </c>
      <c r="D70" s="12" t="n">
        <v>157472</v>
      </c>
      <c r="E70" s="34" t="n">
        <f aca="false">'Color clustering'!E70</f>
        <v>2504</v>
      </c>
      <c r="F70" s="13" t="n">
        <f aca="false">'Color clustering'!F70</f>
        <v>157496</v>
      </c>
      <c r="G70" s="34" t="n">
        <f aca="false">'Color clustering'!G70</f>
        <v>2530</v>
      </c>
      <c r="H70" s="2" t="n">
        <f aca="false">'Color clustering'!H70</f>
        <v>157470</v>
      </c>
      <c r="I70" s="11" t="n">
        <f aca="false">'Color classification'!E70</f>
        <v>14</v>
      </c>
      <c r="J70" s="13" t="n">
        <f aca="false">'Color classification'!F70</f>
        <v>159986</v>
      </c>
      <c r="K70" s="2" t="n">
        <f aca="false">'Color classification'!G70</f>
        <v>2528</v>
      </c>
      <c r="L70" s="12" t="n">
        <f aca="false">'Color classification'!H70</f>
        <v>157472</v>
      </c>
    </row>
    <row r="71" customFormat="false" ht="15" hidden="false" customHeight="false" outlineLevel="0" collapsed="false">
      <c r="A71" s="7"/>
      <c r="B71" s="2" t="n">
        <v>67</v>
      </c>
      <c r="C71" s="11" t="n">
        <v>2516</v>
      </c>
      <c r="D71" s="12" t="n">
        <v>157484</v>
      </c>
      <c r="E71" s="34" t="n">
        <f aca="false">'Color clustering'!E71</f>
        <v>2502</v>
      </c>
      <c r="F71" s="13" t="n">
        <f aca="false">'Color clustering'!F71</f>
        <v>157498</v>
      </c>
      <c r="G71" s="34" t="n">
        <f aca="false">'Color clustering'!G71</f>
        <v>2515</v>
      </c>
      <c r="H71" s="2" t="n">
        <f aca="false">'Color clustering'!H71</f>
        <v>157485</v>
      </c>
      <c r="I71" s="11" t="n">
        <f aca="false">'Color classification'!E71</f>
        <v>29</v>
      </c>
      <c r="J71" s="13" t="n">
        <f aca="false">'Color classification'!F71</f>
        <v>159971</v>
      </c>
      <c r="K71" s="2" t="n">
        <f aca="false">'Color classification'!G71</f>
        <v>2513</v>
      </c>
      <c r="L71" s="12" t="n">
        <f aca="false">'Color classification'!H71</f>
        <v>157487</v>
      </c>
    </row>
    <row r="72" customFormat="false" ht="15" hidden="false" customHeight="false" outlineLevel="0" collapsed="false">
      <c r="A72" s="7"/>
      <c r="B72" s="2" t="n">
        <v>68</v>
      </c>
      <c r="C72" s="11" t="n">
        <v>2516</v>
      </c>
      <c r="D72" s="12" t="n">
        <v>157484</v>
      </c>
      <c r="E72" s="34" t="n">
        <f aca="false">'Color clustering'!E72</f>
        <v>2492</v>
      </c>
      <c r="F72" s="13" t="n">
        <f aca="false">'Color clustering'!F72</f>
        <v>157508</v>
      </c>
      <c r="G72" s="34" t="n">
        <f aca="false">'Color clustering'!G72</f>
        <v>2525</v>
      </c>
      <c r="H72" s="2" t="n">
        <f aca="false">'Color clustering'!H72</f>
        <v>157475</v>
      </c>
      <c r="I72" s="11" t="n">
        <f aca="false">'Color classification'!E72</f>
        <v>25</v>
      </c>
      <c r="J72" s="13" t="n">
        <f aca="false">'Color classification'!F72</f>
        <v>159975</v>
      </c>
      <c r="K72" s="2" t="n">
        <f aca="false">'Color classification'!G72</f>
        <v>2523</v>
      </c>
      <c r="L72" s="12" t="n">
        <f aca="false">'Color classification'!H72</f>
        <v>157477</v>
      </c>
    </row>
    <row r="73" customFormat="false" ht="15" hidden="false" customHeight="false" outlineLevel="0" collapsed="false">
      <c r="A73" s="7"/>
      <c r="B73" s="2" t="n">
        <v>69</v>
      </c>
      <c r="C73" s="11" t="n">
        <v>2520</v>
      </c>
      <c r="D73" s="12" t="n">
        <v>157480</v>
      </c>
      <c r="E73" s="34" t="n">
        <f aca="false">'Color clustering'!E73</f>
        <v>2492</v>
      </c>
      <c r="F73" s="13" t="n">
        <f aca="false">'Color clustering'!F73</f>
        <v>157508</v>
      </c>
      <c r="G73" s="34" t="n">
        <f aca="false">'Color clustering'!G73</f>
        <v>2526</v>
      </c>
      <c r="H73" s="2" t="n">
        <f aca="false">'Color clustering'!H73</f>
        <v>157474</v>
      </c>
      <c r="I73" s="11" t="n">
        <f aca="false">'Color classification'!E73</f>
        <v>330</v>
      </c>
      <c r="J73" s="13" t="n">
        <f aca="false">'Color classification'!F73</f>
        <v>159670</v>
      </c>
      <c r="K73" s="2" t="n">
        <f aca="false">'Color classification'!G73</f>
        <v>2524</v>
      </c>
      <c r="L73" s="12" t="n">
        <f aca="false">'Color classification'!H73</f>
        <v>157476</v>
      </c>
    </row>
    <row r="74" customFormat="false" ht="15" hidden="false" customHeight="false" outlineLevel="0" collapsed="false">
      <c r="A74" s="7"/>
      <c r="B74" s="2" t="n">
        <v>70</v>
      </c>
      <c r="C74" s="11" t="n">
        <v>2512</v>
      </c>
      <c r="D74" s="12" t="n">
        <v>157488</v>
      </c>
      <c r="E74" s="34" t="n">
        <f aca="false">'Color clustering'!E74</f>
        <v>2485</v>
      </c>
      <c r="F74" s="13" t="n">
        <f aca="false">'Color clustering'!F74</f>
        <v>157515</v>
      </c>
      <c r="G74" s="34" t="n">
        <f aca="false">'Color clustering'!G74</f>
        <v>2512</v>
      </c>
      <c r="H74" s="2" t="n">
        <f aca="false">'Color clustering'!H74</f>
        <v>157488</v>
      </c>
      <c r="I74" s="11" t="n">
        <f aca="false">'Color classification'!E74</f>
        <v>7</v>
      </c>
      <c r="J74" s="13" t="n">
        <f aca="false">'Color classification'!F74</f>
        <v>159993</v>
      </c>
      <c r="K74" s="2" t="n">
        <f aca="false">'Color classification'!G74</f>
        <v>2508</v>
      </c>
      <c r="L74" s="12" t="n">
        <f aca="false">'Color classification'!H74</f>
        <v>157492</v>
      </c>
    </row>
    <row r="75" customFormat="false" ht="15" hidden="false" customHeight="false" outlineLevel="0" collapsed="false">
      <c r="A75" s="7"/>
      <c r="B75" s="2" t="n">
        <v>71</v>
      </c>
      <c r="C75" s="11" t="n">
        <v>2508</v>
      </c>
      <c r="D75" s="12" t="n">
        <v>157492</v>
      </c>
      <c r="E75" s="34" t="n">
        <f aca="false">'Color clustering'!E75</f>
        <v>2498</v>
      </c>
      <c r="F75" s="13" t="n">
        <f aca="false">'Color clustering'!F75</f>
        <v>157502</v>
      </c>
      <c r="G75" s="34" t="n">
        <f aca="false">'Color clustering'!G75</f>
        <v>2518</v>
      </c>
      <c r="H75" s="2" t="n">
        <f aca="false">'Color clustering'!H75</f>
        <v>157482</v>
      </c>
      <c r="I75" s="11" t="n">
        <f aca="false">'Color classification'!E75</f>
        <v>73</v>
      </c>
      <c r="J75" s="13" t="n">
        <f aca="false">'Color classification'!F75</f>
        <v>159927</v>
      </c>
      <c r="K75" s="2" t="n">
        <f aca="false">'Color classification'!G75</f>
        <v>2514</v>
      </c>
      <c r="L75" s="12" t="n">
        <f aca="false">'Color classification'!H75</f>
        <v>157486</v>
      </c>
    </row>
    <row r="76" customFormat="false" ht="15" hidden="false" customHeight="false" outlineLevel="0" collapsed="false">
      <c r="A76" s="7"/>
      <c r="B76" s="2" t="n">
        <v>72</v>
      </c>
      <c r="C76" s="11" t="n">
        <v>2504</v>
      </c>
      <c r="D76" s="12" t="n">
        <v>157496</v>
      </c>
      <c r="E76" s="34" t="n">
        <f aca="false">'Color clustering'!E76</f>
        <v>2476</v>
      </c>
      <c r="F76" s="13" t="n">
        <f aca="false">'Color clustering'!F76</f>
        <v>157524</v>
      </c>
      <c r="G76" s="34" t="n">
        <f aca="false">'Color clustering'!G76</f>
        <v>2514</v>
      </c>
      <c r="H76" s="2" t="n">
        <f aca="false">'Color clustering'!H76</f>
        <v>157486</v>
      </c>
      <c r="I76" s="11" t="n">
        <f aca="false">'Color classification'!E76</f>
        <v>14</v>
      </c>
      <c r="J76" s="13" t="n">
        <f aca="false">'Color classification'!F76</f>
        <v>159986</v>
      </c>
      <c r="K76" s="2" t="n">
        <f aca="false">'Color classification'!G76</f>
        <v>2512</v>
      </c>
      <c r="L76" s="12" t="n">
        <f aca="false">'Color classification'!H76</f>
        <v>157488</v>
      </c>
    </row>
    <row r="77" customFormat="false" ht="15" hidden="false" customHeight="false" outlineLevel="0" collapsed="false">
      <c r="A77" s="7"/>
      <c r="B77" s="2" t="n">
        <v>73</v>
      </c>
      <c r="C77" s="11" t="n">
        <v>2500</v>
      </c>
      <c r="D77" s="12" t="n">
        <v>157500</v>
      </c>
      <c r="E77" s="34" t="n">
        <f aca="false">'Color clustering'!E77</f>
        <v>2466</v>
      </c>
      <c r="F77" s="13" t="n">
        <f aca="false">'Color clustering'!F77</f>
        <v>157534</v>
      </c>
      <c r="G77" s="34" t="n">
        <f aca="false">'Color clustering'!G77</f>
        <v>2505</v>
      </c>
      <c r="H77" s="2" t="n">
        <f aca="false">'Color clustering'!H77</f>
        <v>157495</v>
      </c>
      <c r="I77" s="11" t="n">
        <f aca="false">'Color classification'!E77</f>
        <v>29</v>
      </c>
      <c r="J77" s="13" t="n">
        <f aca="false">'Color classification'!F77</f>
        <v>159971</v>
      </c>
      <c r="K77" s="2" t="n">
        <f aca="false">'Color classification'!G77</f>
        <v>2499</v>
      </c>
      <c r="L77" s="12" t="n">
        <f aca="false">'Color classification'!H77</f>
        <v>157501</v>
      </c>
    </row>
    <row r="78" customFormat="false" ht="15" hidden="false" customHeight="false" outlineLevel="0" collapsed="false">
      <c r="A78" s="7"/>
      <c r="B78" s="2" t="n">
        <v>74</v>
      </c>
      <c r="C78" s="11" t="n">
        <v>2490</v>
      </c>
      <c r="D78" s="12" t="n">
        <v>157510</v>
      </c>
      <c r="E78" s="34" t="n">
        <f aca="false">'Color clustering'!E78</f>
        <v>2456</v>
      </c>
      <c r="F78" s="13" t="n">
        <f aca="false">'Color clustering'!F78</f>
        <v>157544</v>
      </c>
      <c r="G78" s="34" t="n">
        <f aca="false">'Color clustering'!G78</f>
        <v>2494</v>
      </c>
      <c r="H78" s="2" t="n">
        <f aca="false">'Color clustering'!H78</f>
        <v>157506</v>
      </c>
      <c r="I78" s="11" t="n">
        <f aca="false">'Color classification'!E78</f>
        <v>5</v>
      </c>
      <c r="J78" s="13" t="n">
        <f aca="false">'Color classification'!F78</f>
        <v>159995</v>
      </c>
      <c r="K78" s="2" t="n">
        <f aca="false">'Color classification'!G78</f>
        <v>2490</v>
      </c>
      <c r="L78" s="12" t="n">
        <f aca="false">'Color classification'!H78</f>
        <v>157510</v>
      </c>
    </row>
    <row r="79" customFormat="false" ht="15" hidden="false" customHeight="false" outlineLevel="0" collapsed="false">
      <c r="A79" s="7"/>
      <c r="B79" s="2" t="n">
        <v>75</v>
      </c>
      <c r="C79" s="11" t="n">
        <v>2500</v>
      </c>
      <c r="D79" s="12" t="n">
        <v>157500</v>
      </c>
      <c r="E79" s="34" t="n">
        <f aca="false">'Color clustering'!E79</f>
        <v>2455</v>
      </c>
      <c r="F79" s="13" t="n">
        <f aca="false">'Color clustering'!F79</f>
        <v>157545</v>
      </c>
      <c r="G79" s="34" t="n">
        <f aca="false">'Color clustering'!G79</f>
        <v>2505</v>
      </c>
      <c r="H79" s="2" t="n">
        <f aca="false">'Color clustering'!H79</f>
        <v>157495</v>
      </c>
      <c r="I79" s="11" t="n">
        <f aca="false">'Color classification'!E79</f>
        <v>104</v>
      </c>
      <c r="J79" s="13" t="n">
        <f aca="false">'Color classification'!F79</f>
        <v>159896</v>
      </c>
      <c r="K79" s="2" t="n">
        <f aca="false">'Color classification'!G79</f>
        <v>2501</v>
      </c>
      <c r="L79" s="12" t="n">
        <f aca="false">'Color classification'!H79</f>
        <v>157499</v>
      </c>
    </row>
    <row r="80" customFormat="false" ht="15" hidden="false" customHeight="false" outlineLevel="0" collapsed="false">
      <c r="A80" s="7"/>
      <c r="B80" s="2" t="n">
        <v>76</v>
      </c>
      <c r="C80" s="11" t="n">
        <v>2504</v>
      </c>
      <c r="D80" s="12" t="n">
        <v>157496</v>
      </c>
      <c r="E80" s="34" t="n">
        <f aca="false">'Color clustering'!E80</f>
        <v>2481</v>
      </c>
      <c r="F80" s="13" t="n">
        <f aca="false">'Color clustering'!F80</f>
        <v>157519</v>
      </c>
      <c r="G80" s="34" t="n">
        <f aca="false">'Color clustering'!G80</f>
        <v>2507</v>
      </c>
      <c r="H80" s="2" t="n">
        <f aca="false">'Color clustering'!H80</f>
        <v>157493</v>
      </c>
      <c r="I80" s="11" t="n">
        <f aca="false">'Color classification'!E80</f>
        <v>11</v>
      </c>
      <c r="J80" s="13" t="n">
        <f aca="false">'Color classification'!F80</f>
        <v>159989</v>
      </c>
      <c r="K80" s="2" t="n">
        <f aca="false">'Color classification'!G80</f>
        <v>2500</v>
      </c>
      <c r="L80" s="12" t="n">
        <f aca="false">'Color classification'!H80</f>
        <v>157500</v>
      </c>
    </row>
    <row r="81" customFormat="false" ht="15" hidden="false" customHeight="false" outlineLevel="0" collapsed="false">
      <c r="A81" s="7"/>
      <c r="B81" s="2" t="n">
        <v>77</v>
      </c>
      <c r="C81" s="11" t="n">
        <v>2508</v>
      </c>
      <c r="D81" s="12" t="n">
        <v>157492</v>
      </c>
      <c r="E81" s="34" t="n">
        <f aca="false">'Color clustering'!E81</f>
        <v>2460</v>
      </c>
      <c r="F81" s="13" t="n">
        <f aca="false">'Color clustering'!F81</f>
        <v>157540</v>
      </c>
      <c r="G81" s="34" t="n">
        <f aca="false">'Color clustering'!G81</f>
        <v>2517</v>
      </c>
      <c r="H81" s="2" t="n">
        <f aca="false">'Color clustering'!H81</f>
        <v>157483</v>
      </c>
      <c r="I81" s="11" t="n">
        <f aca="false">'Color classification'!E81</f>
        <v>34</v>
      </c>
      <c r="J81" s="13" t="n">
        <f aca="false">'Color classification'!F81</f>
        <v>159966</v>
      </c>
      <c r="K81" s="2" t="n">
        <f aca="false">'Color classification'!G81</f>
        <v>2510</v>
      </c>
      <c r="L81" s="12" t="n">
        <f aca="false">'Color classification'!H81</f>
        <v>157490</v>
      </c>
    </row>
    <row r="82" customFormat="false" ht="15" hidden="false" customHeight="false" outlineLevel="0" collapsed="false">
      <c r="A82" s="7"/>
      <c r="B82" s="2" t="n">
        <v>78</v>
      </c>
      <c r="C82" s="11" t="n">
        <v>2512</v>
      </c>
      <c r="D82" s="12" t="n">
        <v>157488</v>
      </c>
      <c r="E82" s="34" t="n">
        <f aca="false">'Color clustering'!E82</f>
        <v>2455</v>
      </c>
      <c r="F82" s="13" t="n">
        <f aca="false">'Color clustering'!F82</f>
        <v>157545</v>
      </c>
      <c r="G82" s="34" t="n">
        <f aca="false">'Color clustering'!G82</f>
        <v>2512</v>
      </c>
      <c r="H82" s="2" t="n">
        <f aca="false">'Color clustering'!H82</f>
        <v>157488</v>
      </c>
      <c r="I82" s="11" t="n">
        <f aca="false">'Color classification'!E82</f>
        <v>331</v>
      </c>
      <c r="J82" s="13" t="n">
        <f aca="false">'Color classification'!F82</f>
        <v>159669</v>
      </c>
      <c r="K82" s="2" t="n">
        <f aca="false">'Color classification'!G82</f>
        <v>2507</v>
      </c>
      <c r="L82" s="12" t="n">
        <f aca="false">'Color classification'!H82</f>
        <v>157493</v>
      </c>
    </row>
    <row r="83" customFormat="false" ht="15" hidden="false" customHeight="false" outlineLevel="0" collapsed="false">
      <c r="A83" s="7"/>
      <c r="B83" s="2" t="n">
        <v>79</v>
      </c>
      <c r="C83" s="11" t="n">
        <v>2520</v>
      </c>
      <c r="D83" s="12" t="n">
        <v>157480</v>
      </c>
      <c r="E83" s="34" t="n">
        <f aca="false">'Color clustering'!E83</f>
        <v>2510</v>
      </c>
      <c r="F83" s="13" t="n">
        <f aca="false">'Color clustering'!F83</f>
        <v>157490</v>
      </c>
      <c r="G83" s="34" t="n">
        <f aca="false">'Color clustering'!G83</f>
        <v>2519</v>
      </c>
      <c r="H83" s="2" t="n">
        <f aca="false">'Color clustering'!H83</f>
        <v>157481</v>
      </c>
      <c r="I83" s="11" t="n">
        <f aca="false">'Color classification'!E83</f>
        <v>198</v>
      </c>
      <c r="J83" s="13" t="n">
        <f aca="false">'Color classification'!F83</f>
        <v>159802</v>
      </c>
      <c r="K83" s="2" t="n">
        <f aca="false">'Color classification'!G83</f>
        <v>2519</v>
      </c>
      <c r="L83" s="12" t="n">
        <f aca="false">'Color classification'!H83</f>
        <v>157481</v>
      </c>
    </row>
    <row r="84" customFormat="false" ht="15" hidden="false" customHeight="false" outlineLevel="0" collapsed="false">
      <c r="A84" s="7"/>
      <c r="B84" s="2" t="n">
        <v>80</v>
      </c>
      <c r="C84" s="11" t="n">
        <v>2516</v>
      </c>
      <c r="D84" s="12" t="n">
        <v>157484</v>
      </c>
      <c r="E84" s="34" t="n">
        <f aca="false">'Color clustering'!E84</f>
        <v>2481</v>
      </c>
      <c r="F84" s="13" t="n">
        <f aca="false">'Color clustering'!F84</f>
        <v>157519</v>
      </c>
      <c r="G84" s="34" t="n">
        <f aca="false">'Color clustering'!G84</f>
        <v>2521</v>
      </c>
      <c r="H84" s="2" t="n">
        <f aca="false">'Color clustering'!H84</f>
        <v>157479</v>
      </c>
      <c r="I84" s="11" t="n">
        <f aca="false">'Color classification'!E84</f>
        <v>118</v>
      </c>
      <c r="J84" s="13" t="n">
        <f aca="false">'Color classification'!F84</f>
        <v>159882</v>
      </c>
      <c r="K84" s="2" t="n">
        <f aca="false">'Color classification'!G84</f>
        <v>2515</v>
      </c>
      <c r="L84" s="12" t="n">
        <f aca="false">'Color classification'!H84</f>
        <v>157485</v>
      </c>
    </row>
    <row r="85" customFormat="false" ht="15" hidden="false" customHeight="false" outlineLevel="0" collapsed="false">
      <c r="A85" s="7"/>
      <c r="B85" s="2" t="n">
        <v>81</v>
      </c>
      <c r="C85" s="11" t="n">
        <v>2516</v>
      </c>
      <c r="D85" s="12" t="n">
        <v>157484</v>
      </c>
      <c r="E85" s="34" t="n">
        <f aca="false">'Color clustering'!E85</f>
        <v>2496</v>
      </c>
      <c r="F85" s="13" t="n">
        <f aca="false">'Color clustering'!F85</f>
        <v>157504</v>
      </c>
      <c r="G85" s="34" t="n">
        <f aca="false">'Color clustering'!G85</f>
        <v>2519</v>
      </c>
      <c r="H85" s="2" t="n">
        <f aca="false">'Color clustering'!H85</f>
        <v>157481</v>
      </c>
      <c r="I85" s="11" t="n">
        <f aca="false">'Color classification'!E85</f>
        <v>52</v>
      </c>
      <c r="J85" s="13" t="n">
        <f aca="false">'Color classification'!F85</f>
        <v>159948</v>
      </c>
      <c r="K85" s="2" t="n">
        <f aca="false">'Color classification'!G85</f>
        <v>2517</v>
      </c>
      <c r="L85" s="12" t="n">
        <f aca="false">'Color classification'!H85</f>
        <v>157483</v>
      </c>
    </row>
    <row r="86" customFormat="false" ht="15" hidden="false" customHeight="false" outlineLevel="0" collapsed="false">
      <c r="A86" s="7"/>
      <c r="B86" s="2" t="n">
        <v>82</v>
      </c>
      <c r="C86" s="11" t="n">
        <v>2528</v>
      </c>
      <c r="D86" s="12" t="n">
        <v>157472</v>
      </c>
      <c r="E86" s="34" t="n">
        <f aca="false">'Color clustering'!E86</f>
        <v>2495</v>
      </c>
      <c r="F86" s="13" t="n">
        <f aca="false">'Color clustering'!F86</f>
        <v>157505</v>
      </c>
      <c r="G86" s="34" t="n">
        <f aca="false">'Color clustering'!G86</f>
        <v>2528</v>
      </c>
      <c r="H86" s="2" t="n">
        <f aca="false">'Color clustering'!H86</f>
        <v>157472</v>
      </c>
      <c r="I86" s="11" t="n">
        <f aca="false">'Color classification'!E86</f>
        <v>101</v>
      </c>
      <c r="J86" s="13" t="n">
        <f aca="false">'Color classification'!F86</f>
        <v>159899</v>
      </c>
      <c r="K86" s="2" t="n">
        <f aca="false">'Color classification'!G86</f>
        <v>2530</v>
      </c>
      <c r="L86" s="12" t="n">
        <f aca="false">'Color classification'!H86</f>
        <v>157470</v>
      </c>
    </row>
    <row r="87" customFormat="false" ht="15" hidden="false" customHeight="false" outlineLevel="0" collapsed="false">
      <c r="A87" s="7"/>
      <c r="B87" s="2" t="n">
        <v>83</v>
      </c>
      <c r="C87" s="11" t="n">
        <v>2546</v>
      </c>
      <c r="D87" s="12" t="n">
        <v>157454</v>
      </c>
      <c r="E87" s="34" t="n">
        <f aca="false">'Color clustering'!E87</f>
        <v>2486</v>
      </c>
      <c r="F87" s="13" t="n">
        <f aca="false">'Color clustering'!F87</f>
        <v>157514</v>
      </c>
      <c r="G87" s="34" t="n">
        <f aca="false">'Color clustering'!G87</f>
        <v>2547</v>
      </c>
      <c r="H87" s="2" t="n">
        <f aca="false">'Color clustering'!H87</f>
        <v>157453</v>
      </c>
      <c r="I87" s="11" t="n">
        <f aca="false">'Color classification'!E87</f>
        <v>250</v>
      </c>
      <c r="J87" s="13" t="n">
        <f aca="false">'Color classification'!F87</f>
        <v>159750</v>
      </c>
      <c r="K87" s="2" t="n">
        <f aca="false">'Color classification'!G87</f>
        <v>2545</v>
      </c>
      <c r="L87" s="12" t="n">
        <f aca="false">'Color classification'!H87</f>
        <v>157455</v>
      </c>
    </row>
    <row r="88" customFormat="false" ht="15" hidden="false" customHeight="false" outlineLevel="0" collapsed="false">
      <c r="A88" s="7"/>
      <c r="B88" s="2" t="n">
        <v>84</v>
      </c>
      <c r="C88" s="11" t="n">
        <v>2562</v>
      </c>
      <c r="D88" s="12" t="n">
        <v>157438</v>
      </c>
      <c r="E88" s="34" t="n">
        <f aca="false">'Color clustering'!E88</f>
        <v>2532</v>
      </c>
      <c r="F88" s="13" t="n">
        <f aca="false">'Color clustering'!F88</f>
        <v>157468</v>
      </c>
      <c r="G88" s="34" t="n">
        <f aca="false">'Color clustering'!G88</f>
        <v>2563</v>
      </c>
      <c r="H88" s="2" t="n">
        <f aca="false">'Color clustering'!H88</f>
        <v>157437</v>
      </c>
      <c r="I88" s="11" t="n">
        <f aca="false">'Color classification'!E88</f>
        <v>9</v>
      </c>
      <c r="J88" s="13" t="n">
        <f aca="false">'Color classification'!F88</f>
        <v>159991</v>
      </c>
      <c r="K88" s="2" t="n">
        <f aca="false">'Color classification'!G88</f>
        <v>2564</v>
      </c>
      <c r="L88" s="12" t="n">
        <f aca="false">'Color classification'!H88</f>
        <v>157436</v>
      </c>
    </row>
    <row r="89" customFormat="false" ht="15" hidden="false" customHeight="false" outlineLevel="0" collapsed="false">
      <c r="A89" s="7"/>
      <c r="B89" s="2" t="n">
        <v>85</v>
      </c>
      <c r="C89" s="11" t="n">
        <v>2562</v>
      </c>
      <c r="D89" s="12" t="n">
        <v>157438</v>
      </c>
      <c r="E89" s="34" t="n">
        <f aca="false">'Color clustering'!E89</f>
        <v>2551</v>
      </c>
      <c r="F89" s="13" t="n">
        <f aca="false">'Color clustering'!F89</f>
        <v>157449</v>
      </c>
      <c r="G89" s="34" t="n">
        <f aca="false">'Color clustering'!G89</f>
        <v>2568</v>
      </c>
      <c r="H89" s="2" t="n">
        <f aca="false">'Color clustering'!H89</f>
        <v>157432</v>
      </c>
      <c r="I89" s="11" t="n">
        <f aca="false">'Color classification'!E89</f>
        <v>8</v>
      </c>
      <c r="J89" s="13" t="n">
        <f aca="false">'Color classification'!F89</f>
        <v>159992</v>
      </c>
      <c r="K89" s="2" t="n">
        <f aca="false">'Color classification'!G89</f>
        <v>2565</v>
      </c>
      <c r="L89" s="12" t="n">
        <f aca="false">'Color classification'!H89</f>
        <v>157435</v>
      </c>
    </row>
    <row r="90" customFormat="false" ht="15" hidden="false" customHeight="false" outlineLevel="0" collapsed="false">
      <c r="A90" s="7"/>
      <c r="B90" s="2" t="n">
        <v>86</v>
      </c>
      <c r="C90" s="11" t="n">
        <v>2576</v>
      </c>
      <c r="D90" s="12" t="n">
        <v>157424</v>
      </c>
      <c r="E90" s="34" t="n">
        <f aca="false">'Color clustering'!E90</f>
        <v>2546</v>
      </c>
      <c r="F90" s="13" t="n">
        <f aca="false">'Color clustering'!F90</f>
        <v>157454</v>
      </c>
      <c r="G90" s="34" t="n">
        <f aca="false">'Color clustering'!G90</f>
        <v>2578</v>
      </c>
      <c r="H90" s="2" t="n">
        <f aca="false">'Color clustering'!H90</f>
        <v>157422</v>
      </c>
      <c r="I90" s="11" t="n">
        <f aca="false">'Color classification'!E90</f>
        <v>119</v>
      </c>
      <c r="J90" s="13" t="n">
        <f aca="false">'Color classification'!F90</f>
        <v>159881</v>
      </c>
      <c r="K90" s="2" t="n">
        <f aca="false">'Color classification'!G90</f>
        <v>2575</v>
      </c>
      <c r="L90" s="12" t="n">
        <f aca="false">'Color classification'!H90</f>
        <v>157425</v>
      </c>
    </row>
    <row r="91" customFormat="false" ht="15" hidden="false" customHeight="false" outlineLevel="0" collapsed="false">
      <c r="A91" s="7"/>
      <c r="B91" s="2" t="n">
        <v>87</v>
      </c>
      <c r="C91" s="11" t="n">
        <v>2586</v>
      </c>
      <c r="D91" s="12" t="n">
        <v>157414</v>
      </c>
      <c r="E91" s="34" t="n">
        <f aca="false">'Color clustering'!E91</f>
        <v>2559</v>
      </c>
      <c r="F91" s="13" t="n">
        <f aca="false">'Color clustering'!F91</f>
        <v>157441</v>
      </c>
      <c r="G91" s="34" t="n">
        <f aca="false">'Color clustering'!G91</f>
        <v>2595</v>
      </c>
      <c r="H91" s="2" t="n">
        <f aca="false">'Color clustering'!H91</f>
        <v>157405</v>
      </c>
      <c r="I91" s="11" t="n">
        <f aca="false">'Color classification'!E91</f>
        <v>12</v>
      </c>
      <c r="J91" s="13" t="n">
        <f aca="false">'Color classification'!F91</f>
        <v>159988</v>
      </c>
      <c r="K91" s="2" t="n">
        <f aca="false">'Color classification'!G91</f>
        <v>2586</v>
      </c>
      <c r="L91" s="12" t="n">
        <f aca="false">'Color classification'!H91</f>
        <v>157414</v>
      </c>
    </row>
    <row r="92" customFormat="false" ht="15" hidden="false" customHeight="false" outlineLevel="0" collapsed="false">
      <c r="A92" s="7"/>
      <c r="B92" s="2" t="n">
        <v>88</v>
      </c>
      <c r="C92" s="11" t="n">
        <v>2590</v>
      </c>
      <c r="D92" s="12" t="n">
        <v>157410</v>
      </c>
      <c r="E92" s="34" t="n">
        <f aca="false">'Color clustering'!E92</f>
        <v>2562</v>
      </c>
      <c r="F92" s="13" t="n">
        <f aca="false">'Color clustering'!F92</f>
        <v>157438</v>
      </c>
      <c r="G92" s="34" t="n">
        <f aca="false">'Color clustering'!G92</f>
        <v>2591</v>
      </c>
      <c r="H92" s="2" t="n">
        <f aca="false">'Color clustering'!H92</f>
        <v>157409</v>
      </c>
      <c r="I92" s="11" t="n">
        <f aca="false">'Color classification'!E92</f>
        <v>2</v>
      </c>
      <c r="J92" s="13" t="n">
        <f aca="false">'Color classification'!F92</f>
        <v>159998</v>
      </c>
      <c r="K92" s="2" t="n">
        <f aca="false">'Color classification'!G92</f>
        <v>2591</v>
      </c>
      <c r="L92" s="12" t="n">
        <f aca="false">'Color classification'!H92</f>
        <v>157409</v>
      </c>
    </row>
    <row r="93" customFormat="false" ht="15" hidden="false" customHeight="false" outlineLevel="0" collapsed="false">
      <c r="A93" s="7"/>
      <c r="B93" s="2" t="n">
        <v>89</v>
      </c>
      <c r="C93" s="11" t="n">
        <v>2620</v>
      </c>
      <c r="D93" s="12" t="n">
        <v>157380</v>
      </c>
      <c r="E93" s="34" t="n">
        <f aca="false">'Color clustering'!E93</f>
        <v>2584</v>
      </c>
      <c r="F93" s="13" t="n">
        <f aca="false">'Color clustering'!F93</f>
        <v>157416</v>
      </c>
      <c r="G93" s="34" t="n">
        <f aca="false">'Color clustering'!G93</f>
        <v>2623</v>
      </c>
      <c r="H93" s="2" t="n">
        <f aca="false">'Color clustering'!H93</f>
        <v>157377</v>
      </c>
      <c r="I93" s="11" t="n">
        <f aca="false">'Color classification'!E93</f>
        <v>2</v>
      </c>
      <c r="J93" s="13" t="n">
        <f aca="false">'Color classification'!F93</f>
        <v>159998</v>
      </c>
      <c r="K93" s="2" t="n">
        <f aca="false">'Color classification'!G93</f>
        <v>2620</v>
      </c>
      <c r="L93" s="12" t="n">
        <f aca="false">'Color classification'!H93</f>
        <v>157380</v>
      </c>
    </row>
    <row r="94" customFormat="false" ht="15" hidden="false" customHeight="false" outlineLevel="0" collapsed="false">
      <c r="A94" s="7"/>
      <c r="B94" s="2" t="n">
        <v>90</v>
      </c>
      <c r="C94" s="11" t="n">
        <v>2636</v>
      </c>
      <c r="D94" s="12" t="n">
        <v>157364</v>
      </c>
      <c r="E94" s="34" t="n">
        <f aca="false">'Color clustering'!E94</f>
        <v>2604</v>
      </c>
      <c r="F94" s="13" t="n">
        <f aca="false">'Color clustering'!F94</f>
        <v>157396</v>
      </c>
      <c r="G94" s="34" t="n">
        <f aca="false">'Color clustering'!G94</f>
        <v>2641</v>
      </c>
      <c r="H94" s="2" t="n">
        <f aca="false">'Color clustering'!H94</f>
        <v>157359</v>
      </c>
      <c r="I94" s="11" t="n">
        <f aca="false">'Color classification'!E94</f>
        <v>30</v>
      </c>
      <c r="J94" s="13" t="n">
        <f aca="false">'Color classification'!F94</f>
        <v>159970</v>
      </c>
      <c r="K94" s="2" t="n">
        <f aca="false">'Color classification'!G94</f>
        <v>2636</v>
      </c>
      <c r="L94" s="12" t="n">
        <f aca="false">'Color classification'!H94</f>
        <v>157364</v>
      </c>
    </row>
    <row r="95" customFormat="false" ht="15" hidden="false" customHeight="false" outlineLevel="0" collapsed="false">
      <c r="A95" s="7"/>
      <c r="B95" s="2" t="n">
        <v>91</v>
      </c>
      <c r="C95" s="11" t="n">
        <v>2646</v>
      </c>
      <c r="D95" s="12" t="n">
        <v>157354</v>
      </c>
      <c r="E95" s="34" t="n">
        <f aca="false">'Color clustering'!E95</f>
        <v>2601</v>
      </c>
      <c r="F95" s="13" t="n">
        <f aca="false">'Color clustering'!F95</f>
        <v>157399</v>
      </c>
      <c r="G95" s="34" t="n">
        <f aca="false">'Color clustering'!G95</f>
        <v>2653</v>
      </c>
      <c r="H95" s="2" t="n">
        <f aca="false">'Color clustering'!H95</f>
        <v>157347</v>
      </c>
      <c r="I95" s="11" t="n">
        <f aca="false">'Color classification'!E95</f>
        <v>11</v>
      </c>
      <c r="J95" s="13" t="n">
        <f aca="false">'Color classification'!F95</f>
        <v>159989</v>
      </c>
      <c r="K95" s="2" t="n">
        <f aca="false">'Color classification'!G95</f>
        <v>2642</v>
      </c>
      <c r="L95" s="12" t="n">
        <f aca="false">'Color classification'!H95</f>
        <v>157358</v>
      </c>
    </row>
    <row r="96" customFormat="false" ht="15" hidden="false" customHeight="false" outlineLevel="0" collapsed="false">
      <c r="A96" s="7"/>
      <c r="B96" s="2" t="n">
        <v>92</v>
      </c>
      <c r="C96" s="11" t="n">
        <v>2664</v>
      </c>
      <c r="D96" s="12" t="n">
        <v>157336</v>
      </c>
      <c r="E96" s="34" t="n">
        <f aca="false">'Color clustering'!E96</f>
        <v>2650</v>
      </c>
      <c r="F96" s="13" t="n">
        <f aca="false">'Color clustering'!F96</f>
        <v>157350</v>
      </c>
      <c r="G96" s="34" t="n">
        <f aca="false">'Color clustering'!G96</f>
        <v>2669</v>
      </c>
      <c r="H96" s="2" t="n">
        <f aca="false">'Color clustering'!H96</f>
        <v>157331</v>
      </c>
      <c r="I96" s="11" t="n">
        <f aca="false">'Color classification'!E96</f>
        <v>15</v>
      </c>
      <c r="J96" s="13" t="n">
        <f aca="false">'Color classification'!F96</f>
        <v>159985</v>
      </c>
      <c r="K96" s="2" t="n">
        <f aca="false">'Color classification'!G96</f>
        <v>2667</v>
      </c>
      <c r="L96" s="12" t="n">
        <f aca="false">'Color classification'!H96</f>
        <v>157333</v>
      </c>
    </row>
    <row r="97" customFormat="false" ht="15" hidden="false" customHeight="false" outlineLevel="0" collapsed="false">
      <c r="A97" s="7"/>
      <c r="B97" s="2" t="n">
        <v>93</v>
      </c>
      <c r="C97" s="11" t="n">
        <v>2690</v>
      </c>
      <c r="D97" s="12" t="n">
        <v>157310</v>
      </c>
      <c r="E97" s="34" t="n">
        <f aca="false">'Color clustering'!E97</f>
        <v>2660</v>
      </c>
      <c r="F97" s="13" t="n">
        <f aca="false">'Color clustering'!F97</f>
        <v>157340</v>
      </c>
      <c r="G97" s="34" t="n">
        <f aca="false">'Color clustering'!G97</f>
        <v>2693</v>
      </c>
      <c r="H97" s="2" t="n">
        <f aca="false">'Color clustering'!H97</f>
        <v>157307</v>
      </c>
      <c r="I97" s="11" t="n">
        <f aca="false">'Color classification'!E97</f>
        <v>7</v>
      </c>
      <c r="J97" s="13" t="n">
        <f aca="false">'Color classification'!F97</f>
        <v>159993</v>
      </c>
      <c r="K97" s="2" t="n">
        <f aca="false">'Color classification'!G97</f>
        <v>2689</v>
      </c>
      <c r="L97" s="12" t="n">
        <f aca="false">'Color classification'!H97</f>
        <v>157311</v>
      </c>
    </row>
    <row r="98" customFormat="false" ht="15" hidden="false" customHeight="false" outlineLevel="0" collapsed="false">
      <c r="A98" s="7"/>
      <c r="B98" s="2" t="n">
        <v>94</v>
      </c>
      <c r="C98" s="11" t="n">
        <v>2724</v>
      </c>
      <c r="D98" s="12" t="n">
        <v>157276</v>
      </c>
      <c r="E98" s="34" t="n">
        <f aca="false">'Color clustering'!E98</f>
        <v>2702</v>
      </c>
      <c r="F98" s="13" t="n">
        <f aca="false">'Color clustering'!F98</f>
        <v>157298</v>
      </c>
      <c r="G98" s="34" t="n">
        <f aca="false">'Color clustering'!G98</f>
        <v>2724</v>
      </c>
      <c r="H98" s="2" t="n">
        <f aca="false">'Color clustering'!H98</f>
        <v>157276</v>
      </c>
      <c r="I98" s="11" t="n">
        <f aca="false">'Color classification'!E98</f>
        <v>58</v>
      </c>
      <c r="J98" s="13" t="n">
        <f aca="false">'Color classification'!F98</f>
        <v>159942</v>
      </c>
      <c r="K98" s="2" t="n">
        <f aca="false">'Color classification'!G98</f>
        <v>2723</v>
      </c>
      <c r="L98" s="12" t="n">
        <f aca="false">'Color classification'!H98</f>
        <v>157277</v>
      </c>
    </row>
    <row r="99" customFormat="false" ht="15" hidden="false" customHeight="false" outlineLevel="0" collapsed="false">
      <c r="A99" s="7"/>
      <c r="B99" s="2" t="n">
        <v>95</v>
      </c>
      <c r="C99" s="11" t="n">
        <v>2726</v>
      </c>
      <c r="D99" s="12" t="n">
        <v>157274</v>
      </c>
      <c r="E99" s="34" t="n">
        <f aca="false">'Color clustering'!E99</f>
        <v>2670</v>
      </c>
      <c r="F99" s="13" t="n">
        <f aca="false">'Color clustering'!F99</f>
        <v>157330</v>
      </c>
      <c r="G99" s="34" t="n">
        <f aca="false">'Color clustering'!G99</f>
        <v>2731</v>
      </c>
      <c r="H99" s="2" t="n">
        <f aca="false">'Color clustering'!H99</f>
        <v>157269</v>
      </c>
      <c r="I99" s="11" t="n">
        <f aca="false">'Color classification'!E99</f>
        <v>8</v>
      </c>
      <c r="J99" s="13" t="n">
        <f aca="false">'Color classification'!F99</f>
        <v>159992</v>
      </c>
      <c r="K99" s="2" t="n">
        <f aca="false">'Color classification'!G99</f>
        <v>2728</v>
      </c>
      <c r="L99" s="12" t="n">
        <f aca="false">'Color classification'!H99</f>
        <v>157272</v>
      </c>
    </row>
    <row r="100" customFormat="false" ht="15" hidden="false" customHeight="false" outlineLevel="0" collapsed="false">
      <c r="A100" s="7"/>
      <c r="B100" s="2" t="n">
        <v>96</v>
      </c>
      <c r="C100" s="11" t="n">
        <v>2764</v>
      </c>
      <c r="D100" s="12" t="n">
        <v>157236</v>
      </c>
      <c r="E100" s="34" t="n">
        <f aca="false">'Color clustering'!E100</f>
        <v>2741</v>
      </c>
      <c r="F100" s="13" t="n">
        <f aca="false">'Color clustering'!F100</f>
        <v>157259</v>
      </c>
      <c r="G100" s="34" t="n">
        <f aca="false">'Color clustering'!G100</f>
        <v>2772</v>
      </c>
      <c r="H100" s="2" t="n">
        <f aca="false">'Color clustering'!H100</f>
        <v>157228</v>
      </c>
      <c r="I100" s="11" t="n">
        <f aca="false">'Color classification'!E100</f>
        <v>229</v>
      </c>
      <c r="J100" s="13" t="n">
        <f aca="false">'Color classification'!F100</f>
        <v>159771</v>
      </c>
      <c r="K100" s="2" t="n">
        <f aca="false">'Color classification'!G100</f>
        <v>2767</v>
      </c>
      <c r="L100" s="12" t="n">
        <f aca="false">'Color classification'!H100</f>
        <v>157233</v>
      </c>
    </row>
    <row r="101" customFormat="false" ht="15" hidden="false" customHeight="false" outlineLevel="0" collapsed="false">
      <c r="A101" s="7"/>
      <c r="B101" s="2" t="n">
        <v>97</v>
      </c>
      <c r="C101" s="11" t="n">
        <v>2802</v>
      </c>
      <c r="D101" s="12" t="n">
        <v>157198</v>
      </c>
      <c r="E101" s="34" t="n">
        <f aca="false">'Color clustering'!E101</f>
        <v>2774</v>
      </c>
      <c r="F101" s="13" t="n">
        <f aca="false">'Color clustering'!F101</f>
        <v>157226</v>
      </c>
      <c r="G101" s="34" t="n">
        <f aca="false">'Color clustering'!G101</f>
        <v>2791</v>
      </c>
      <c r="H101" s="2" t="n">
        <f aca="false">'Color clustering'!H101</f>
        <v>157209</v>
      </c>
      <c r="I101" s="11" t="n">
        <f aca="false">'Color classification'!E101</f>
        <v>58</v>
      </c>
      <c r="J101" s="13" t="n">
        <f aca="false">'Color classification'!F101</f>
        <v>159942</v>
      </c>
      <c r="K101" s="2" t="n">
        <f aca="false">'Color classification'!G101</f>
        <v>2786</v>
      </c>
      <c r="L101" s="12" t="n">
        <f aca="false">'Color classification'!H101</f>
        <v>157214</v>
      </c>
    </row>
    <row r="102" customFormat="false" ht="15" hidden="false" customHeight="false" outlineLevel="0" collapsed="false">
      <c r="A102" s="7"/>
      <c r="B102" s="2" t="n">
        <v>98</v>
      </c>
      <c r="C102" s="11" t="n">
        <v>2828</v>
      </c>
      <c r="D102" s="12" t="n">
        <v>157172</v>
      </c>
      <c r="E102" s="34" t="n">
        <f aca="false">'Color clustering'!E102</f>
        <v>2818</v>
      </c>
      <c r="F102" s="13" t="n">
        <f aca="false">'Color clustering'!F102</f>
        <v>157182</v>
      </c>
      <c r="G102" s="34" t="n">
        <f aca="false">'Color clustering'!G102</f>
        <v>2834</v>
      </c>
      <c r="H102" s="2" t="n">
        <f aca="false">'Color clustering'!H102</f>
        <v>157166</v>
      </c>
      <c r="I102" s="11" t="n">
        <f aca="false">'Color classification'!E102</f>
        <v>57</v>
      </c>
      <c r="J102" s="13" t="n">
        <f aca="false">'Color classification'!F102</f>
        <v>159943</v>
      </c>
      <c r="K102" s="2" t="n">
        <f aca="false">'Color classification'!G102</f>
        <v>2832</v>
      </c>
      <c r="L102" s="12" t="n">
        <f aca="false">'Color classification'!H102</f>
        <v>157168</v>
      </c>
    </row>
    <row r="103" customFormat="false" ht="15" hidden="false" customHeight="false" outlineLevel="0" collapsed="false">
      <c r="A103" s="7"/>
      <c r="B103" s="2" t="n">
        <v>99</v>
      </c>
      <c r="C103" s="11" t="n">
        <v>2872</v>
      </c>
      <c r="D103" s="12" t="n">
        <v>157128</v>
      </c>
      <c r="E103" s="34" t="n">
        <f aca="false">'Color clustering'!E103</f>
        <v>2830</v>
      </c>
      <c r="F103" s="13" t="n">
        <f aca="false">'Color clustering'!F103</f>
        <v>157170</v>
      </c>
      <c r="G103" s="34" t="n">
        <f aca="false">'Color clustering'!G103</f>
        <v>2875</v>
      </c>
      <c r="H103" s="2" t="n">
        <f aca="false">'Color clustering'!H103</f>
        <v>157125</v>
      </c>
      <c r="I103" s="11" t="n">
        <f aca="false">'Color classification'!E103</f>
        <v>337</v>
      </c>
      <c r="J103" s="13" t="n">
        <f aca="false">'Color classification'!F103</f>
        <v>159663</v>
      </c>
      <c r="K103" s="2" t="n">
        <f aca="false">'Color classification'!G103</f>
        <v>2869</v>
      </c>
      <c r="L103" s="12" t="n">
        <f aca="false">'Color classification'!H103</f>
        <v>157131</v>
      </c>
    </row>
    <row r="104" customFormat="false" ht="15" hidden="false" customHeight="false" outlineLevel="0" collapsed="false">
      <c r="A104" s="7"/>
      <c r="B104" s="2" t="n">
        <v>100</v>
      </c>
      <c r="C104" s="11" t="n">
        <v>2906</v>
      </c>
      <c r="D104" s="12" t="n">
        <v>157094</v>
      </c>
      <c r="E104" s="34" t="n">
        <f aca="false">'Color clustering'!E104</f>
        <v>2868</v>
      </c>
      <c r="F104" s="13" t="n">
        <f aca="false">'Color clustering'!F104</f>
        <v>157132</v>
      </c>
      <c r="G104" s="34" t="n">
        <f aca="false">'Color clustering'!G104</f>
        <v>2917</v>
      </c>
      <c r="H104" s="2" t="n">
        <f aca="false">'Color clustering'!H104</f>
        <v>157083</v>
      </c>
      <c r="I104" s="11" t="n">
        <f aca="false">'Color classification'!E104</f>
        <v>15</v>
      </c>
      <c r="J104" s="13" t="n">
        <f aca="false">'Color classification'!F104</f>
        <v>159985</v>
      </c>
      <c r="K104" s="2" t="n">
        <f aca="false">'Color classification'!G104</f>
        <v>2911</v>
      </c>
      <c r="L104" s="12" t="n">
        <f aca="false">'Color classification'!H104</f>
        <v>157089</v>
      </c>
    </row>
    <row r="105" customFormat="false" ht="15" hidden="false" customHeight="false" outlineLevel="0" collapsed="false">
      <c r="A105" s="7"/>
      <c r="B105" s="2" t="n">
        <v>101</v>
      </c>
      <c r="C105" s="11" t="n">
        <v>2938</v>
      </c>
      <c r="D105" s="12" t="n">
        <v>157062</v>
      </c>
      <c r="E105" s="34" t="n">
        <f aca="false">'Color clustering'!E105</f>
        <v>2922</v>
      </c>
      <c r="F105" s="13" t="n">
        <f aca="false">'Color clustering'!F105</f>
        <v>157078</v>
      </c>
      <c r="G105" s="34" t="n">
        <f aca="false">'Color clustering'!G105</f>
        <v>2948</v>
      </c>
      <c r="H105" s="2" t="n">
        <f aca="false">'Color clustering'!H105</f>
        <v>157052</v>
      </c>
      <c r="I105" s="11" t="n">
        <f aca="false">'Color classification'!E105</f>
        <v>54</v>
      </c>
      <c r="J105" s="13" t="n">
        <f aca="false">'Color classification'!F105</f>
        <v>159946</v>
      </c>
      <c r="K105" s="2" t="n">
        <f aca="false">'Color classification'!G105</f>
        <v>2944</v>
      </c>
      <c r="L105" s="12" t="n">
        <f aca="false">'Color classification'!H105</f>
        <v>157056</v>
      </c>
    </row>
    <row r="106" customFormat="false" ht="15" hidden="false" customHeight="false" outlineLevel="0" collapsed="false">
      <c r="A106" s="7"/>
      <c r="B106" s="2" t="n">
        <v>102</v>
      </c>
      <c r="C106" s="11" t="n">
        <v>3000</v>
      </c>
      <c r="D106" s="12" t="n">
        <v>157000</v>
      </c>
      <c r="E106" s="34" t="n">
        <f aca="false">'Color clustering'!E106</f>
        <v>2975</v>
      </c>
      <c r="F106" s="13" t="n">
        <f aca="false">'Color clustering'!F106</f>
        <v>157025</v>
      </c>
      <c r="G106" s="34" t="n">
        <f aca="false">'Color clustering'!G106</f>
        <v>3001</v>
      </c>
      <c r="H106" s="2" t="n">
        <f aca="false">'Color clustering'!H106</f>
        <v>156999</v>
      </c>
      <c r="I106" s="11" t="n">
        <f aca="false">'Color classification'!E106</f>
        <v>216</v>
      </c>
      <c r="J106" s="13" t="n">
        <f aca="false">'Color classification'!F106</f>
        <v>159784</v>
      </c>
      <c r="K106" s="2" t="n">
        <f aca="false">'Color classification'!G106</f>
        <v>2996</v>
      </c>
      <c r="L106" s="12" t="n">
        <f aca="false">'Color classification'!H106</f>
        <v>157004</v>
      </c>
    </row>
    <row r="107" customFormat="false" ht="15" hidden="false" customHeight="false" outlineLevel="0" collapsed="false">
      <c r="A107" s="7"/>
      <c r="B107" s="2" t="n">
        <v>103</v>
      </c>
      <c r="C107" s="11" t="n">
        <v>3040</v>
      </c>
      <c r="D107" s="12" t="n">
        <v>156960</v>
      </c>
      <c r="E107" s="34" t="n">
        <f aca="false">'Color clustering'!E107</f>
        <v>3009</v>
      </c>
      <c r="F107" s="13" t="n">
        <f aca="false">'Color clustering'!F107</f>
        <v>156991</v>
      </c>
      <c r="G107" s="34" t="n">
        <f aca="false">'Color clustering'!G107</f>
        <v>3045</v>
      </c>
      <c r="H107" s="2" t="n">
        <f aca="false">'Color clustering'!H107</f>
        <v>156955</v>
      </c>
      <c r="I107" s="11" t="n">
        <f aca="false">'Color classification'!E107</f>
        <v>0</v>
      </c>
      <c r="J107" s="13" t="n">
        <f aca="false">'Color classification'!F107</f>
        <v>160000</v>
      </c>
      <c r="K107" s="2" t="n">
        <f aca="false">'Color classification'!G107</f>
        <v>3041</v>
      </c>
      <c r="L107" s="12" t="n">
        <f aca="false">'Color classification'!H107</f>
        <v>156959</v>
      </c>
    </row>
    <row r="108" customFormat="false" ht="15" hidden="false" customHeight="false" outlineLevel="0" collapsed="false">
      <c r="A108" s="7"/>
      <c r="B108" s="2" t="n">
        <v>104</v>
      </c>
      <c r="C108" s="11" t="n">
        <v>3116</v>
      </c>
      <c r="D108" s="12" t="n">
        <v>156884</v>
      </c>
      <c r="E108" s="34" t="n">
        <f aca="false">'Color clustering'!E108</f>
        <v>3060</v>
      </c>
      <c r="F108" s="13" t="n">
        <f aca="false">'Color clustering'!F108</f>
        <v>156940</v>
      </c>
      <c r="G108" s="34" t="n">
        <f aca="false">'Color clustering'!G108</f>
        <v>3122</v>
      </c>
      <c r="H108" s="2" t="n">
        <f aca="false">'Color clustering'!H108</f>
        <v>156878</v>
      </c>
      <c r="I108" s="11" t="n">
        <f aca="false">'Color classification'!E108</f>
        <v>0</v>
      </c>
      <c r="J108" s="13" t="n">
        <f aca="false">'Color classification'!F108</f>
        <v>160000</v>
      </c>
      <c r="K108" s="2" t="n">
        <f aca="false">'Color classification'!G108</f>
        <v>3122</v>
      </c>
      <c r="L108" s="12" t="n">
        <f aca="false">'Color classification'!H108</f>
        <v>156878</v>
      </c>
    </row>
    <row r="109" customFormat="false" ht="15" hidden="false" customHeight="false" outlineLevel="0" collapsed="false">
      <c r="A109" s="7"/>
      <c r="B109" s="2" t="n">
        <v>105</v>
      </c>
      <c r="C109" s="11" t="n">
        <v>3180</v>
      </c>
      <c r="D109" s="12" t="n">
        <v>156820</v>
      </c>
      <c r="E109" s="34" t="n">
        <f aca="false">'Color clustering'!E109</f>
        <v>3134</v>
      </c>
      <c r="F109" s="13" t="n">
        <f aca="false">'Color clustering'!F109</f>
        <v>156866</v>
      </c>
      <c r="G109" s="34" t="n">
        <f aca="false">'Color clustering'!G109</f>
        <v>3188</v>
      </c>
      <c r="H109" s="2" t="n">
        <f aca="false">'Color clustering'!H109</f>
        <v>156812</v>
      </c>
      <c r="I109" s="11" t="n">
        <f aca="false">'Color classification'!E109</f>
        <v>0</v>
      </c>
      <c r="J109" s="13" t="n">
        <f aca="false">'Color classification'!F109</f>
        <v>160000</v>
      </c>
      <c r="K109" s="2" t="n">
        <f aca="false">'Color classification'!G109</f>
        <v>3183</v>
      </c>
      <c r="L109" s="12" t="n">
        <f aca="false">'Color classification'!H109</f>
        <v>156817</v>
      </c>
    </row>
    <row r="110" customFormat="false" ht="15" hidden="false" customHeight="false" outlineLevel="0" collapsed="false">
      <c r="A110" s="7"/>
      <c r="B110" s="2" t="n">
        <v>106</v>
      </c>
      <c r="C110" s="11" t="n">
        <v>3266</v>
      </c>
      <c r="D110" s="12" t="n">
        <v>156734</v>
      </c>
      <c r="E110" s="34" t="n">
        <f aca="false">'Color clustering'!E110</f>
        <v>3228</v>
      </c>
      <c r="F110" s="13" t="n">
        <f aca="false">'Color clustering'!F110</f>
        <v>156772</v>
      </c>
      <c r="G110" s="34" t="n">
        <f aca="false">'Color clustering'!G110</f>
        <v>3267</v>
      </c>
      <c r="H110" s="2" t="n">
        <f aca="false">'Color clustering'!H110</f>
        <v>156733</v>
      </c>
      <c r="I110" s="11" t="n">
        <f aca="false">'Color classification'!E110</f>
        <v>11</v>
      </c>
      <c r="J110" s="13" t="n">
        <f aca="false">'Color classification'!F110</f>
        <v>159989</v>
      </c>
      <c r="K110" s="2" t="n">
        <f aca="false">'Color classification'!G110</f>
        <v>3261</v>
      </c>
      <c r="L110" s="12" t="n">
        <f aca="false">'Color classification'!H110</f>
        <v>156739</v>
      </c>
    </row>
    <row r="111" customFormat="false" ht="15" hidden="false" customHeight="false" outlineLevel="0" collapsed="false">
      <c r="A111" s="7"/>
      <c r="B111" s="2" t="n">
        <v>107</v>
      </c>
      <c r="C111" s="11" t="n">
        <v>3356</v>
      </c>
      <c r="D111" s="12" t="n">
        <v>156644</v>
      </c>
      <c r="E111" s="34" t="n">
        <f aca="false">'Color clustering'!E111</f>
        <v>3339</v>
      </c>
      <c r="F111" s="13" t="n">
        <f aca="false">'Color clustering'!F111</f>
        <v>156661</v>
      </c>
      <c r="G111" s="34" t="n">
        <f aca="false">'Color clustering'!G111</f>
        <v>3379</v>
      </c>
      <c r="H111" s="2" t="n">
        <f aca="false">'Color clustering'!H111</f>
        <v>156621</v>
      </c>
      <c r="I111" s="11" t="n">
        <f aca="false">'Color classification'!E111</f>
        <v>38</v>
      </c>
      <c r="J111" s="13" t="n">
        <f aca="false">'Color classification'!F111</f>
        <v>159962</v>
      </c>
      <c r="K111" s="2" t="n">
        <f aca="false">'Color classification'!G111</f>
        <v>3378</v>
      </c>
      <c r="L111" s="12" t="n">
        <f aca="false">'Color classification'!H111</f>
        <v>156622</v>
      </c>
    </row>
    <row r="112" customFormat="false" ht="15" hidden="false" customHeight="false" outlineLevel="0" collapsed="false">
      <c r="A112" s="7"/>
      <c r="B112" s="2" t="n">
        <v>108</v>
      </c>
      <c r="C112" s="11" t="n">
        <v>3480</v>
      </c>
      <c r="D112" s="12" t="n">
        <v>156520</v>
      </c>
      <c r="E112" s="34" t="n">
        <f aca="false">'Color clustering'!E112</f>
        <v>3397</v>
      </c>
      <c r="F112" s="13" t="n">
        <f aca="false">'Color clustering'!F112</f>
        <v>156603</v>
      </c>
      <c r="G112" s="34" t="n">
        <f aca="false">'Color clustering'!G112</f>
        <v>3494</v>
      </c>
      <c r="H112" s="2" t="n">
        <f aca="false">'Color clustering'!H112</f>
        <v>156506</v>
      </c>
      <c r="I112" s="11" t="n">
        <f aca="false">'Color classification'!E112</f>
        <v>16</v>
      </c>
      <c r="J112" s="13" t="n">
        <f aca="false">'Color classification'!F112</f>
        <v>159984</v>
      </c>
      <c r="K112" s="2" t="n">
        <f aca="false">'Color classification'!G112</f>
        <v>3485</v>
      </c>
      <c r="L112" s="12" t="n">
        <f aca="false">'Color classification'!H112</f>
        <v>156515</v>
      </c>
    </row>
    <row r="113" customFormat="false" ht="15" hidden="false" customHeight="false" outlineLevel="0" collapsed="false">
      <c r="A113" s="7"/>
      <c r="B113" s="2" t="n">
        <v>109</v>
      </c>
      <c r="C113" s="11" t="n">
        <v>3680</v>
      </c>
      <c r="D113" s="12" t="n">
        <v>156320</v>
      </c>
      <c r="E113" s="34" t="n">
        <f aca="false">'Color clustering'!E113</f>
        <v>3626</v>
      </c>
      <c r="F113" s="13" t="n">
        <f aca="false">'Color clustering'!F113</f>
        <v>156374</v>
      </c>
      <c r="G113" s="34" t="n">
        <f aca="false">'Color clustering'!G113</f>
        <v>3681</v>
      </c>
      <c r="H113" s="2" t="n">
        <f aca="false">'Color clustering'!H113</f>
        <v>156319</v>
      </c>
      <c r="I113" s="11" t="n">
        <f aca="false">'Color classification'!E113</f>
        <v>30</v>
      </c>
      <c r="J113" s="13" t="n">
        <f aca="false">'Color classification'!F113</f>
        <v>159970</v>
      </c>
      <c r="K113" s="2" t="n">
        <f aca="false">'Color classification'!G113</f>
        <v>3680</v>
      </c>
      <c r="L113" s="12" t="n">
        <f aca="false">'Color classification'!H113</f>
        <v>156320</v>
      </c>
    </row>
    <row r="114" customFormat="false" ht="15" hidden="false" customHeight="false" outlineLevel="0" collapsed="false">
      <c r="A114" s="7"/>
      <c r="B114" s="2" t="n">
        <v>110</v>
      </c>
      <c r="C114" s="11" t="n">
        <v>3851</v>
      </c>
      <c r="D114" s="12" t="n">
        <v>156149</v>
      </c>
      <c r="E114" s="34" t="n">
        <f aca="false">'Color clustering'!E114</f>
        <v>3791</v>
      </c>
      <c r="F114" s="13" t="n">
        <f aca="false">'Color clustering'!F114</f>
        <v>156209</v>
      </c>
      <c r="G114" s="34" t="n">
        <f aca="false">'Color clustering'!G114</f>
        <v>3855</v>
      </c>
      <c r="H114" s="2" t="n">
        <f aca="false">'Color clustering'!H114</f>
        <v>156145</v>
      </c>
      <c r="I114" s="11" t="n">
        <f aca="false">'Color classification'!E114</f>
        <v>13</v>
      </c>
      <c r="J114" s="13" t="n">
        <f aca="false">'Color classification'!F114</f>
        <v>159987</v>
      </c>
      <c r="K114" s="2" t="n">
        <f aca="false">'Color classification'!G114</f>
        <v>3849</v>
      </c>
      <c r="L114" s="12" t="n">
        <f aca="false">'Color classification'!H114</f>
        <v>156151</v>
      </c>
    </row>
    <row r="115" customFormat="false" ht="15" hidden="false" customHeight="false" outlineLevel="0" collapsed="false">
      <c r="A115" s="7"/>
      <c r="B115" s="2" t="n">
        <v>111</v>
      </c>
      <c r="C115" s="11" t="n">
        <v>3971</v>
      </c>
      <c r="D115" s="12" t="n">
        <v>156029</v>
      </c>
      <c r="E115" s="34" t="n">
        <f aca="false">'Color clustering'!E115</f>
        <v>3893</v>
      </c>
      <c r="F115" s="13" t="n">
        <f aca="false">'Color clustering'!F115</f>
        <v>156107</v>
      </c>
      <c r="G115" s="34" t="n">
        <f aca="false">'Color clustering'!G115</f>
        <v>3966</v>
      </c>
      <c r="H115" s="2" t="n">
        <f aca="false">'Color clustering'!H115</f>
        <v>156034</v>
      </c>
      <c r="I115" s="11" t="n">
        <f aca="false">'Color classification'!E115</f>
        <v>10</v>
      </c>
      <c r="J115" s="13" t="n">
        <f aca="false">'Color classification'!F115</f>
        <v>159990</v>
      </c>
      <c r="K115" s="2" t="n">
        <f aca="false">'Color classification'!G115</f>
        <v>3962</v>
      </c>
      <c r="L115" s="12" t="n">
        <f aca="false">'Color classification'!H115</f>
        <v>156038</v>
      </c>
    </row>
    <row r="116" customFormat="false" ht="15" hidden="false" customHeight="false" outlineLevel="0" collapsed="false">
      <c r="A116" s="7"/>
      <c r="B116" s="2" t="n">
        <v>112</v>
      </c>
      <c r="C116" s="11" t="n">
        <v>4049</v>
      </c>
      <c r="D116" s="12" t="n">
        <v>155951</v>
      </c>
      <c r="E116" s="34" t="n">
        <f aca="false">'Color clustering'!E116</f>
        <v>3996</v>
      </c>
      <c r="F116" s="13" t="n">
        <f aca="false">'Color clustering'!F116</f>
        <v>156004</v>
      </c>
      <c r="G116" s="34" t="n">
        <f aca="false">'Color clustering'!G116</f>
        <v>4056</v>
      </c>
      <c r="H116" s="2" t="n">
        <f aca="false">'Color clustering'!H116</f>
        <v>155944</v>
      </c>
      <c r="I116" s="11" t="n">
        <f aca="false">'Color classification'!E116</f>
        <v>29</v>
      </c>
      <c r="J116" s="13" t="n">
        <f aca="false">'Color classification'!F116</f>
        <v>159971</v>
      </c>
      <c r="K116" s="2" t="n">
        <f aca="false">'Color classification'!G116</f>
        <v>4050</v>
      </c>
      <c r="L116" s="12" t="n">
        <f aca="false">'Color classification'!H116</f>
        <v>155950</v>
      </c>
    </row>
    <row r="117" customFormat="false" ht="15" hidden="false" customHeight="false" outlineLevel="0" collapsed="false">
      <c r="A117" s="7"/>
      <c r="B117" s="2" t="n">
        <v>113</v>
      </c>
      <c r="C117" s="11" t="n">
        <v>4115</v>
      </c>
      <c r="D117" s="12" t="n">
        <v>155885</v>
      </c>
      <c r="E117" s="34" t="n">
        <f aca="false">'Color clustering'!E117</f>
        <v>4063</v>
      </c>
      <c r="F117" s="13" t="n">
        <f aca="false">'Color clustering'!F117</f>
        <v>155937</v>
      </c>
      <c r="G117" s="34" t="n">
        <f aca="false">'Color clustering'!G117</f>
        <v>4123</v>
      </c>
      <c r="H117" s="2" t="n">
        <f aca="false">'Color clustering'!H117</f>
        <v>155877</v>
      </c>
      <c r="I117" s="11" t="n">
        <f aca="false">'Color classification'!E117</f>
        <v>23</v>
      </c>
      <c r="J117" s="13" t="n">
        <f aca="false">'Color classification'!F117</f>
        <v>159977</v>
      </c>
      <c r="K117" s="2" t="n">
        <f aca="false">'Color classification'!G117</f>
        <v>4115</v>
      </c>
      <c r="L117" s="12" t="n">
        <f aca="false">'Color classification'!H117</f>
        <v>155885</v>
      </c>
    </row>
    <row r="118" customFormat="false" ht="15" hidden="false" customHeight="false" outlineLevel="0" collapsed="false">
      <c r="A118" s="7"/>
      <c r="B118" s="2" t="n">
        <v>114</v>
      </c>
      <c r="C118" s="11" t="n">
        <v>4145</v>
      </c>
      <c r="D118" s="12" t="n">
        <v>155855</v>
      </c>
      <c r="E118" s="34" t="n">
        <f aca="false">'Color clustering'!E118</f>
        <v>4139</v>
      </c>
      <c r="F118" s="13" t="n">
        <f aca="false">'Color clustering'!F118</f>
        <v>155861</v>
      </c>
      <c r="G118" s="34" t="n">
        <f aca="false">'Color clustering'!G118</f>
        <v>4146</v>
      </c>
      <c r="H118" s="2" t="n">
        <f aca="false">'Color clustering'!H118</f>
        <v>155854</v>
      </c>
      <c r="I118" s="11" t="n">
        <f aca="false">'Color classification'!E118</f>
        <v>15</v>
      </c>
      <c r="J118" s="13" t="n">
        <f aca="false">'Color classification'!F118</f>
        <v>159985</v>
      </c>
      <c r="K118" s="2" t="n">
        <f aca="false">'Color classification'!G118</f>
        <v>4139</v>
      </c>
      <c r="L118" s="12" t="n">
        <f aca="false">'Color classification'!H118</f>
        <v>155861</v>
      </c>
    </row>
    <row r="119" customFormat="false" ht="15" hidden="false" customHeight="false" outlineLevel="0" collapsed="false">
      <c r="A119" s="7"/>
      <c r="B119" s="2" t="n">
        <v>115</v>
      </c>
      <c r="C119" s="11" t="n">
        <v>4169</v>
      </c>
      <c r="D119" s="12" t="n">
        <v>155831</v>
      </c>
      <c r="E119" s="34" t="n">
        <f aca="false">'Color clustering'!E119</f>
        <v>4147</v>
      </c>
      <c r="F119" s="13" t="n">
        <f aca="false">'Color clustering'!F119</f>
        <v>155853</v>
      </c>
      <c r="G119" s="34" t="n">
        <f aca="false">'Color clustering'!G119</f>
        <v>4179</v>
      </c>
      <c r="H119" s="2" t="n">
        <f aca="false">'Color clustering'!H119</f>
        <v>155821</v>
      </c>
      <c r="I119" s="11" t="n">
        <f aca="false">'Color classification'!E119</f>
        <v>44</v>
      </c>
      <c r="J119" s="13" t="n">
        <f aca="false">'Color classification'!F119</f>
        <v>159956</v>
      </c>
      <c r="K119" s="2" t="n">
        <f aca="false">'Color classification'!G119</f>
        <v>4175</v>
      </c>
      <c r="L119" s="12" t="n">
        <f aca="false">'Color classification'!H119</f>
        <v>155825</v>
      </c>
    </row>
    <row r="120" customFormat="false" ht="15" hidden="false" customHeight="false" outlineLevel="0" collapsed="false">
      <c r="A120" s="7"/>
      <c r="B120" s="2" t="n">
        <v>116</v>
      </c>
      <c r="C120" s="11" t="n">
        <v>4199</v>
      </c>
      <c r="D120" s="12" t="n">
        <v>155801</v>
      </c>
      <c r="E120" s="34" t="n">
        <f aca="false">'Color clustering'!E120</f>
        <v>4148</v>
      </c>
      <c r="F120" s="13" t="n">
        <f aca="false">'Color clustering'!F120</f>
        <v>155852</v>
      </c>
      <c r="G120" s="34" t="n">
        <f aca="false">'Color clustering'!G120</f>
        <v>4204</v>
      </c>
      <c r="H120" s="2" t="n">
        <f aca="false">'Color clustering'!H120</f>
        <v>155796</v>
      </c>
      <c r="I120" s="11" t="n">
        <f aca="false">'Color classification'!E120</f>
        <v>7</v>
      </c>
      <c r="J120" s="13" t="n">
        <f aca="false">'Color classification'!F120</f>
        <v>159993</v>
      </c>
      <c r="K120" s="2" t="n">
        <f aca="false">'Color classification'!G120</f>
        <v>4197</v>
      </c>
      <c r="L120" s="12" t="n">
        <f aca="false">'Color classification'!H120</f>
        <v>155803</v>
      </c>
    </row>
    <row r="121" customFormat="false" ht="15" hidden="false" customHeight="false" outlineLevel="0" collapsed="false">
      <c r="A121" s="7"/>
      <c r="B121" s="2" t="n">
        <v>117</v>
      </c>
      <c r="C121" s="11" t="n">
        <v>4197</v>
      </c>
      <c r="D121" s="12" t="n">
        <v>155803</v>
      </c>
      <c r="E121" s="34" t="n">
        <f aca="false">'Color clustering'!E121</f>
        <v>4175</v>
      </c>
      <c r="F121" s="13" t="n">
        <f aca="false">'Color clustering'!F121</f>
        <v>155825</v>
      </c>
      <c r="G121" s="34" t="n">
        <f aca="false">'Color clustering'!G121</f>
        <v>4203</v>
      </c>
      <c r="H121" s="2" t="n">
        <f aca="false">'Color clustering'!H121</f>
        <v>155797</v>
      </c>
      <c r="I121" s="11" t="n">
        <f aca="false">'Color classification'!E121</f>
        <v>65</v>
      </c>
      <c r="J121" s="13" t="n">
        <f aca="false">'Color classification'!F121</f>
        <v>159935</v>
      </c>
      <c r="K121" s="2" t="n">
        <f aca="false">'Color classification'!G121</f>
        <v>4199</v>
      </c>
      <c r="L121" s="12" t="n">
        <f aca="false">'Color classification'!H121</f>
        <v>155801</v>
      </c>
    </row>
    <row r="122" customFormat="false" ht="15" hidden="false" customHeight="false" outlineLevel="0" collapsed="false">
      <c r="A122" s="7"/>
      <c r="B122" s="2" t="n">
        <v>118</v>
      </c>
      <c r="C122" s="11" t="n">
        <v>4173</v>
      </c>
      <c r="D122" s="12" t="n">
        <v>155827</v>
      </c>
      <c r="E122" s="34" t="n">
        <f aca="false">'Color clustering'!E122</f>
        <v>4126</v>
      </c>
      <c r="F122" s="13" t="n">
        <f aca="false">'Color clustering'!F122</f>
        <v>155874</v>
      </c>
      <c r="G122" s="34" t="n">
        <f aca="false">'Color clustering'!G122</f>
        <v>4180</v>
      </c>
      <c r="H122" s="2" t="n">
        <f aca="false">'Color clustering'!H122</f>
        <v>155820</v>
      </c>
      <c r="I122" s="11" t="n">
        <f aca="false">'Color classification'!E122</f>
        <v>147</v>
      </c>
      <c r="J122" s="13" t="n">
        <f aca="false">'Color classification'!F122</f>
        <v>159853</v>
      </c>
      <c r="K122" s="2" t="n">
        <f aca="false">'Color classification'!G122</f>
        <v>4177</v>
      </c>
      <c r="L122" s="12" t="n">
        <f aca="false">'Color classification'!H122</f>
        <v>155823</v>
      </c>
    </row>
    <row r="123" customFormat="false" ht="15" hidden="false" customHeight="false" outlineLevel="0" collapsed="false">
      <c r="A123" s="7"/>
      <c r="B123" s="2" t="n">
        <v>119</v>
      </c>
      <c r="C123" s="11" t="n">
        <v>4153</v>
      </c>
      <c r="D123" s="12" t="n">
        <v>155847</v>
      </c>
      <c r="E123" s="34" t="n">
        <f aca="false">'Color clustering'!E123</f>
        <v>4081</v>
      </c>
      <c r="F123" s="13" t="n">
        <f aca="false">'Color clustering'!F123</f>
        <v>155919</v>
      </c>
      <c r="G123" s="34" t="n">
        <f aca="false">'Color clustering'!G123</f>
        <v>4157</v>
      </c>
      <c r="H123" s="2" t="n">
        <f aca="false">'Color clustering'!H123</f>
        <v>155843</v>
      </c>
      <c r="I123" s="11" t="n">
        <f aca="false">'Color classification'!E123</f>
        <v>9</v>
      </c>
      <c r="J123" s="13" t="n">
        <f aca="false">'Color classification'!F123</f>
        <v>159991</v>
      </c>
      <c r="K123" s="2" t="n">
        <f aca="false">'Color classification'!G123</f>
        <v>4151</v>
      </c>
      <c r="L123" s="12" t="n">
        <f aca="false">'Color classification'!H123</f>
        <v>155849</v>
      </c>
    </row>
    <row r="124" customFormat="false" ht="15" hidden="false" customHeight="false" outlineLevel="0" collapsed="false">
      <c r="A124" s="7"/>
      <c r="B124" s="2" t="n">
        <v>120</v>
      </c>
      <c r="C124" s="11" t="n">
        <v>4133</v>
      </c>
      <c r="D124" s="12" t="n">
        <v>155867</v>
      </c>
      <c r="E124" s="34" t="n">
        <f aca="false">'Color clustering'!E124</f>
        <v>4120</v>
      </c>
      <c r="F124" s="13" t="n">
        <f aca="false">'Color clustering'!F124</f>
        <v>155880</v>
      </c>
      <c r="G124" s="34" t="n">
        <f aca="false">'Color clustering'!G124</f>
        <v>4141</v>
      </c>
      <c r="H124" s="2" t="n">
        <f aca="false">'Color clustering'!H124</f>
        <v>155859</v>
      </c>
      <c r="I124" s="11" t="n">
        <f aca="false">'Color classification'!E124</f>
        <v>16</v>
      </c>
      <c r="J124" s="13" t="n">
        <f aca="false">'Color classification'!F124</f>
        <v>159984</v>
      </c>
      <c r="K124" s="2" t="n">
        <f aca="false">'Color classification'!G124</f>
        <v>4132</v>
      </c>
      <c r="L124" s="12" t="n">
        <f aca="false">'Color classification'!H124</f>
        <v>155868</v>
      </c>
    </row>
    <row r="125" customFormat="false" ht="15" hidden="false" customHeight="false" outlineLevel="0" collapsed="false">
      <c r="A125" s="7"/>
      <c r="B125" s="2" t="n">
        <v>121</v>
      </c>
      <c r="C125" s="11" t="n">
        <v>4097</v>
      </c>
      <c r="D125" s="12" t="n">
        <v>155903</v>
      </c>
      <c r="E125" s="34" t="n">
        <f aca="false">'Color clustering'!E125</f>
        <v>4060</v>
      </c>
      <c r="F125" s="13" t="n">
        <f aca="false">'Color clustering'!F125</f>
        <v>155940</v>
      </c>
      <c r="G125" s="34" t="n">
        <f aca="false">'Color clustering'!G125</f>
        <v>4105</v>
      </c>
      <c r="H125" s="2" t="n">
        <f aca="false">'Color clustering'!H125</f>
        <v>155895</v>
      </c>
      <c r="I125" s="11" t="n">
        <f aca="false">'Color classification'!E125</f>
        <v>71</v>
      </c>
      <c r="J125" s="13" t="n">
        <f aca="false">'Color classification'!F125</f>
        <v>159929</v>
      </c>
      <c r="K125" s="2" t="n">
        <f aca="false">'Color classification'!G125</f>
        <v>4101</v>
      </c>
      <c r="L125" s="12" t="n">
        <f aca="false">'Color classification'!H125</f>
        <v>155899</v>
      </c>
    </row>
    <row r="126" customFormat="false" ht="15" hidden="false" customHeight="false" outlineLevel="0" collapsed="false">
      <c r="A126" s="7"/>
      <c r="B126" s="2" t="n">
        <v>122</v>
      </c>
      <c r="C126" s="11" t="n">
        <v>4039</v>
      </c>
      <c r="D126" s="12" t="n">
        <v>155961</v>
      </c>
      <c r="E126" s="34" t="n">
        <f aca="false">'Color clustering'!E126</f>
        <v>4009</v>
      </c>
      <c r="F126" s="13" t="n">
        <f aca="false">'Color clustering'!F126</f>
        <v>155991</v>
      </c>
      <c r="G126" s="34" t="n">
        <f aca="false">'Color clustering'!G126</f>
        <v>4050</v>
      </c>
      <c r="H126" s="2" t="n">
        <f aca="false">'Color clustering'!H126</f>
        <v>155950</v>
      </c>
      <c r="I126" s="11" t="n">
        <f aca="false">'Color classification'!E126</f>
        <v>3</v>
      </c>
      <c r="J126" s="13" t="n">
        <f aca="false">'Color classification'!F126</f>
        <v>159997</v>
      </c>
      <c r="K126" s="2" t="n">
        <f aca="false">'Color classification'!G126</f>
        <v>4040</v>
      </c>
      <c r="L126" s="12" t="n">
        <f aca="false">'Color classification'!H126</f>
        <v>155960</v>
      </c>
    </row>
    <row r="127" customFormat="false" ht="15" hidden="false" customHeight="false" outlineLevel="0" collapsed="false">
      <c r="A127" s="7"/>
      <c r="B127" s="2" t="n">
        <v>123</v>
      </c>
      <c r="C127" s="11" t="n">
        <v>3995</v>
      </c>
      <c r="D127" s="12" t="n">
        <v>156005</v>
      </c>
      <c r="E127" s="34" t="n">
        <f aca="false">'Color clustering'!E127</f>
        <v>3993</v>
      </c>
      <c r="F127" s="13" t="n">
        <f aca="false">'Color clustering'!F127</f>
        <v>156007</v>
      </c>
      <c r="G127" s="34" t="n">
        <f aca="false">'Color clustering'!G127</f>
        <v>4003</v>
      </c>
      <c r="H127" s="2" t="n">
        <f aca="false">'Color clustering'!H127</f>
        <v>155997</v>
      </c>
      <c r="I127" s="11" t="n">
        <f aca="false">'Color classification'!E127</f>
        <v>17</v>
      </c>
      <c r="J127" s="13" t="n">
        <f aca="false">'Color classification'!F127</f>
        <v>159983</v>
      </c>
      <c r="K127" s="2" t="n">
        <f aca="false">'Color classification'!G127</f>
        <v>3999</v>
      </c>
      <c r="L127" s="12" t="n">
        <f aca="false">'Color classification'!H127</f>
        <v>156001</v>
      </c>
    </row>
    <row r="128" customFormat="false" ht="15" hidden="false" customHeight="false" outlineLevel="0" collapsed="false">
      <c r="A128" s="7"/>
      <c r="B128" s="2" t="n">
        <v>124</v>
      </c>
      <c r="C128" s="11" t="n">
        <v>3921</v>
      </c>
      <c r="D128" s="12" t="n">
        <v>156079</v>
      </c>
      <c r="E128" s="34" t="n">
        <f aca="false">'Color clustering'!E128</f>
        <v>3912</v>
      </c>
      <c r="F128" s="13" t="n">
        <f aca="false">'Color clustering'!F128</f>
        <v>156088</v>
      </c>
      <c r="G128" s="34" t="n">
        <f aca="false">'Color clustering'!G128</f>
        <v>3934</v>
      </c>
      <c r="H128" s="2" t="n">
        <f aca="false">'Color clustering'!H128</f>
        <v>156066</v>
      </c>
      <c r="I128" s="11" t="n">
        <f aca="false">'Color classification'!E128</f>
        <v>82</v>
      </c>
      <c r="J128" s="13" t="n">
        <f aca="false">'Color classification'!F128</f>
        <v>159918</v>
      </c>
      <c r="K128" s="2" t="n">
        <f aca="false">'Color classification'!G128</f>
        <v>3928</v>
      </c>
      <c r="L128" s="12" t="n">
        <f aca="false">'Color classification'!H128</f>
        <v>156072</v>
      </c>
    </row>
    <row r="129" customFormat="false" ht="15" hidden="false" customHeight="false" outlineLevel="0" collapsed="false">
      <c r="A129" s="7"/>
      <c r="B129" s="2" t="n">
        <v>125</v>
      </c>
      <c r="C129" s="11" t="n">
        <v>3843</v>
      </c>
      <c r="D129" s="12" t="n">
        <v>156157</v>
      </c>
      <c r="E129" s="34" t="n">
        <f aca="false">'Color clustering'!E129</f>
        <v>3837</v>
      </c>
      <c r="F129" s="13" t="n">
        <f aca="false">'Color clustering'!F129</f>
        <v>156163</v>
      </c>
      <c r="G129" s="34" t="n">
        <f aca="false">'Color clustering'!G129</f>
        <v>3854</v>
      </c>
      <c r="H129" s="2" t="n">
        <f aca="false">'Color clustering'!H129</f>
        <v>156146</v>
      </c>
      <c r="I129" s="11" t="n">
        <f aca="false">'Color classification'!E129</f>
        <v>15</v>
      </c>
      <c r="J129" s="13" t="n">
        <f aca="false">'Color classification'!F129</f>
        <v>159985</v>
      </c>
      <c r="K129" s="2" t="n">
        <f aca="false">'Color classification'!G129</f>
        <v>3843</v>
      </c>
      <c r="L129" s="12" t="n">
        <f aca="false">'Color classification'!H129</f>
        <v>156157</v>
      </c>
    </row>
    <row r="130" customFormat="false" ht="15" hidden="false" customHeight="false" outlineLevel="0" collapsed="false">
      <c r="A130" s="7"/>
      <c r="B130" s="2" t="n">
        <v>126</v>
      </c>
      <c r="C130" s="11" t="n">
        <v>3763</v>
      </c>
      <c r="D130" s="12" t="n">
        <v>156237</v>
      </c>
      <c r="E130" s="34" t="n">
        <f aca="false">'Color clustering'!E130</f>
        <v>3729</v>
      </c>
      <c r="F130" s="13" t="n">
        <f aca="false">'Color clustering'!F130</f>
        <v>156271</v>
      </c>
      <c r="G130" s="34" t="n">
        <f aca="false">'Color clustering'!G130</f>
        <v>3766</v>
      </c>
      <c r="H130" s="2" t="n">
        <f aca="false">'Color clustering'!H130</f>
        <v>156234</v>
      </c>
      <c r="I130" s="11" t="n">
        <f aca="false">'Color classification'!E130</f>
        <v>1991</v>
      </c>
      <c r="J130" s="13" t="n">
        <f aca="false">'Color classification'!F130</f>
        <v>158009</v>
      </c>
      <c r="K130" s="2" t="n">
        <f aca="false">'Color classification'!G130</f>
        <v>3763</v>
      </c>
      <c r="L130" s="12" t="n">
        <f aca="false">'Color classification'!H130</f>
        <v>156237</v>
      </c>
    </row>
    <row r="131" customFormat="false" ht="15" hidden="false" customHeight="false" outlineLevel="0" collapsed="false">
      <c r="A131" s="7"/>
      <c r="B131" s="2" t="n">
        <v>127</v>
      </c>
      <c r="C131" s="11" t="n">
        <v>3669</v>
      </c>
      <c r="D131" s="12" t="n">
        <v>156331</v>
      </c>
      <c r="E131" s="34" t="n">
        <f aca="false">'Color clustering'!E131</f>
        <v>3649</v>
      </c>
      <c r="F131" s="13" t="n">
        <f aca="false">'Color clustering'!F131</f>
        <v>156351</v>
      </c>
      <c r="G131" s="34" t="n">
        <f aca="false">'Color clustering'!G131</f>
        <v>3683</v>
      </c>
      <c r="H131" s="2" t="n">
        <f aca="false">'Color clustering'!H131</f>
        <v>156317</v>
      </c>
      <c r="I131" s="11" t="n">
        <f aca="false">'Color classification'!E131</f>
        <v>12</v>
      </c>
      <c r="J131" s="13" t="n">
        <f aca="false">'Color classification'!F131</f>
        <v>159988</v>
      </c>
      <c r="K131" s="2" t="n">
        <f aca="false">'Color classification'!G131</f>
        <v>3685</v>
      </c>
      <c r="L131" s="12" t="n">
        <f aca="false">'Color classification'!H131</f>
        <v>156315</v>
      </c>
    </row>
    <row r="132" customFormat="false" ht="15" hidden="false" customHeight="false" outlineLevel="0" collapsed="false">
      <c r="A132" s="7"/>
      <c r="B132" s="2" t="n">
        <v>128</v>
      </c>
      <c r="C132" s="11" t="n">
        <v>3579</v>
      </c>
      <c r="D132" s="12" t="n">
        <v>156421</v>
      </c>
      <c r="E132" s="34" t="n">
        <f aca="false">'Color clustering'!E132</f>
        <v>3542</v>
      </c>
      <c r="F132" s="13" t="n">
        <f aca="false">'Color clustering'!F132</f>
        <v>156458</v>
      </c>
      <c r="G132" s="34" t="n">
        <f aca="false">'Color clustering'!G132</f>
        <v>3589</v>
      </c>
      <c r="H132" s="2" t="n">
        <f aca="false">'Color clustering'!H132</f>
        <v>156411</v>
      </c>
      <c r="I132" s="11" t="n">
        <f aca="false">'Color classification'!E132</f>
        <v>3</v>
      </c>
      <c r="J132" s="13" t="n">
        <f aca="false">'Color classification'!F132</f>
        <v>159997</v>
      </c>
      <c r="K132" s="2" t="n">
        <f aca="false">'Color classification'!G132</f>
        <v>3583</v>
      </c>
      <c r="L132" s="12" t="n">
        <f aca="false">'Color classification'!H132</f>
        <v>156417</v>
      </c>
    </row>
    <row r="133" customFormat="false" ht="15" hidden="false" customHeight="false" outlineLevel="0" collapsed="false">
      <c r="A133" s="7"/>
      <c r="B133" s="2" t="n">
        <v>129</v>
      </c>
      <c r="C133" s="11" t="n">
        <v>3479</v>
      </c>
      <c r="D133" s="12" t="n">
        <v>156521</v>
      </c>
      <c r="E133" s="34" t="n">
        <f aca="false">'Color clustering'!E133</f>
        <v>3458</v>
      </c>
      <c r="F133" s="13" t="n">
        <f aca="false">'Color clustering'!F133</f>
        <v>156542</v>
      </c>
      <c r="G133" s="34" t="n">
        <f aca="false">'Color clustering'!G133</f>
        <v>3486</v>
      </c>
      <c r="H133" s="2" t="n">
        <f aca="false">'Color clustering'!H133</f>
        <v>156514</v>
      </c>
      <c r="I133" s="11" t="n">
        <f aca="false">'Color classification'!E133</f>
        <v>7</v>
      </c>
      <c r="J133" s="13" t="n">
        <f aca="false">'Color classification'!F133</f>
        <v>159993</v>
      </c>
      <c r="K133" s="2" t="n">
        <f aca="false">'Color classification'!G133</f>
        <v>3485</v>
      </c>
      <c r="L133" s="12" t="n">
        <f aca="false">'Color classification'!H133</f>
        <v>156515</v>
      </c>
    </row>
    <row r="134" customFormat="false" ht="15" hidden="false" customHeight="false" outlineLevel="0" collapsed="false">
      <c r="A134" s="7"/>
      <c r="B134" s="2" t="n">
        <v>130</v>
      </c>
      <c r="C134" s="11" t="n">
        <v>3369</v>
      </c>
      <c r="D134" s="12" t="n">
        <v>156631</v>
      </c>
      <c r="E134" s="34" t="n">
        <f aca="false">'Color clustering'!E134</f>
        <v>3355</v>
      </c>
      <c r="F134" s="13" t="n">
        <f aca="false">'Color clustering'!F134</f>
        <v>156645</v>
      </c>
      <c r="G134" s="34" t="n">
        <f aca="false">'Color clustering'!G134</f>
        <v>3374</v>
      </c>
      <c r="H134" s="2" t="n">
        <f aca="false">'Color clustering'!H134</f>
        <v>156626</v>
      </c>
      <c r="I134" s="11" t="n">
        <f aca="false">'Color classification'!E134</f>
        <v>1049</v>
      </c>
      <c r="J134" s="13" t="n">
        <f aca="false">'Color classification'!F134</f>
        <v>158951</v>
      </c>
      <c r="K134" s="2" t="n">
        <f aca="false">'Color classification'!G134</f>
        <v>3373</v>
      </c>
      <c r="L134" s="12" t="n">
        <f aca="false">'Color classification'!H134</f>
        <v>156627</v>
      </c>
    </row>
    <row r="135" customFormat="false" ht="15" hidden="false" customHeight="false" outlineLevel="0" collapsed="false">
      <c r="A135" s="7"/>
      <c r="B135" s="2" t="n">
        <v>131</v>
      </c>
      <c r="C135" s="11" t="n">
        <v>3275</v>
      </c>
      <c r="D135" s="12" t="n">
        <v>156725</v>
      </c>
      <c r="E135" s="34" t="n">
        <f aca="false">'Color clustering'!E135</f>
        <v>3237</v>
      </c>
      <c r="F135" s="13" t="n">
        <f aca="false">'Color clustering'!F135</f>
        <v>156763</v>
      </c>
      <c r="G135" s="34" t="n">
        <f aca="false">'Color clustering'!G135</f>
        <v>3277</v>
      </c>
      <c r="H135" s="2" t="n">
        <f aca="false">'Color clustering'!H135</f>
        <v>156723</v>
      </c>
      <c r="I135" s="11" t="n">
        <f aca="false">'Color classification'!E135</f>
        <v>2</v>
      </c>
      <c r="J135" s="13" t="n">
        <f aca="false">'Color classification'!F135</f>
        <v>159998</v>
      </c>
      <c r="K135" s="2" t="n">
        <f aca="false">'Color classification'!G135</f>
        <v>3269</v>
      </c>
      <c r="L135" s="12" t="n">
        <f aca="false">'Color classification'!H135</f>
        <v>156731</v>
      </c>
    </row>
    <row r="136" customFormat="false" ht="15" hidden="false" customHeight="false" outlineLevel="0" collapsed="false">
      <c r="A136" s="7"/>
      <c r="B136" s="2" t="n">
        <v>132</v>
      </c>
      <c r="C136" s="11" t="n">
        <v>3157</v>
      </c>
      <c r="D136" s="12" t="n">
        <v>156843</v>
      </c>
      <c r="E136" s="34" t="n">
        <f aca="false">'Color clustering'!E136</f>
        <v>3105</v>
      </c>
      <c r="F136" s="13" t="n">
        <f aca="false">'Color clustering'!F136</f>
        <v>156895</v>
      </c>
      <c r="G136" s="34" t="n">
        <f aca="false">'Color clustering'!G136</f>
        <v>3160</v>
      </c>
      <c r="H136" s="2" t="n">
        <f aca="false">'Color clustering'!H136</f>
        <v>156840</v>
      </c>
      <c r="I136" s="11" t="n">
        <f aca="false">'Color classification'!E136</f>
        <v>0</v>
      </c>
      <c r="J136" s="13" t="n">
        <f aca="false">'Color classification'!F136</f>
        <v>160000</v>
      </c>
      <c r="K136" s="2" t="n">
        <f aca="false">'Color classification'!G136</f>
        <v>3157</v>
      </c>
      <c r="L136" s="12" t="n">
        <f aca="false">'Color classification'!H136</f>
        <v>156843</v>
      </c>
    </row>
    <row r="137" customFormat="false" ht="15" hidden="false" customHeight="false" outlineLevel="0" collapsed="false">
      <c r="A137" s="7"/>
      <c r="B137" s="2" t="n">
        <v>133</v>
      </c>
      <c r="C137" s="11" t="n">
        <v>3039</v>
      </c>
      <c r="D137" s="12" t="n">
        <v>156961</v>
      </c>
      <c r="E137" s="34" t="n">
        <f aca="false">'Color clustering'!E137</f>
        <v>3020</v>
      </c>
      <c r="F137" s="13" t="n">
        <f aca="false">'Color clustering'!F137</f>
        <v>156980</v>
      </c>
      <c r="G137" s="34" t="n">
        <f aca="false">'Color clustering'!G137</f>
        <v>3044</v>
      </c>
      <c r="H137" s="2" t="n">
        <f aca="false">'Color clustering'!H137</f>
        <v>156956</v>
      </c>
      <c r="I137" s="11" t="n">
        <f aca="false">'Color classification'!E137</f>
        <v>22</v>
      </c>
      <c r="J137" s="13" t="n">
        <f aca="false">'Color classification'!F137</f>
        <v>159978</v>
      </c>
      <c r="K137" s="2" t="n">
        <f aca="false">'Color classification'!G137</f>
        <v>3044</v>
      </c>
      <c r="L137" s="12" t="n">
        <f aca="false">'Color classification'!H137</f>
        <v>156956</v>
      </c>
    </row>
    <row r="138" customFormat="false" ht="15" hidden="false" customHeight="false" outlineLevel="0" collapsed="false">
      <c r="A138" s="7"/>
      <c r="B138" s="2" t="n">
        <v>134</v>
      </c>
      <c r="C138" s="11" t="n">
        <v>2899</v>
      </c>
      <c r="D138" s="12" t="n">
        <v>157101</v>
      </c>
      <c r="E138" s="34" t="n">
        <f aca="false">'Color clustering'!E138</f>
        <v>2885</v>
      </c>
      <c r="F138" s="13" t="n">
        <f aca="false">'Color clustering'!F138</f>
        <v>157115</v>
      </c>
      <c r="G138" s="34" t="n">
        <f aca="false">'Color clustering'!G138</f>
        <v>2903</v>
      </c>
      <c r="H138" s="2" t="n">
        <f aca="false">'Color clustering'!H138</f>
        <v>157097</v>
      </c>
      <c r="I138" s="11" t="n">
        <f aca="false">'Color classification'!E138</f>
        <v>4</v>
      </c>
      <c r="J138" s="13" t="n">
        <f aca="false">'Color classification'!F138</f>
        <v>159996</v>
      </c>
      <c r="K138" s="2" t="n">
        <f aca="false">'Color classification'!G138</f>
        <v>2897</v>
      </c>
      <c r="L138" s="12" t="n">
        <f aca="false">'Color classification'!H138</f>
        <v>157103</v>
      </c>
    </row>
    <row r="139" customFormat="false" ht="15" hidden="false" customHeight="false" outlineLevel="0" collapsed="false">
      <c r="A139" s="7"/>
      <c r="B139" s="2" t="n">
        <v>135</v>
      </c>
      <c r="C139" s="11" t="n">
        <v>2745</v>
      </c>
      <c r="D139" s="12" t="n">
        <v>157255</v>
      </c>
      <c r="E139" s="34" t="n">
        <f aca="false">'Color clustering'!E139</f>
        <v>2750</v>
      </c>
      <c r="F139" s="13" t="n">
        <f aca="false">'Color clustering'!F139</f>
        <v>157250</v>
      </c>
      <c r="G139" s="34" t="n">
        <f aca="false">'Color clustering'!G139</f>
        <v>2749</v>
      </c>
      <c r="H139" s="2" t="n">
        <f aca="false">'Color clustering'!H139</f>
        <v>157251</v>
      </c>
      <c r="I139" s="11" t="n">
        <f aca="false">'Color classification'!E139</f>
        <v>2</v>
      </c>
      <c r="J139" s="13" t="n">
        <f aca="false">'Color classification'!F139</f>
        <v>159998</v>
      </c>
      <c r="K139" s="2" t="n">
        <f aca="false">'Color classification'!G139</f>
        <v>2747</v>
      </c>
      <c r="L139" s="12" t="n">
        <f aca="false">'Color classification'!H139</f>
        <v>157253</v>
      </c>
    </row>
    <row r="140" customFormat="false" ht="15" hidden="false" customHeight="false" outlineLevel="0" collapsed="false">
      <c r="A140" s="7"/>
      <c r="B140" s="2" t="n">
        <v>136</v>
      </c>
      <c r="C140" s="11" t="n">
        <v>2601</v>
      </c>
      <c r="D140" s="12" t="n">
        <v>157399</v>
      </c>
      <c r="E140" s="34" t="n">
        <f aca="false">'Color clustering'!E140</f>
        <v>2605</v>
      </c>
      <c r="F140" s="13" t="n">
        <f aca="false">'Color clustering'!F140</f>
        <v>157395</v>
      </c>
      <c r="G140" s="34" t="n">
        <f aca="false">'Color clustering'!G140</f>
        <v>2606</v>
      </c>
      <c r="H140" s="2" t="n">
        <f aca="false">'Color clustering'!H140</f>
        <v>157394</v>
      </c>
      <c r="I140" s="11" t="n">
        <f aca="false">'Color classification'!E140</f>
        <v>38</v>
      </c>
      <c r="J140" s="13" t="n">
        <f aca="false">'Color classification'!F140</f>
        <v>159962</v>
      </c>
      <c r="K140" s="2" t="n">
        <f aca="false">'Color classification'!G140</f>
        <v>2599</v>
      </c>
      <c r="L140" s="12" t="n">
        <f aca="false">'Color classification'!H140</f>
        <v>157401</v>
      </c>
    </row>
    <row r="141" customFormat="false" ht="15" hidden="false" customHeight="false" outlineLevel="0" collapsed="false">
      <c r="A141" s="7"/>
      <c r="B141" s="2" t="n">
        <v>137</v>
      </c>
      <c r="C141" s="11" t="n">
        <v>2441</v>
      </c>
      <c r="D141" s="12" t="n">
        <v>157559</v>
      </c>
      <c r="E141" s="34" t="n">
        <f aca="false">'Color clustering'!E141</f>
        <v>2427</v>
      </c>
      <c r="F141" s="13" t="n">
        <f aca="false">'Color clustering'!F141</f>
        <v>157573</v>
      </c>
      <c r="G141" s="34" t="n">
        <f aca="false">'Color clustering'!G141</f>
        <v>2446</v>
      </c>
      <c r="H141" s="2" t="n">
        <f aca="false">'Color clustering'!H141</f>
        <v>157554</v>
      </c>
      <c r="I141" s="11" t="n">
        <f aca="false">'Color classification'!E141</f>
        <v>1</v>
      </c>
      <c r="J141" s="13" t="n">
        <f aca="false">'Color classification'!F141</f>
        <v>159999</v>
      </c>
      <c r="K141" s="2" t="n">
        <f aca="false">'Color classification'!G141</f>
        <v>2444</v>
      </c>
      <c r="L141" s="12" t="n">
        <f aca="false">'Color classification'!H141</f>
        <v>157556</v>
      </c>
    </row>
    <row r="142" customFormat="false" ht="15" hidden="false" customHeight="false" outlineLevel="0" collapsed="false">
      <c r="A142" s="7"/>
      <c r="B142" s="2" t="n">
        <v>138</v>
      </c>
      <c r="C142" s="11" t="n">
        <v>2261</v>
      </c>
      <c r="D142" s="12" t="n">
        <v>157739</v>
      </c>
      <c r="E142" s="34" t="n">
        <f aca="false">'Color clustering'!E142</f>
        <v>2237</v>
      </c>
      <c r="F142" s="13" t="n">
        <f aca="false">'Color clustering'!F142</f>
        <v>157763</v>
      </c>
      <c r="G142" s="34" t="n">
        <f aca="false">'Color clustering'!G142</f>
        <v>2263</v>
      </c>
      <c r="H142" s="2" t="n">
        <f aca="false">'Color clustering'!H142</f>
        <v>157737</v>
      </c>
      <c r="I142" s="11" t="n">
        <f aca="false">'Color classification'!E142</f>
        <v>314</v>
      </c>
      <c r="J142" s="13" t="n">
        <f aca="false">'Color classification'!F142</f>
        <v>159686</v>
      </c>
      <c r="K142" s="2" t="n">
        <f aca="false">'Color classification'!G142</f>
        <v>2262</v>
      </c>
      <c r="L142" s="12" t="n">
        <f aca="false">'Color classification'!H142</f>
        <v>157738</v>
      </c>
    </row>
    <row r="143" customFormat="false" ht="15" hidden="false" customHeight="false" outlineLevel="0" collapsed="false">
      <c r="A143" s="7"/>
      <c r="B143" s="2" t="n">
        <v>139</v>
      </c>
      <c r="C143" s="11" t="n">
        <v>2101</v>
      </c>
      <c r="D143" s="12" t="n">
        <v>157899</v>
      </c>
      <c r="E143" s="34" t="n">
        <f aca="false">'Color clustering'!E143</f>
        <v>2076</v>
      </c>
      <c r="F143" s="13" t="n">
        <f aca="false">'Color clustering'!F143</f>
        <v>157924</v>
      </c>
      <c r="G143" s="34" t="n">
        <f aca="false">'Color clustering'!G143</f>
        <v>2102</v>
      </c>
      <c r="H143" s="2" t="n">
        <f aca="false">'Color clustering'!H143</f>
        <v>157898</v>
      </c>
      <c r="I143" s="11" t="n">
        <f aca="false">'Color classification'!E143</f>
        <v>90</v>
      </c>
      <c r="J143" s="13" t="n">
        <f aca="false">'Color classification'!F143</f>
        <v>159910</v>
      </c>
      <c r="K143" s="2" t="n">
        <f aca="false">'Color classification'!G143</f>
        <v>2099</v>
      </c>
      <c r="L143" s="12" t="n">
        <f aca="false">'Color classification'!H143</f>
        <v>157901</v>
      </c>
    </row>
    <row r="144" customFormat="false" ht="15" hidden="false" customHeight="false" outlineLevel="0" collapsed="false">
      <c r="A144" s="7"/>
      <c r="B144" s="2" t="n">
        <v>140</v>
      </c>
      <c r="C144" s="11" t="n">
        <v>1919</v>
      </c>
      <c r="D144" s="12" t="n">
        <v>158081</v>
      </c>
      <c r="E144" s="34" t="n">
        <f aca="false">'Color clustering'!E144</f>
        <v>1916</v>
      </c>
      <c r="F144" s="13" t="n">
        <f aca="false">'Color clustering'!F144</f>
        <v>158084</v>
      </c>
      <c r="G144" s="34" t="n">
        <f aca="false">'Color clustering'!G144</f>
        <v>1924</v>
      </c>
      <c r="H144" s="2" t="n">
        <f aca="false">'Color clustering'!H144</f>
        <v>158076</v>
      </c>
      <c r="I144" s="11" t="n">
        <f aca="false">'Color classification'!E144</f>
        <v>7</v>
      </c>
      <c r="J144" s="13" t="n">
        <f aca="false">'Color classification'!F144</f>
        <v>159993</v>
      </c>
      <c r="K144" s="2" t="n">
        <f aca="false">'Color classification'!G144</f>
        <v>1920</v>
      </c>
      <c r="L144" s="12" t="n">
        <f aca="false">'Color classification'!H144</f>
        <v>158080</v>
      </c>
    </row>
    <row r="145" customFormat="false" ht="15" hidden="false" customHeight="false" outlineLevel="0" collapsed="false">
      <c r="A145" s="7"/>
      <c r="B145" s="2" t="n">
        <v>141</v>
      </c>
      <c r="C145" s="11" t="n">
        <v>1717</v>
      </c>
      <c r="D145" s="12" t="n">
        <v>158283</v>
      </c>
      <c r="E145" s="34" t="n">
        <f aca="false">'Color clustering'!E145</f>
        <v>1717</v>
      </c>
      <c r="F145" s="13" t="n">
        <f aca="false">'Color clustering'!F145</f>
        <v>158283</v>
      </c>
      <c r="G145" s="34" t="n">
        <f aca="false">'Color clustering'!G145</f>
        <v>1725</v>
      </c>
      <c r="H145" s="2" t="n">
        <f aca="false">'Color clustering'!H145</f>
        <v>158275</v>
      </c>
      <c r="I145" s="11" t="n">
        <f aca="false">'Color classification'!E145</f>
        <v>10</v>
      </c>
      <c r="J145" s="13" t="n">
        <f aca="false">'Color classification'!F145</f>
        <v>159990</v>
      </c>
      <c r="K145" s="2" t="n">
        <f aca="false">'Color classification'!G145</f>
        <v>1721</v>
      </c>
      <c r="L145" s="12" t="n">
        <f aca="false">'Color classification'!H145</f>
        <v>158279</v>
      </c>
    </row>
    <row r="146" customFormat="false" ht="15" hidden="false" customHeight="false" outlineLevel="0" collapsed="false">
      <c r="A146" s="7"/>
      <c r="B146" s="2" t="n">
        <v>142</v>
      </c>
      <c r="C146" s="11" t="n">
        <v>1549</v>
      </c>
      <c r="D146" s="12" t="n">
        <v>158451</v>
      </c>
      <c r="E146" s="34" t="n">
        <f aca="false">'Color clustering'!E146</f>
        <v>1538</v>
      </c>
      <c r="F146" s="13" t="n">
        <f aca="false">'Color clustering'!F146</f>
        <v>158462</v>
      </c>
      <c r="G146" s="34" t="n">
        <f aca="false">'Color clustering'!G146</f>
        <v>1556</v>
      </c>
      <c r="H146" s="2" t="n">
        <f aca="false">'Color clustering'!H146</f>
        <v>158444</v>
      </c>
      <c r="I146" s="11" t="n">
        <f aca="false">'Color classification'!E146</f>
        <v>8</v>
      </c>
      <c r="J146" s="13" t="n">
        <f aca="false">'Color classification'!F146</f>
        <v>159992</v>
      </c>
      <c r="K146" s="2" t="n">
        <f aca="false">'Color classification'!G146</f>
        <v>1552</v>
      </c>
      <c r="L146" s="12" t="n">
        <f aca="false">'Color classification'!H146</f>
        <v>158448</v>
      </c>
    </row>
    <row r="147" customFormat="false" ht="15" hidden="false" customHeight="false" outlineLevel="0" collapsed="false">
      <c r="A147" s="7"/>
      <c r="B147" s="2" t="n">
        <v>143</v>
      </c>
      <c r="C147" s="11" t="n">
        <v>1339</v>
      </c>
      <c r="D147" s="12" t="n">
        <v>158661</v>
      </c>
      <c r="E147" s="34" t="n">
        <f aca="false">'Color clustering'!E147</f>
        <v>1312</v>
      </c>
      <c r="F147" s="13" t="n">
        <f aca="false">'Color clustering'!F147</f>
        <v>158688</v>
      </c>
      <c r="G147" s="34" t="n">
        <f aca="false">'Color clustering'!G147</f>
        <v>1344</v>
      </c>
      <c r="H147" s="2" t="n">
        <f aca="false">'Color clustering'!H147</f>
        <v>158656</v>
      </c>
      <c r="I147" s="11" t="n">
        <f aca="false">'Color classification'!E147</f>
        <v>15</v>
      </c>
      <c r="J147" s="13" t="n">
        <f aca="false">'Color classification'!F147</f>
        <v>159985</v>
      </c>
      <c r="K147" s="2" t="n">
        <f aca="false">'Color classification'!G147</f>
        <v>1337</v>
      </c>
      <c r="L147" s="12" t="n">
        <f aca="false">'Color classification'!H147</f>
        <v>158663</v>
      </c>
    </row>
    <row r="148" customFormat="false" ht="15" hidden="false" customHeight="false" outlineLevel="0" collapsed="false">
      <c r="A148" s="7"/>
      <c r="B148" s="2" t="n">
        <v>144</v>
      </c>
      <c r="C148" s="11" t="n">
        <v>1139</v>
      </c>
      <c r="D148" s="12" t="n">
        <v>158861</v>
      </c>
      <c r="E148" s="34" t="n">
        <f aca="false">'Color clustering'!E148</f>
        <v>1117</v>
      </c>
      <c r="F148" s="13" t="n">
        <f aca="false">'Color clustering'!F148</f>
        <v>158883</v>
      </c>
      <c r="G148" s="34" t="n">
        <f aca="false">'Color clustering'!G148</f>
        <v>1138</v>
      </c>
      <c r="H148" s="2" t="n">
        <f aca="false">'Color clustering'!H148</f>
        <v>158862</v>
      </c>
      <c r="I148" s="11" t="n">
        <f aca="false">'Color classification'!E148</f>
        <v>0</v>
      </c>
      <c r="J148" s="13" t="n">
        <f aca="false">'Color classification'!F148</f>
        <v>160000</v>
      </c>
      <c r="K148" s="2" t="n">
        <f aca="false">'Color classification'!G148</f>
        <v>1136</v>
      </c>
      <c r="L148" s="12" t="n">
        <f aca="false">'Color classification'!H148</f>
        <v>158864</v>
      </c>
    </row>
    <row r="149" customFormat="false" ht="15" hidden="false" customHeight="false" outlineLevel="0" collapsed="false">
      <c r="A149" s="7"/>
      <c r="B149" s="2" t="n">
        <v>145</v>
      </c>
      <c r="C149" s="11" t="n">
        <v>915</v>
      </c>
      <c r="D149" s="12" t="n">
        <v>159085</v>
      </c>
      <c r="E149" s="34" t="n">
        <f aca="false">'Color clustering'!E149</f>
        <v>889</v>
      </c>
      <c r="F149" s="13" t="n">
        <f aca="false">'Color clustering'!F149</f>
        <v>159111</v>
      </c>
      <c r="G149" s="34" t="n">
        <f aca="false">'Color clustering'!G149</f>
        <v>916</v>
      </c>
      <c r="H149" s="2" t="n">
        <f aca="false">'Color clustering'!H149</f>
        <v>159084</v>
      </c>
      <c r="I149" s="11" t="n">
        <f aca="false">'Color classification'!E149</f>
        <v>3</v>
      </c>
      <c r="J149" s="13" t="n">
        <f aca="false">'Color classification'!F149</f>
        <v>159997</v>
      </c>
      <c r="K149" s="2" t="n">
        <f aca="false">'Color classification'!G149</f>
        <v>916</v>
      </c>
      <c r="L149" s="12" t="n">
        <f aca="false">'Color classification'!H149</f>
        <v>159084</v>
      </c>
    </row>
    <row r="150" customFormat="false" ht="15" hidden="false" customHeight="false" outlineLevel="0" collapsed="false">
      <c r="A150" s="7"/>
      <c r="B150" s="2" t="n">
        <v>146</v>
      </c>
      <c r="C150" s="11" t="n">
        <v>697</v>
      </c>
      <c r="D150" s="12" t="n">
        <v>159303</v>
      </c>
      <c r="E150" s="34" t="n">
        <f aca="false">'Color clustering'!E150</f>
        <v>714</v>
      </c>
      <c r="F150" s="13" t="n">
        <f aca="false">'Color clustering'!F150</f>
        <v>159286</v>
      </c>
      <c r="G150" s="34" t="n">
        <f aca="false">'Color clustering'!G150</f>
        <v>700</v>
      </c>
      <c r="H150" s="2" t="n">
        <f aca="false">'Color clustering'!H150</f>
        <v>159300</v>
      </c>
      <c r="I150" s="11" t="n">
        <f aca="false">'Color classification'!E150</f>
        <v>6</v>
      </c>
      <c r="J150" s="13" t="n">
        <f aca="false">'Color classification'!F150</f>
        <v>159994</v>
      </c>
      <c r="K150" s="2" t="n">
        <f aca="false">'Color classification'!G150</f>
        <v>700</v>
      </c>
      <c r="L150" s="12" t="n">
        <f aca="false">'Color classification'!H150</f>
        <v>159300</v>
      </c>
    </row>
    <row r="151" customFormat="false" ht="15" hidden="false" customHeight="false" outlineLevel="0" collapsed="false">
      <c r="A151" s="7"/>
      <c r="B151" s="2" t="n">
        <v>147</v>
      </c>
      <c r="C151" s="11" t="n">
        <v>475</v>
      </c>
      <c r="D151" s="12" t="n">
        <v>159525</v>
      </c>
      <c r="E151" s="34" t="n">
        <f aca="false">'Color clustering'!E151</f>
        <v>461</v>
      </c>
      <c r="F151" s="13" t="n">
        <f aca="false">'Color clustering'!F151</f>
        <v>159539</v>
      </c>
      <c r="G151" s="34" t="n">
        <f aca="false">'Color clustering'!G151</f>
        <v>476</v>
      </c>
      <c r="H151" s="2" t="n">
        <f aca="false">'Color clustering'!H151</f>
        <v>159524</v>
      </c>
      <c r="I151" s="11" t="n">
        <f aca="false">'Color classification'!E151</f>
        <v>96</v>
      </c>
      <c r="J151" s="13" t="n">
        <f aca="false">'Color classification'!F151</f>
        <v>159904</v>
      </c>
      <c r="K151" s="2" t="n">
        <f aca="false">'Color classification'!G151</f>
        <v>475</v>
      </c>
      <c r="L151" s="12" t="n">
        <f aca="false">'Color classification'!H151</f>
        <v>159525</v>
      </c>
    </row>
    <row r="152" customFormat="false" ht="15" hidden="false" customHeight="false" outlineLevel="0" collapsed="false">
      <c r="A152" s="7"/>
      <c r="B152" s="2" t="n">
        <v>148</v>
      </c>
      <c r="C152" s="11" t="n">
        <v>245</v>
      </c>
      <c r="D152" s="12" t="n">
        <v>159755</v>
      </c>
      <c r="E152" s="34" t="n">
        <f aca="false">'Color clustering'!E152</f>
        <v>234</v>
      </c>
      <c r="F152" s="13" t="n">
        <f aca="false">'Color clustering'!F152</f>
        <v>159766</v>
      </c>
      <c r="G152" s="34" t="n">
        <f aca="false">'Color clustering'!G152</f>
        <v>245</v>
      </c>
      <c r="H152" s="2" t="n">
        <f aca="false">'Color clustering'!H152</f>
        <v>159755</v>
      </c>
      <c r="I152" s="11" t="n">
        <f aca="false">'Color classification'!E152</f>
        <v>5</v>
      </c>
      <c r="J152" s="13" t="n">
        <f aca="false">'Color classification'!F152</f>
        <v>159995</v>
      </c>
      <c r="K152" s="2" t="n">
        <f aca="false">'Color classification'!G152</f>
        <v>244</v>
      </c>
      <c r="L152" s="12" t="n">
        <f aca="false">'Color classification'!H152</f>
        <v>159756</v>
      </c>
    </row>
    <row r="153" customFormat="false" ht="15" hidden="false" customHeight="false" outlineLevel="0" collapsed="false">
      <c r="A153" s="7"/>
      <c r="B153" s="14" t="s">
        <v>8</v>
      </c>
      <c r="C153" s="15" t="n">
        <f aca="false">SUM(C4:C152)</f>
        <v>432256</v>
      </c>
      <c r="D153" s="16" t="n">
        <f aca="false">SUM(D4:D152)</f>
        <v>23407744</v>
      </c>
      <c r="E153" s="35" t="n">
        <f aca="false">SUM(E4:E152)</f>
        <v>428170</v>
      </c>
      <c r="F153" s="18" t="n">
        <f aca="false">SUM(F4:F152)</f>
        <v>23411830</v>
      </c>
      <c r="G153" s="35" t="n">
        <f aca="false">SUM(G4:G152)</f>
        <v>432978</v>
      </c>
      <c r="H153" s="17" t="n">
        <f aca="false">SUM(H4:H152)</f>
        <v>23407022</v>
      </c>
      <c r="I153" s="15" t="n">
        <f aca="false">SUM(I4:I152)</f>
        <v>13020</v>
      </c>
      <c r="J153" s="18" t="n">
        <f aca="false">SUM(J4:J152)</f>
        <v>23826980</v>
      </c>
      <c r="K153" s="17" t="n">
        <f aca="false">SUM(K4:K152)</f>
        <v>432440</v>
      </c>
      <c r="L153" s="16" t="n">
        <f aca="false">SUM(L4:L152)</f>
        <v>23407560</v>
      </c>
    </row>
    <row r="154" customFormat="false" ht="15" hidden="false" customHeight="false" outlineLevel="0" collapsed="false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customFormat="false" ht="15" hidden="false" customHeight="false" outlineLevel="0" collapsed="false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customFormat="false" ht="15" hidden="false" customHeight="false" outlineLevel="0" collapsed="false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customFormat="false" ht="15" hidden="false" customHeight="false" outlineLevel="0" collapsed="false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customFormat="false" ht="15" hidden="false" customHeight="false" outlineLevel="0" collapsed="false">
      <c r="A158" s="2"/>
      <c r="B158" s="19" t="s">
        <v>0</v>
      </c>
      <c r="C158" s="36" t="s">
        <v>18</v>
      </c>
      <c r="D158" s="36"/>
      <c r="E158" s="36"/>
      <c r="F158" s="36"/>
      <c r="G158" s="36"/>
      <c r="H158" s="36"/>
      <c r="I158" s="37" t="s">
        <v>19</v>
      </c>
      <c r="J158" s="37"/>
      <c r="K158" s="37"/>
      <c r="L158" s="37"/>
      <c r="M158" s="37"/>
      <c r="N158" s="37"/>
    </row>
    <row r="159" customFormat="false" ht="15" hidden="false" customHeight="false" outlineLevel="0" collapsed="false">
      <c r="A159" s="2"/>
      <c r="B159" s="19"/>
      <c r="C159" s="38" t="s">
        <v>3</v>
      </c>
      <c r="D159" s="38"/>
      <c r="E159" s="38"/>
      <c r="F159" s="39" t="s">
        <v>4</v>
      </c>
      <c r="G159" s="39"/>
      <c r="H159" s="39"/>
      <c r="I159" s="38" t="s">
        <v>3</v>
      </c>
      <c r="J159" s="38"/>
      <c r="K159" s="38"/>
      <c r="L159" s="40" t="s">
        <v>4</v>
      </c>
      <c r="M159" s="40"/>
      <c r="N159" s="40"/>
    </row>
    <row r="160" customFormat="false" ht="15" hidden="false" customHeight="false" outlineLevel="0" collapsed="false">
      <c r="A160" s="7" t="s">
        <v>20</v>
      </c>
      <c r="B160" s="19"/>
      <c r="C160" s="41" t="str">
        <f aca="false">E3</f>
        <v>#e65c4c</v>
      </c>
      <c r="D160" s="42" t="str">
        <f aca="false">F3</f>
        <v>#ffffff</v>
      </c>
      <c r="E160" s="43"/>
      <c r="F160" s="44" t="str">
        <f aca="false">G3</f>
        <v>#e65c4c</v>
      </c>
      <c r="G160" s="42" t="str">
        <f aca="false">H3</f>
        <v>#ffffff</v>
      </c>
      <c r="H160" s="45"/>
      <c r="I160" s="41" t="str">
        <f aca="false">I3</f>
        <v>#e65a49</v>
      </c>
      <c r="J160" s="42" t="str">
        <f aca="false">J3</f>
        <v>#ffffff</v>
      </c>
      <c r="K160" s="43"/>
      <c r="L160" s="44" t="str">
        <f aca="false">K3</f>
        <v>#e65a49</v>
      </c>
      <c r="M160" s="42" t="str">
        <f aca="false">L3</f>
        <v>#ffffff</v>
      </c>
      <c r="N160" s="43"/>
    </row>
    <row r="161" customFormat="false" ht="15" hidden="false" customHeight="false" outlineLevel="0" collapsed="false">
      <c r="A161" s="7"/>
      <c r="B161" s="25" t="n">
        <v>0</v>
      </c>
      <c r="C161" s="46" t="n">
        <f aca="false">(ABS(C4-E4)/C4)*100</f>
        <v>0</v>
      </c>
      <c r="D161" s="47" t="n">
        <f aca="false">(ABS(D4-F4)/D4)*100</f>
        <v>0</v>
      </c>
      <c r="E161" s="43"/>
      <c r="F161" s="48" t="n">
        <f aca="false">(ABS(C4-G4)/C4)*100</f>
        <v>0</v>
      </c>
      <c r="G161" s="47" t="n">
        <f aca="false">(ABS(D4-H4)/D4)*100</f>
        <v>0</v>
      </c>
      <c r="H161" s="45"/>
      <c r="I161" s="49" t="n">
        <f aca="false">(ABS(C4-I4)/C4)*100</f>
        <v>0</v>
      </c>
      <c r="J161" s="47" t="n">
        <f aca="false">(ABS(D4-J4)/D4)*100</f>
        <v>0</v>
      </c>
      <c r="K161" s="43"/>
      <c r="L161" s="47" t="n">
        <f aca="false">(ABS(C4-K4)/C4)*100</f>
        <v>0</v>
      </c>
      <c r="M161" s="47" t="n">
        <f aca="false">(ABS(D4-L4)/D4)*100</f>
        <v>0</v>
      </c>
      <c r="N161" s="43"/>
    </row>
    <row r="162" customFormat="false" ht="15" hidden="false" customHeight="false" outlineLevel="0" collapsed="false">
      <c r="A162" s="7"/>
      <c r="B162" s="25" t="n">
        <v>1</v>
      </c>
      <c r="C162" s="46" t="n">
        <f aca="false">(ABS(C5-E5)/C5)*100</f>
        <v>2.31578947368421</v>
      </c>
      <c r="D162" s="47" t="n">
        <f aca="false">(ABS(D5-F5)/D5)*100</f>
        <v>0.00689547092932142</v>
      </c>
      <c r="E162" s="43"/>
      <c r="F162" s="48" t="n">
        <f aca="false">(ABS(C5-G5)/C5)*100</f>
        <v>0.210526315789474</v>
      </c>
      <c r="G162" s="47" t="n">
        <f aca="false">(ABS(D5-H5)/D5)*100</f>
        <v>0.000626860993574675</v>
      </c>
      <c r="H162" s="45"/>
      <c r="I162" s="49" t="n">
        <f aca="false">(ABS(C5-I5)/C5)*100</f>
        <v>93.2631578947368</v>
      </c>
      <c r="J162" s="47" t="n">
        <f aca="false">(ABS(D5-J5)/D5)*100</f>
        <v>0.277699420153581</v>
      </c>
      <c r="K162" s="43"/>
      <c r="L162" s="47" t="n">
        <f aca="false">(ABS(C5-K5)/C5)*100</f>
        <v>0.210526315789474</v>
      </c>
      <c r="M162" s="47" t="n">
        <f aca="false">(ABS(D5-L5)/D5)*100</f>
        <v>0.000626860993574675</v>
      </c>
      <c r="N162" s="43"/>
    </row>
    <row r="163" customFormat="false" ht="15" hidden="false" customHeight="false" outlineLevel="0" collapsed="false">
      <c r="A163" s="7"/>
      <c r="B163" s="25" t="n">
        <v>2</v>
      </c>
      <c r="C163" s="46" t="n">
        <f aca="false">(ABS(C6-E6)/C6)*100</f>
        <v>0.860832137733142</v>
      </c>
      <c r="D163" s="47" t="n">
        <f aca="false">(ABS(D6-F6)/D6)*100</f>
        <v>0.00376640741228979</v>
      </c>
      <c r="E163" s="43"/>
      <c r="F163" s="48" t="n">
        <f aca="false">(ABS(C6-G6)/C6)*100</f>
        <v>0.430416068866571</v>
      </c>
      <c r="G163" s="47" t="n">
        <f aca="false">(ABS(D6-H6)/D6)*100</f>
        <v>0.00188320370614489</v>
      </c>
      <c r="H163" s="45"/>
      <c r="I163" s="49" t="n">
        <f aca="false">(ABS(C6-I6)/C6)*100</f>
        <v>99.5695839311334</v>
      </c>
      <c r="J163" s="47" t="n">
        <f aca="false">(ABS(D6-J6)/D6)*100</f>
        <v>0.435647790688185</v>
      </c>
      <c r="K163" s="43"/>
      <c r="L163" s="47" t="n">
        <f aca="false">(ABS(C6-K6)/C6)*100</f>
        <v>0.430416068866571</v>
      </c>
      <c r="M163" s="47" t="n">
        <f aca="false">(ABS(D6-L6)/D6)*100</f>
        <v>0.00188320370614489</v>
      </c>
      <c r="N163" s="43"/>
    </row>
    <row r="164" customFormat="false" ht="15" hidden="false" customHeight="false" outlineLevel="0" collapsed="false">
      <c r="A164" s="7"/>
      <c r="B164" s="25" t="n">
        <v>3</v>
      </c>
      <c r="C164" s="46" t="n">
        <f aca="false">(ABS(C7-E7)/C7)*100</f>
        <v>0.109289617486339</v>
      </c>
      <c r="D164" s="47" t="n">
        <f aca="false">(ABS(D7-F7)/D7)*100</f>
        <v>0.000628594776377408</v>
      </c>
      <c r="E164" s="43"/>
      <c r="F164" s="48" t="n">
        <f aca="false">(ABS(C7-G7)/C7)*100</f>
        <v>0.218579234972678</v>
      </c>
      <c r="G164" s="47" t="n">
        <f aca="false">(ABS(D7-H7)/D7)*100</f>
        <v>0.00125718955275482</v>
      </c>
      <c r="H164" s="45"/>
      <c r="I164" s="49" t="n">
        <f aca="false">(ABS(C7-I7)/C7)*100</f>
        <v>100</v>
      </c>
      <c r="J164" s="47" t="n">
        <f aca="false">(ABS(D7-J7)/D7)*100</f>
        <v>0.575164220385329</v>
      </c>
      <c r="K164" s="43"/>
      <c r="L164" s="47" t="n">
        <f aca="false">(ABS(C7-K7)/C7)*100</f>
        <v>0.218579234972678</v>
      </c>
      <c r="M164" s="47" t="n">
        <f aca="false">(ABS(D7-L7)/D7)*100</f>
        <v>0.00125718955275482</v>
      </c>
      <c r="N164" s="43"/>
    </row>
    <row r="165" customFormat="false" ht="15" hidden="false" customHeight="false" outlineLevel="0" collapsed="false">
      <c r="A165" s="7"/>
      <c r="B165" s="25" t="n">
        <v>4</v>
      </c>
      <c r="C165" s="46" t="n">
        <f aca="false">(ABS(C8-E8)/C8)*100</f>
        <v>1.49253731343284</v>
      </c>
      <c r="D165" s="47" t="n">
        <f aca="false">(ABS(D8-F8)/D8)*100</f>
        <v>0.0107011790181354</v>
      </c>
      <c r="E165" s="43"/>
      <c r="F165" s="48" t="n">
        <f aca="false">(ABS(C8-G8)/C8)*100</f>
        <v>0.351185250219491</v>
      </c>
      <c r="G165" s="47" t="n">
        <f aca="false">(ABS(D8-H8)/D8)*100</f>
        <v>0.00251792447485538</v>
      </c>
      <c r="H165" s="45"/>
      <c r="I165" s="49" t="n">
        <f aca="false">(ABS(C8-I8)/C8)*100</f>
        <v>72.2563652326602</v>
      </c>
      <c r="J165" s="47" t="n">
        <f aca="false">(ABS(D8-J8)/D8)*100</f>
        <v>0.518062960701494</v>
      </c>
      <c r="K165" s="43"/>
      <c r="L165" s="47" t="n">
        <f aca="false">(ABS(C8-K8)/C8)*100</f>
        <v>0.175592625109745</v>
      </c>
      <c r="M165" s="47" t="n">
        <f aca="false">(ABS(D8-L8)/D8)*100</f>
        <v>0.00125896223742769</v>
      </c>
      <c r="N165" s="43"/>
    </row>
    <row r="166" customFormat="false" ht="15" hidden="false" customHeight="false" outlineLevel="0" collapsed="false">
      <c r="A166" s="7"/>
      <c r="B166" s="25" t="n">
        <v>5</v>
      </c>
      <c r="C166" s="46" t="n">
        <f aca="false">(ABS(C9-E9)/C9)*100</f>
        <v>0.672143390589993</v>
      </c>
      <c r="D166" s="47" t="n">
        <f aca="false">(ABS(D9-F9)/D9)*100</f>
        <v>0.00567247149583073</v>
      </c>
      <c r="E166" s="43"/>
      <c r="F166" s="48" t="n">
        <f aca="false">(ABS(C9-G9)/C9)*100</f>
        <v>0.149365197908887</v>
      </c>
      <c r="G166" s="47" t="n">
        <f aca="false">(ABS(D9-H9)/D9)*100</f>
        <v>0.00126054922129572</v>
      </c>
      <c r="H166" s="45"/>
      <c r="I166" s="49" t="n">
        <f aca="false">(ABS(C9-I9)/C9)*100</f>
        <v>97.2367438386856</v>
      </c>
      <c r="J166" s="47" t="n">
        <f aca="false">(ABS(D9-J9)/D9)*100</f>
        <v>0.820617543063513</v>
      </c>
      <c r="K166" s="43"/>
      <c r="L166" s="47" t="n">
        <f aca="false">(ABS(C9-K9)/C9)*100</f>
        <v>0.0746825989544436</v>
      </c>
      <c r="M166" s="47" t="n">
        <f aca="false">(ABS(D9-L9)/D9)*100</f>
        <v>0.000630274610647859</v>
      </c>
      <c r="N166" s="43"/>
    </row>
    <row r="167" customFormat="false" ht="15" hidden="false" customHeight="false" outlineLevel="0" collapsed="false">
      <c r="A167" s="7"/>
      <c r="B167" s="25" t="n">
        <v>6</v>
      </c>
      <c r="C167" s="46" t="n">
        <f aca="false">(ABS(C10-E10)/C10)*100</f>
        <v>0.645577792123951</v>
      </c>
      <c r="D167" s="47" t="n">
        <f aca="false">(ABS(D10-F10)/D10)*100</f>
        <v>0.00631109933039236</v>
      </c>
      <c r="E167" s="43"/>
      <c r="F167" s="48" t="n">
        <f aca="false">(ABS(C10-G10)/C10)*100</f>
        <v>0.387346675274371</v>
      </c>
      <c r="G167" s="47" t="n">
        <f aca="false">(ABS(D10-H10)/D10)*100</f>
        <v>0.00378665959823542</v>
      </c>
      <c r="H167" s="45"/>
      <c r="I167" s="49" t="n">
        <f aca="false">(ABS(C10-I10)/C10)*100</f>
        <v>100</v>
      </c>
      <c r="J167" s="47" t="n">
        <f aca="false">(ABS(D10-J10)/D10)*100</f>
        <v>0.977589286277777</v>
      </c>
      <c r="K167" s="43"/>
      <c r="L167" s="47" t="n">
        <f aca="false">(ABS(C10-K10)/C10)*100</f>
        <v>0.12911555842479</v>
      </c>
      <c r="M167" s="47" t="n">
        <f aca="false">(ABS(D10-L10)/D10)*100</f>
        <v>0.00126221986607847</v>
      </c>
      <c r="N167" s="43"/>
    </row>
    <row r="168" customFormat="false" ht="15" hidden="false" customHeight="false" outlineLevel="0" collapsed="false">
      <c r="A168" s="7"/>
      <c r="B168" s="25" t="n">
        <v>7</v>
      </c>
      <c r="C168" s="46" t="n">
        <f aca="false">(ABS(C11-E11)/C11)*100</f>
        <v>1.28130460104834</v>
      </c>
      <c r="D168" s="47" t="n">
        <f aca="false">(ABS(D11-F11)/D11)*100</f>
        <v>0.013899155310425</v>
      </c>
      <c r="E168" s="43"/>
      <c r="F168" s="48" t="n">
        <f aca="false">(ABS(C11-G11)/C11)*100</f>
        <v>0.11648223645894</v>
      </c>
      <c r="G168" s="47" t="n">
        <f aca="false">(ABS(D11-H11)/D11)*100</f>
        <v>0.001263559573675</v>
      </c>
      <c r="H168" s="45"/>
      <c r="I168" s="49" t="n">
        <f aca="false">(ABS(C11-I11)/C11)*100</f>
        <v>97.0879440885265</v>
      </c>
      <c r="J168" s="47" t="n">
        <f aca="false">(ABS(D11-J11)/D11)*100</f>
        <v>1.05317690465811</v>
      </c>
      <c r="K168" s="43"/>
      <c r="L168" s="47" t="n">
        <f aca="false">(ABS(C11-K11)/C11)*100</f>
        <v>0.17472335468841</v>
      </c>
      <c r="M168" s="47" t="n">
        <f aca="false">(ABS(D11-L11)/D11)*100</f>
        <v>0.0018953393605125</v>
      </c>
      <c r="N168" s="43"/>
    </row>
    <row r="169" customFormat="false" ht="15" hidden="false" customHeight="false" outlineLevel="0" collapsed="false">
      <c r="A169" s="7"/>
      <c r="B169" s="25" t="n">
        <v>8</v>
      </c>
      <c r="C169" s="46" t="n">
        <f aca="false">(ABS(C12-E12)/C12)*100</f>
        <v>0.416883793642522</v>
      </c>
      <c r="D169" s="47" t="n">
        <f aca="false">(ABS(D12-F12)/D12)*100</f>
        <v>0.0050606967314225</v>
      </c>
      <c r="E169" s="43"/>
      <c r="F169" s="48" t="n">
        <f aca="false">(ABS(C12-G12)/C12)*100</f>
        <v>0.364773319437207</v>
      </c>
      <c r="G169" s="47" t="n">
        <f aca="false">(ABS(D12-H12)/D12)*100</f>
        <v>0.00442810963999469</v>
      </c>
      <c r="H169" s="45"/>
      <c r="I169" s="49" t="n">
        <f aca="false">(ABS(C12-I12)/C12)*100</f>
        <v>98.9577905158937</v>
      </c>
      <c r="J169" s="47" t="n">
        <f aca="false">(ABS(D12-J12)/D12)*100</f>
        <v>1.20128288662142</v>
      </c>
      <c r="K169" s="43"/>
      <c r="L169" s="47" t="n">
        <f aca="false">(ABS(C12-K12)/C12)*100</f>
        <v>0.104220948410631</v>
      </c>
      <c r="M169" s="47" t="n">
        <f aca="false">(ABS(D12-L12)/D12)*100</f>
        <v>0.00126517418285562</v>
      </c>
      <c r="N169" s="43"/>
    </row>
    <row r="170" customFormat="false" ht="15" hidden="false" customHeight="false" outlineLevel="0" collapsed="false">
      <c r="A170" s="7"/>
      <c r="B170" s="25" t="n">
        <v>9</v>
      </c>
      <c r="C170" s="46" t="n">
        <f aca="false">(ABS(C13-E13)/C13)*100</f>
        <v>2.52260828177059</v>
      </c>
      <c r="D170" s="47" t="n">
        <f aca="false">(ABS(D13-F13)/D13)*100</f>
        <v>0.0335657603911361</v>
      </c>
      <c r="E170" s="43"/>
      <c r="F170" s="48" t="n">
        <f aca="false">(ABS(C13-G13)/C13)*100</f>
        <v>0.42836744407425</v>
      </c>
      <c r="G170" s="47" t="n">
        <f aca="false">(ABS(D13-H13)/D13)*100</f>
        <v>0.00569984610415519</v>
      </c>
      <c r="H170" s="45"/>
      <c r="I170" s="49" t="n">
        <f aca="false">(ABS(C13-I13)/C13)*100</f>
        <v>99.9524036173251</v>
      </c>
      <c r="J170" s="47" t="n">
        <f aca="false">(ABS(D13-J13)/D13)*100</f>
        <v>1.32996409096954</v>
      </c>
      <c r="K170" s="43"/>
      <c r="L170" s="47" t="n">
        <f aca="false">(ABS(C13-K13)/C13)*100</f>
        <v>0.2855782960495</v>
      </c>
      <c r="M170" s="47" t="n">
        <f aca="false">(ABS(D13-L13)/D13)*100</f>
        <v>0.00379989740277013</v>
      </c>
      <c r="N170" s="43"/>
    </row>
    <row r="171" customFormat="false" ht="15" hidden="false" customHeight="false" outlineLevel="0" collapsed="false">
      <c r="A171" s="7"/>
      <c r="B171" s="25" t="n">
        <v>10</v>
      </c>
      <c r="C171" s="46" t="n">
        <f aca="false">(ABS(C14-E14)/C14)*100</f>
        <v>0.619195046439629</v>
      </c>
      <c r="D171" s="47" t="n">
        <f aca="false">(ABS(D14-F14)/D14)*100</f>
        <v>0.00887542079003924</v>
      </c>
      <c r="E171" s="43"/>
      <c r="F171" s="48" t="n">
        <f aca="false">(ABS(C14-G14)/C14)*100</f>
        <v>0.353825740822645</v>
      </c>
      <c r="G171" s="47" t="n">
        <f aca="false">(ABS(D14-H14)/D14)*100</f>
        <v>0.00507166902287957</v>
      </c>
      <c r="H171" s="45"/>
      <c r="I171" s="49" t="n">
        <f aca="false">(ABS(C14-I14)/C14)*100</f>
        <v>99.9557717823972</v>
      </c>
      <c r="J171" s="47" t="n">
        <f aca="false">(ABS(D14-J14)/D14)*100</f>
        <v>1.43274649896348</v>
      </c>
      <c r="K171" s="43"/>
      <c r="L171" s="47" t="n">
        <f aca="false">(ABS(C14-K14)/C14)*100</f>
        <v>0</v>
      </c>
      <c r="M171" s="47" t="n">
        <f aca="false">(ABS(D14-L14)/D14)*100</f>
        <v>0</v>
      </c>
      <c r="N171" s="43"/>
    </row>
    <row r="172" customFormat="false" ht="15" hidden="false" customHeight="false" outlineLevel="0" collapsed="false">
      <c r="A172" s="7"/>
      <c r="B172" s="25" t="n">
        <v>11</v>
      </c>
      <c r="C172" s="46" t="n">
        <f aca="false">(ABS(C15-E15)/C15)*100</f>
        <v>0.901269971323228</v>
      </c>
      <c r="D172" s="47" t="n">
        <f aca="false">(ABS(D15-F15)/D15)*100</f>
        <v>0.0139630233753705</v>
      </c>
      <c r="E172" s="43"/>
      <c r="F172" s="48" t="n">
        <f aca="false">(ABS(C15-G15)/C15)*100</f>
        <v>0.0409668168783286</v>
      </c>
      <c r="G172" s="47" t="n">
        <f aca="false">(ABS(D15-H15)/D15)*100</f>
        <v>0.000634682880698659</v>
      </c>
      <c r="H172" s="45"/>
      <c r="I172" s="49" t="n">
        <f aca="false">(ABS(C15-I15)/C15)*100</f>
        <v>99.5903318312167</v>
      </c>
      <c r="J172" s="47" t="n">
        <f aca="false">(ABS(D15-J15)/D15)*100</f>
        <v>1.54291408297844</v>
      </c>
      <c r="K172" s="43"/>
      <c r="L172" s="47" t="n">
        <f aca="false">(ABS(C15-K15)/C15)*100</f>
        <v>0.122900450634986</v>
      </c>
      <c r="M172" s="47" t="n">
        <f aca="false">(ABS(D15-L15)/D15)*100</f>
        <v>0.00190404864209598</v>
      </c>
      <c r="N172" s="43"/>
    </row>
    <row r="173" customFormat="false" ht="15" hidden="false" customHeight="false" outlineLevel="0" collapsed="false">
      <c r="A173" s="7"/>
      <c r="B173" s="25" t="n">
        <v>12</v>
      </c>
      <c r="C173" s="46" t="n">
        <f aca="false">(ABS(C16-E16)/C16)*100</f>
        <v>0.576701268742791</v>
      </c>
      <c r="D173" s="47" t="n">
        <f aca="false">(ABS(D16-F16)/D16)*100</f>
        <v>0.00952992077459196</v>
      </c>
      <c r="E173" s="43"/>
      <c r="F173" s="48" t="n">
        <f aca="false">(ABS(C16-G16)/C16)*100</f>
        <v>0.346020761245675</v>
      </c>
      <c r="G173" s="47" t="n">
        <f aca="false">(ABS(D16-H16)/D16)*100</f>
        <v>0.00571795246475518</v>
      </c>
      <c r="H173" s="45"/>
      <c r="I173" s="49" t="n">
        <f aca="false">(ABS(C16-I16)/C16)*100</f>
        <v>99.923106497501</v>
      </c>
      <c r="J173" s="47" t="n">
        <f aca="false">(ABS(D16-J16)/D16)*100</f>
        <v>1.65121760621097</v>
      </c>
      <c r="K173" s="43"/>
      <c r="L173" s="47" t="n">
        <f aca="false">(ABS(C16-K16)/C16)*100</f>
        <v>0.0768935024990388</v>
      </c>
      <c r="M173" s="47" t="n">
        <f aca="false">(ABS(D16-L16)/D16)*100</f>
        <v>0.00127065610327893</v>
      </c>
      <c r="N173" s="43"/>
    </row>
    <row r="174" customFormat="false" ht="15" hidden="false" customHeight="false" outlineLevel="0" collapsed="false">
      <c r="A174" s="7"/>
      <c r="B174" s="25" t="n">
        <v>13</v>
      </c>
      <c r="C174" s="46" t="n">
        <f aca="false">(ABS(C17-E17)/C17)*100</f>
        <v>0.218579234972678</v>
      </c>
      <c r="D174" s="47" t="n">
        <f aca="false">(ABS(D17-F17)/D17)*100</f>
        <v>0.00381545896791835</v>
      </c>
      <c r="E174" s="43"/>
      <c r="F174" s="48" t="n">
        <f aca="false">(ABS(C17-G17)/C17)*100</f>
        <v>0.0364298724954463</v>
      </c>
      <c r="G174" s="47" t="n">
        <f aca="false">(ABS(D17-H17)/D17)*100</f>
        <v>0.000635909827986392</v>
      </c>
      <c r="H174" s="45"/>
      <c r="I174" s="49" t="n">
        <f aca="false">(ABS(C17-I17)/C17)*100</f>
        <v>68.8888888888889</v>
      </c>
      <c r="J174" s="47" t="n">
        <f aca="false">(ABS(D17-J17)/D17)*100</f>
        <v>1.20250548472227</v>
      </c>
      <c r="K174" s="43"/>
      <c r="L174" s="47" t="n">
        <f aca="false">(ABS(C17-K17)/C17)*100</f>
        <v>0.0728597449908925</v>
      </c>
      <c r="M174" s="47" t="n">
        <f aca="false">(ABS(D17-L17)/D17)*100</f>
        <v>0.00127181965597278</v>
      </c>
      <c r="N174" s="43"/>
    </row>
    <row r="175" customFormat="false" ht="15" hidden="false" customHeight="false" outlineLevel="0" collapsed="false">
      <c r="A175" s="7"/>
      <c r="B175" s="25" t="n">
        <v>14</v>
      </c>
      <c r="C175" s="46" t="n">
        <f aca="false">(ABS(C18-E18)/C18)*100</f>
        <v>0.586409106588479</v>
      </c>
      <c r="D175" s="47" t="n">
        <f aca="false">(ABS(D18-F18)/D18)*100</f>
        <v>0.0108210641561798</v>
      </c>
      <c r="E175" s="43"/>
      <c r="F175" s="48" t="n">
        <f aca="false">(ABS(C18-G18)/C18)*100</f>
        <v>0.137978613314936</v>
      </c>
      <c r="G175" s="47" t="n">
        <f aca="false">(ABS(D18-H18)/D18)*100</f>
        <v>0.00254613274263054</v>
      </c>
      <c r="H175" s="45"/>
      <c r="I175" s="49" t="n">
        <f aca="false">(ABS(C18-I18)/C18)*100</f>
        <v>99.7585374266989</v>
      </c>
      <c r="J175" s="47" t="n">
        <f aca="false">(ABS(D18-J18)/D18)*100</f>
        <v>1.84085397292188</v>
      </c>
      <c r="K175" s="43"/>
      <c r="L175" s="47" t="n">
        <f aca="false">(ABS(C18-K18)/C18)*100</f>
        <v>0</v>
      </c>
      <c r="M175" s="47" t="n">
        <f aca="false">(ABS(D18-L18)/D18)*100</f>
        <v>0</v>
      </c>
      <c r="N175" s="43"/>
    </row>
    <row r="176" customFormat="false" ht="15" hidden="false" customHeight="false" outlineLevel="0" collapsed="false">
      <c r="A176" s="7"/>
      <c r="B176" s="25" t="n">
        <v>15</v>
      </c>
      <c r="C176" s="46" t="n">
        <f aca="false">(ABS(C19-E19)/C19)*100</f>
        <v>0.822639025995393</v>
      </c>
      <c r="D176" s="47" t="n">
        <f aca="false">(ABS(D19-F19)/D19)*100</f>
        <v>0.0159275233975319</v>
      </c>
      <c r="E176" s="43"/>
      <c r="F176" s="48" t="n">
        <f aca="false">(ABS(C19-G19)/C19)*100</f>
        <v>0.0987166831194472</v>
      </c>
      <c r="G176" s="47" t="n">
        <f aca="false">(ABS(D19-H19)/D19)*100</f>
        <v>0.00191130280770382</v>
      </c>
      <c r="H176" s="45"/>
      <c r="I176" s="49" t="n">
        <f aca="false">(ABS(C19-I19)/C19)*100</f>
        <v>99.3418887792037</v>
      </c>
      <c r="J176" s="47" t="n">
        <f aca="false">(ABS(D19-J19)/D19)*100</f>
        <v>1.92340772548595</v>
      </c>
      <c r="K176" s="43"/>
      <c r="L176" s="47" t="n">
        <f aca="false">(ABS(C19-K19)/C19)*100</f>
        <v>0.0658111220796315</v>
      </c>
      <c r="M176" s="47" t="n">
        <f aca="false">(ABS(D19-L19)/D19)*100</f>
        <v>0.00127420187180255</v>
      </c>
      <c r="N176" s="43"/>
    </row>
    <row r="177" customFormat="false" ht="15" hidden="false" customHeight="false" outlineLevel="0" collapsed="false">
      <c r="A177" s="7"/>
      <c r="B177" s="25" t="n">
        <v>16</v>
      </c>
      <c r="C177" s="46" t="n">
        <f aca="false">(ABS(C20-E20)/C20)*100</f>
        <v>0.221729490022173</v>
      </c>
      <c r="D177" s="47" t="n">
        <f aca="false">(ABS(D20-F20)/D20)*100</f>
        <v>0.00446306178790255</v>
      </c>
      <c r="E177" s="43"/>
      <c r="F177" s="48" t="n">
        <f aca="false">(ABS(C20-G20)/C20)*100</f>
        <v>0.285080772885651</v>
      </c>
      <c r="G177" s="47" t="n">
        <f aca="false">(ABS(D20-H20)/D20)*100</f>
        <v>0.00573822229873185</v>
      </c>
      <c r="H177" s="45"/>
      <c r="I177" s="49" t="n">
        <f aca="false">(ABS(C20-I20)/C20)*100</f>
        <v>100</v>
      </c>
      <c r="J177" s="47" t="n">
        <f aca="false">(ABS(D20-J20)/D20)*100</f>
        <v>2.01284086634405</v>
      </c>
      <c r="K177" s="43"/>
      <c r="L177" s="47" t="n">
        <f aca="false">(ABS(C20-K20)/C20)*100</f>
        <v>0.158378207158695</v>
      </c>
      <c r="M177" s="47" t="n">
        <f aca="false">(ABS(D20-L20)/D20)*100</f>
        <v>0.00318790127707325</v>
      </c>
      <c r="N177" s="43"/>
    </row>
    <row r="178" customFormat="false" ht="15" hidden="false" customHeight="false" outlineLevel="0" collapsed="false">
      <c r="A178" s="7"/>
      <c r="B178" s="25" t="n">
        <v>17</v>
      </c>
      <c r="C178" s="46" t="n">
        <f aca="false">(ABS(C21-E21)/C21)*100</f>
        <v>0.763358778625954</v>
      </c>
      <c r="D178" s="47" t="n">
        <f aca="false">(ABS(D21-F21)/D21)*100</f>
        <v>0.015951507417451</v>
      </c>
      <c r="E178" s="43"/>
      <c r="F178" s="48" t="n">
        <f aca="false">(ABS(C21-G21)/C21)*100</f>
        <v>0.305343511450382</v>
      </c>
      <c r="G178" s="47" t="n">
        <f aca="false">(ABS(D21-H21)/D21)*100</f>
        <v>0.00638060296698038</v>
      </c>
      <c r="H178" s="45"/>
      <c r="I178" s="49" t="n">
        <f aca="false">(ABS(C21-I21)/C21)*100</f>
        <v>99.8473282442748</v>
      </c>
      <c r="J178" s="47" t="n">
        <f aca="false">(ABS(D21-J21)/D21)*100</f>
        <v>2.08645717020258</v>
      </c>
      <c r="K178" s="43"/>
      <c r="L178" s="47" t="n">
        <f aca="false">(ABS(C21-K21)/C21)*100</f>
        <v>0.183206106870229</v>
      </c>
      <c r="M178" s="47" t="n">
        <f aca="false">(ABS(D21-L21)/D21)*100</f>
        <v>0.00382836178018823</v>
      </c>
      <c r="N178" s="43"/>
    </row>
    <row r="179" customFormat="false" ht="15" hidden="false" customHeight="false" outlineLevel="0" collapsed="false">
      <c r="A179" s="7"/>
      <c r="B179" s="25" t="n">
        <v>18</v>
      </c>
      <c r="C179" s="46" t="n">
        <f aca="false">(ABS(C22-E22)/C22)*100</f>
        <v>0.771742356782428</v>
      </c>
      <c r="D179" s="47" t="n">
        <f aca="false">(ABS(D22-F22)/D22)*100</f>
        <v>0.0165995237213578</v>
      </c>
      <c r="E179" s="43"/>
      <c r="F179" s="48" t="n">
        <f aca="false">(ABS(C22-G22)/C22)*100</f>
        <v>0.2077767883645</v>
      </c>
      <c r="G179" s="47" t="n">
        <f aca="false">(ABS(D22-H22)/D22)*100</f>
        <v>0.00446910254036557</v>
      </c>
      <c r="H179" s="45"/>
      <c r="I179" s="49" t="n">
        <f aca="false">(ABS(C22-I22)/C22)*100</f>
        <v>99.7625408132977</v>
      </c>
      <c r="J179" s="47" t="n">
        <f aca="false">(ABS(D22-J22)/D22)*100</f>
        <v>2.14580766259553</v>
      </c>
      <c r="K179" s="43"/>
      <c r="L179" s="47" t="n">
        <f aca="false">(ABS(C22-K22)/C22)*100</f>
        <v>0.237459186702286</v>
      </c>
      <c r="M179" s="47" t="n">
        <f aca="false">(ABS(D22-L22)/D22)*100</f>
        <v>0.0051075457604178</v>
      </c>
      <c r="N179" s="43"/>
    </row>
    <row r="180" customFormat="false" ht="15" hidden="false" customHeight="false" outlineLevel="0" collapsed="false">
      <c r="A180" s="7"/>
      <c r="B180" s="25" t="n">
        <v>19</v>
      </c>
      <c r="C180" s="46" t="n">
        <f aca="false">(ABS(C23-E23)/C23)*100</f>
        <v>0.833572865766025</v>
      </c>
      <c r="D180" s="47" t="n">
        <f aca="false">(ABS(D23-F23)/D23)*100</f>
        <v>0.0185278652704749</v>
      </c>
      <c r="E180" s="43"/>
      <c r="F180" s="48" t="n">
        <f aca="false">(ABS(C23-G23)/C23)*100</f>
        <v>0.258695027306697</v>
      </c>
      <c r="G180" s="47" t="n">
        <f aca="false">(ABS(D23-H23)/D23)*100</f>
        <v>0.005750027152906</v>
      </c>
      <c r="H180" s="45"/>
      <c r="I180" s="49" t="n">
        <f aca="false">(ABS(C23-I23)/C23)*100</f>
        <v>88.7898821500431</v>
      </c>
      <c r="J180" s="47" t="n">
        <f aca="false">(ABS(D23-J23)/D23)*100</f>
        <v>1.97353709725852</v>
      </c>
      <c r="K180" s="43"/>
      <c r="L180" s="47" t="n">
        <f aca="false">(ABS(C23-K23)/C23)*100</f>
        <v>0.114975567691865</v>
      </c>
      <c r="M180" s="47" t="n">
        <f aca="false">(ABS(D23-L23)/D23)*100</f>
        <v>0.00255556762351378</v>
      </c>
      <c r="N180" s="43"/>
    </row>
    <row r="181" customFormat="false" ht="15" hidden="false" customHeight="false" outlineLevel="0" collapsed="false">
      <c r="A181" s="7"/>
      <c r="B181" s="25" t="n">
        <v>20</v>
      </c>
      <c r="C181" s="46" t="n">
        <f aca="false">(ABS(C24-E24)/C24)*100</f>
        <v>0.642637608270467</v>
      </c>
      <c r="D181" s="47" t="n">
        <f aca="false">(ABS(D24-F24)/D24)*100</f>
        <v>0.0147039080430377</v>
      </c>
      <c r="E181" s="43"/>
      <c r="F181" s="48" t="n">
        <f aca="false">(ABS(C24-G24)/C24)*100</f>
        <v>0.0558815311539536</v>
      </c>
      <c r="G181" s="47" t="n">
        <f aca="false">(ABS(D24-H24)/D24)*100</f>
        <v>0.00127860069939458</v>
      </c>
      <c r="H181" s="45"/>
      <c r="I181" s="49" t="n">
        <f aca="false">(ABS(C24-I24)/C24)*100</f>
        <v>99.3014808605756</v>
      </c>
      <c r="J181" s="47" t="n">
        <f aca="false">(ABS(D24-J24)/D24)*100</f>
        <v>2.27207344282417</v>
      </c>
      <c r="K181" s="43"/>
      <c r="L181" s="47" t="n">
        <f aca="false">(ABS(C24-K24)/C24)*100</f>
        <v>0.0279407655769768</v>
      </c>
      <c r="M181" s="47" t="n">
        <f aca="false">(ABS(D24-L24)/D24)*100</f>
        <v>0.000639300349697291</v>
      </c>
      <c r="N181" s="43"/>
    </row>
    <row r="182" customFormat="false" ht="15" hidden="false" customHeight="false" outlineLevel="0" collapsed="false">
      <c r="A182" s="7"/>
      <c r="B182" s="25" t="n">
        <v>21</v>
      </c>
      <c r="C182" s="46" t="n">
        <f aca="false">(ABS(C25-E25)/C25)*100</f>
        <v>0.681384573453257</v>
      </c>
      <c r="D182" s="47" t="n">
        <f aca="false">(ABS(D25-F25)/D25)*100</f>
        <v>0.0159917098975891</v>
      </c>
      <c r="E182" s="43"/>
      <c r="F182" s="48" t="n">
        <f aca="false">(ABS(C25-G25)/C25)*100</f>
        <v>0.218043063505042</v>
      </c>
      <c r="G182" s="47" t="n">
        <f aca="false">(ABS(D25-H25)/D25)*100</f>
        <v>0.00511734716722851</v>
      </c>
      <c r="H182" s="45"/>
      <c r="I182" s="49" t="n">
        <f aca="false">(ABS(C25-I25)/C25)*100</f>
        <v>98.1738893431453</v>
      </c>
      <c r="J182" s="47" t="n">
        <f aca="false">(ABS(D25-J25)/D25)*100</f>
        <v>2.30408556204464</v>
      </c>
      <c r="K182" s="43"/>
      <c r="L182" s="47" t="n">
        <f aca="false">(ABS(C25-K25)/C25)*100</f>
        <v>0.109021531752521</v>
      </c>
      <c r="M182" s="47" t="n">
        <f aca="false">(ABS(D25-L25)/D25)*100</f>
        <v>0.00255867358361425</v>
      </c>
      <c r="N182" s="43"/>
    </row>
    <row r="183" customFormat="false" ht="15" hidden="false" customHeight="false" outlineLevel="0" collapsed="false">
      <c r="A183" s="7"/>
      <c r="B183" s="25" t="n">
        <v>22</v>
      </c>
      <c r="C183" s="46" t="n">
        <f aca="false">(ABS(C26-E26)/C26)*100</f>
        <v>1.27557799627956</v>
      </c>
      <c r="D183" s="47" t="n">
        <f aca="false">(ABS(D26-F26)/D26)*100</f>
        <v>0.0307225561166689</v>
      </c>
      <c r="E183" s="43"/>
      <c r="F183" s="48" t="n">
        <f aca="false">(ABS(C26-G26)/C26)*100</f>
        <v>0.159447249534946</v>
      </c>
      <c r="G183" s="47" t="n">
        <f aca="false">(ABS(D26-H26)/D26)*100</f>
        <v>0.00384031951458361</v>
      </c>
      <c r="H183" s="45"/>
      <c r="I183" s="49" t="n">
        <f aca="false">(ABS(C26-I26)/C26)*100</f>
        <v>92.5059792718576</v>
      </c>
      <c r="J183" s="47" t="n">
        <f aca="false">(ABS(D26-J26)/D26)*100</f>
        <v>2.22802537171093</v>
      </c>
      <c r="K183" s="43"/>
      <c r="L183" s="47" t="n">
        <f aca="false">(ABS(C26-K26)/C26)*100</f>
        <v>0.0797236247674728</v>
      </c>
      <c r="M183" s="47" t="n">
        <f aca="false">(ABS(D26-L26)/D26)*100</f>
        <v>0.00192015975729181</v>
      </c>
      <c r="N183" s="43"/>
    </row>
    <row r="184" customFormat="false" ht="15" hidden="false" customHeight="false" outlineLevel="0" collapsed="false">
      <c r="A184" s="7"/>
      <c r="B184" s="25" t="n">
        <v>23</v>
      </c>
      <c r="C184" s="46" t="n">
        <f aca="false">(ABS(C27-E27)/C27)*100</f>
        <v>0.234192037470726</v>
      </c>
      <c r="D184" s="47" t="n">
        <f aca="false">(ABS(D27-F27)/D27)*100</f>
        <v>0.00576343039377037</v>
      </c>
      <c r="E184" s="43"/>
      <c r="F184" s="48" t="n">
        <f aca="false">(ABS(C27-G27)/C27)*100</f>
        <v>0.130106687483737</v>
      </c>
      <c r="G184" s="47" t="n">
        <f aca="false">(ABS(D27-H27)/D27)*100</f>
        <v>0.00320190577431687</v>
      </c>
      <c r="H184" s="45"/>
      <c r="I184" s="49" t="n">
        <f aca="false">(ABS(C27-I27)/C27)*100</f>
        <v>99.895914650013</v>
      </c>
      <c r="J184" s="47" t="n">
        <f aca="false">(ABS(D27-J27)/D27)*100</f>
        <v>2.4584232535205</v>
      </c>
      <c r="K184" s="43"/>
      <c r="L184" s="47" t="n">
        <f aca="false">(ABS(C27-K27)/C27)*100</f>
        <v>0.104085349986989</v>
      </c>
      <c r="M184" s="47" t="n">
        <f aca="false">(ABS(D27-L27)/D27)*100</f>
        <v>0.0025615246194535</v>
      </c>
      <c r="N184" s="43"/>
    </row>
    <row r="185" customFormat="false" ht="15" hidden="false" customHeight="false" outlineLevel="0" collapsed="false">
      <c r="A185" s="7"/>
      <c r="B185" s="25" t="n">
        <v>24</v>
      </c>
      <c r="C185" s="46" t="n">
        <f aca="false">(ABS(C28-E28)/C28)*100</f>
        <v>1.12216271359347</v>
      </c>
      <c r="D185" s="47" t="n">
        <f aca="false">(ABS(D28-F28)/D28)*100</f>
        <v>0.0281908520685038</v>
      </c>
      <c r="E185" s="43"/>
      <c r="F185" s="48" t="n">
        <f aca="false">(ABS(C28-G28)/C28)*100</f>
        <v>0.0765110941086458</v>
      </c>
      <c r="G185" s="47" t="n">
        <f aca="false">(ABS(D28-H28)/D28)*100</f>
        <v>0.00192210355012526</v>
      </c>
      <c r="H185" s="45"/>
      <c r="I185" s="49" t="n">
        <f aca="false">(ABS(C28-I28)/C28)*100</f>
        <v>97.3731191022698</v>
      </c>
      <c r="J185" s="47" t="n">
        <f aca="false">(ABS(D28-J28)/D28)*100</f>
        <v>2.44619711812608</v>
      </c>
      <c r="K185" s="43"/>
      <c r="L185" s="47" t="n">
        <f aca="false">(ABS(C28-K28)/C28)*100</f>
        <v>0.0510073960724305</v>
      </c>
      <c r="M185" s="47" t="n">
        <f aca="false">(ABS(D28-L28)/D28)*100</f>
        <v>0.00128140236675017</v>
      </c>
      <c r="N185" s="43"/>
    </row>
    <row r="186" customFormat="false" ht="15" hidden="false" customHeight="false" outlineLevel="0" collapsed="false">
      <c r="A186" s="7"/>
      <c r="B186" s="25" t="n">
        <v>25</v>
      </c>
      <c r="C186" s="46" t="n">
        <f aca="false">(ABS(C29-E29)/C29)*100</f>
        <v>0.32540675844806</v>
      </c>
      <c r="D186" s="47" t="n">
        <f aca="false">(ABS(D29-F29)/D29)*100</f>
        <v>0.00833306624787667</v>
      </c>
      <c r="E186" s="43"/>
      <c r="F186" s="48" t="n">
        <f aca="false">(ABS(C29-G29)/C29)*100</f>
        <v>0.250312891113892</v>
      </c>
      <c r="G186" s="47" t="n">
        <f aca="false">(ABS(D29-H29)/D29)*100</f>
        <v>0.00641005095990513</v>
      </c>
      <c r="H186" s="45"/>
      <c r="I186" s="49" t="n">
        <f aca="false">(ABS(C29-I29)/C29)*100</f>
        <v>98.8986232790989</v>
      </c>
      <c r="J186" s="47" t="n">
        <f aca="false">(ABS(D29-J29)/D29)*100</f>
        <v>2.53261113425852</v>
      </c>
      <c r="K186" s="43"/>
      <c r="L186" s="47" t="n">
        <f aca="false">(ABS(C29-K29)/C29)*100</f>
        <v>0.0500625782227785</v>
      </c>
      <c r="M186" s="47" t="n">
        <f aca="false">(ABS(D29-L29)/D29)*100</f>
        <v>0.00128201019198103</v>
      </c>
      <c r="N186" s="43"/>
    </row>
    <row r="187" customFormat="false" ht="15" hidden="false" customHeight="false" outlineLevel="0" collapsed="false">
      <c r="A187" s="7"/>
      <c r="B187" s="25" t="n">
        <v>26</v>
      </c>
      <c r="C187" s="46" t="n">
        <f aca="false">(ABS(C30-E30)/C30)*100</f>
        <v>0.0495172072295123</v>
      </c>
      <c r="D187" s="47" t="n">
        <f aca="false">(ABS(D30-F30)/D30)*100</f>
        <v>0.00128237187502004</v>
      </c>
      <c r="E187" s="43"/>
      <c r="F187" s="48" t="n">
        <f aca="false">(ABS(C30-G30)/C30)*100</f>
        <v>0.0990344144590245</v>
      </c>
      <c r="G187" s="47" t="n">
        <f aca="false">(ABS(D30-H30)/D30)*100</f>
        <v>0.00256474375004007</v>
      </c>
      <c r="H187" s="45"/>
      <c r="I187" s="49" t="n">
        <f aca="false">(ABS(C30-I30)/C30)*100</f>
        <v>99.7524139638524</v>
      </c>
      <c r="J187" s="47" t="n">
        <f aca="false">(ABS(D30-J30)/D30)*100</f>
        <v>2.58333814222786</v>
      </c>
      <c r="K187" s="43"/>
      <c r="L187" s="47" t="n">
        <f aca="false">(ABS(C30-K30)/C30)*100</f>
        <v>0.247586036147561</v>
      </c>
      <c r="M187" s="47" t="n">
        <f aca="false">(ABS(D30-L30)/D30)*100</f>
        <v>0.00641185937510019</v>
      </c>
      <c r="N187" s="43"/>
    </row>
    <row r="188" customFormat="false" ht="15" hidden="false" customHeight="false" outlineLevel="0" collapsed="false">
      <c r="A188" s="7"/>
      <c r="B188" s="25" t="n">
        <v>27</v>
      </c>
      <c r="C188" s="46" t="n">
        <f aca="false">(ABS(C31-E31)/C31)*100</f>
        <v>0.488162069807176</v>
      </c>
      <c r="D188" s="47" t="n">
        <f aca="false">(ABS(D31-F31)/D31)*100</f>
        <v>0.0128284895095027</v>
      </c>
      <c r="E188" s="43"/>
      <c r="F188" s="48" t="n">
        <f aca="false">(ABS(C31-G31)/C31)*100</f>
        <v>0.0732243104710764</v>
      </c>
      <c r="G188" s="47" t="n">
        <f aca="false">(ABS(D31-H31)/D31)*100</f>
        <v>0.00192427342642541</v>
      </c>
      <c r="H188" s="45"/>
      <c r="I188" s="49" t="n">
        <f aca="false">(ABS(C31-I31)/C31)*100</f>
        <v>98.0473517207713</v>
      </c>
      <c r="J188" s="47" t="n">
        <f aca="false">(ABS(D31-J31)/D31)*100</f>
        <v>2.57660211798362</v>
      </c>
      <c r="K188" s="43"/>
      <c r="L188" s="47" t="n">
        <f aca="false">(ABS(C31-K31)/C31)*100</f>
        <v>0.0244081034903588</v>
      </c>
      <c r="M188" s="47" t="n">
        <f aca="false">(ABS(D31-L31)/D31)*100</f>
        <v>0.000641424475475135</v>
      </c>
      <c r="N188" s="43"/>
    </row>
    <row r="189" customFormat="false" ht="15" hidden="false" customHeight="false" outlineLevel="0" collapsed="false">
      <c r="A189" s="7"/>
      <c r="B189" s="25" t="n">
        <v>28</v>
      </c>
      <c r="C189" s="46" t="n">
        <f aca="false">(ABS(C32-E32)/C32)*100</f>
        <v>1.18557948221631</v>
      </c>
      <c r="D189" s="47" t="n">
        <f aca="false">(ABS(D32-F32)/D32)*100</f>
        <v>0.0314370585178389</v>
      </c>
      <c r="E189" s="43"/>
      <c r="F189" s="48" t="n">
        <f aca="false">(ABS(C32-G32)/C32)*100</f>
        <v>0.0725864989112025</v>
      </c>
      <c r="G189" s="47" t="n">
        <f aca="false">(ABS(D32-H32)/D32)*100</f>
        <v>0.00192471786843912</v>
      </c>
      <c r="H189" s="45"/>
      <c r="I189" s="49" t="n">
        <f aca="false">(ABS(C32-I32)/C32)*100</f>
        <v>99.9032180014517</v>
      </c>
      <c r="J189" s="47" t="n">
        <f aca="false">(ABS(D32-J32)/D32)*100</f>
        <v>2.64905335959504</v>
      </c>
      <c r="K189" s="43"/>
      <c r="L189" s="47" t="n">
        <f aca="false">(ABS(C32-K32)/C32)*100</f>
        <v>0.0241954996370675</v>
      </c>
      <c r="M189" s="47" t="n">
        <f aca="false">(ABS(D32-L32)/D32)*100</f>
        <v>0.000641572622813039</v>
      </c>
      <c r="N189" s="43"/>
    </row>
    <row r="190" customFormat="false" ht="15" hidden="false" customHeight="false" outlineLevel="0" collapsed="false">
      <c r="A190" s="7"/>
      <c r="B190" s="25" t="n">
        <v>29</v>
      </c>
      <c r="C190" s="46" t="n">
        <f aca="false">(ABS(C33-E33)/C33)*100</f>
        <v>0.0481579581025765</v>
      </c>
      <c r="D190" s="47" t="n">
        <f aca="false">(ABS(D33-F33)/D33)*100</f>
        <v>0.00128330991292742</v>
      </c>
      <c r="E190" s="43"/>
      <c r="F190" s="48" t="n">
        <f aca="false">(ABS(C33-G33)/C33)*100</f>
        <v>0.168552853359018</v>
      </c>
      <c r="G190" s="47" t="n">
        <f aca="false">(ABS(D33-H33)/D33)*100</f>
        <v>0.00449158469524598</v>
      </c>
      <c r="H190" s="45"/>
      <c r="I190" s="49" t="n">
        <f aca="false">(ABS(C33-I33)/C33)*100</f>
        <v>99.3017096075127</v>
      </c>
      <c r="J190" s="47" t="n">
        <f aca="false">(ABS(D33-J33)/D33)*100</f>
        <v>2.64618504045635</v>
      </c>
      <c r="K190" s="43"/>
      <c r="L190" s="47" t="n">
        <f aca="false">(ABS(C33-K33)/C33)*100</f>
        <v>0</v>
      </c>
      <c r="M190" s="47" t="n">
        <f aca="false">(ABS(D33-L33)/D33)*100</f>
        <v>0</v>
      </c>
      <c r="N190" s="43"/>
    </row>
    <row r="191" customFormat="false" ht="15" hidden="false" customHeight="false" outlineLevel="0" collapsed="false">
      <c r="A191" s="7"/>
      <c r="B191" s="25" t="n">
        <v>30</v>
      </c>
      <c r="C191" s="46" t="n">
        <f aca="false">(ABS(C34-E34)/C34)*100</f>
        <v>0.575125808770669</v>
      </c>
      <c r="D191" s="47" t="n">
        <f aca="false">(ABS(D34-F34)/D34)*100</f>
        <v>0.0154016954699763</v>
      </c>
      <c r="E191" s="43"/>
      <c r="F191" s="48" t="n">
        <f aca="false">(ABS(C34-G34)/C34)*100</f>
        <v>0.215672178289001</v>
      </c>
      <c r="G191" s="47" t="n">
        <f aca="false">(ABS(D34-H34)/D34)*100</f>
        <v>0.00577563580124112</v>
      </c>
      <c r="H191" s="45"/>
      <c r="I191" s="49" t="n">
        <f aca="false">(ABS(C34-I34)/C34)*100</f>
        <v>99.7364006709801</v>
      </c>
      <c r="J191" s="47" t="n">
        <f aca="false">(ABS(D34-J34)/D34)*100</f>
        <v>2.67091068941839</v>
      </c>
      <c r="K191" s="43"/>
      <c r="L191" s="47" t="n">
        <f aca="false">(ABS(C34-K34)/C34)*100</f>
        <v>0.0718907260963336</v>
      </c>
      <c r="M191" s="47" t="n">
        <f aca="false">(ABS(D34-L34)/D34)*100</f>
        <v>0.00192521193374704</v>
      </c>
      <c r="N191" s="43"/>
    </row>
    <row r="192" customFormat="false" ht="15" hidden="false" customHeight="false" outlineLevel="0" collapsed="false">
      <c r="A192" s="7"/>
      <c r="B192" s="25" t="n">
        <v>31</v>
      </c>
      <c r="C192" s="46" t="n">
        <f aca="false">(ABS(C35-E35)/C35)*100</f>
        <v>0.690969740290684</v>
      </c>
      <c r="D192" s="47" t="n">
        <f aca="false">(ABS(D35-F35)/D35)*100</f>
        <v>0.0186132487821159</v>
      </c>
      <c r="E192" s="43"/>
      <c r="F192" s="48" t="n">
        <f aca="false">(ABS(C35-G35)/C35)*100</f>
        <v>0.190612342149154</v>
      </c>
      <c r="G192" s="47" t="n">
        <f aca="false">(ABS(D35-H35)/D35)*100</f>
        <v>0.00513468931920438</v>
      </c>
      <c r="H192" s="45"/>
      <c r="I192" s="49" t="n">
        <f aca="false">(ABS(C35-I35)/C35)*100</f>
        <v>77.4362639980939</v>
      </c>
      <c r="J192" s="47" t="n">
        <f aca="false">(ABS(D35-J35)/D35)*100</f>
        <v>2.08596753592678</v>
      </c>
      <c r="K192" s="43"/>
      <c r="L192" s="47" t="n">
        <f aca="false">(ABS(C35-K35)/C35)*100</f>
        <v>0.0714796283059328</v>
      </c>
      <c r="M192" s="47" t="n">
        <f aca="false">(ABS(D35-L35)/D35)*100</f>
        <v>0.00192550849470164</v>
      </c>
      <c r="N192" s="43"/>
    </row>
    <row r="193" customFormat="false" ht="15" hidden="false" customHeight="false" outlineLevel="0" collapsed="false">
      <c r="A193" s="7"/>
      <c r="B193" s="25" t="n">
        <v>32</v>
      </c>
      <c r="C193" s="46" t="n">
        <f aca="false">(ABS(C36-E36)/C36)*100</f>
        <v>0.904977375565611</v>
      </c>
      <c r="D193" s="47" t="n">
        <f aca="false">(ABS(D36-F36)/D36)*100</f>
        <v>0.0243900873550234</v>
      </c>
      <c r="E193" s="43"/>
      <c r="F193" s="48" t="n">
        <f aca="false">(ABS(C36-G36)/C36)*100</f>
        <v>0.0952607763753275</v>
      </c>
      <c r="G193" s="47" t="n">
        <f aca="false">(ABS(D36-H36)/D36)*100</f>
        <v>0.00256737761631825</v>
      </c>
      <c r="H193" s="45"/>
      <c r="I193" s="49" t="n">
        <f aca="false">(ABS(C36-I36)/C36)*100</f>
        <v>99.8332936413432</v>
      </c>
      <c r="J193" s="47" t="n">
        <f aca="false">(ABS(D36-J36)/D36)*100</f>
        <v>2.69061174190153</v>
      </c>
      <c r="K193" s="43"/>
      <c r="L193" s="47" t="n">
        <f aca="false">(ABS(C36-K36)/C36)*100</f>
        <v>0.119075970469159</v>
      </c>
      <c r="M193" s="47" t="n">
        <f aca="false">(ABS(D36-L36)/D36)*100</f>
        <v>0.00320922202039782</v>
      </c>
      <c r="N193" s="43"/>
    </row>
    <row r="194" customFormat="false" ht="15" hidden="false" customHeight="false" outlineLevel="0" collapsed="false">
      <c r="A194" s="7"/>
      <c r="B194" s="25" t="n">
        <v>33</v>
      </c>
      <c r="C194" s="46" t="n">
        <f aca="false">(ABS(C37-E37)/C37)*100</f>
        <v>1.10338210602063</v>
      </c>
      <c r="D194" s="47" t="n">
        <f aca="false">(ABS(D37-F37)/D37)*100</f>
        <v>0.0295191585756364</v>
      </c>
      <c r="E194" s="43"/>
      <c r="F194" s="48" t="n">
        <f aca="false">(ABS(C37-G37)/C37)*100</f>
        <v>0.0479731350443752</v>
      </c>
      <c r="G194" s="47" t="n">
        <f aca="false">(ABS(D37-H37)/D37)*100</f>
        <v>0.00128344167720158</v>
      </c>
      <c r="H194" s="45"/>
      <c r="I194" s="49" t="n">
        <f aca="false">(ABS(C37-I37)/C37)*100</f>
        <v>99.5682417846006</v>
      </c>
      <c r="J194" s="47" t="n">
        <f aca="false">(ABS(D37-J37)/D37)*100</f>
        <v>2.66378320103189</v>
      </c>
      <c r="K194" s="43"/>
      <c r="L194" s="47" t="n">
        <f aca="false">(ABS(C37-K37)/C37)*100</f>
        <v>0.0239865675221876</v>
      </c>
      <c r="M194" s="47" t="n">
        <f aca="false">(ABS(D37-L37)/D37)*100</f>
        <v>0.000641720838600792</v>
      </c>
      <c r="N194" s="43"/>
    </row>
    <row r="195" customFormat="false" ht="15" hidden="false" customHeight="false" outlineLevel="0" collapsed="false">
      <c r="A195" s="7"/>
      <c r="B195" s="25" t="n">
        <v>34</v>
      </c>
      <c r="C195" s="46" t="n">
        <f aca="false">(ABS(C38-E38)/C38)*100</f>
        <v>0.796139927623643</v>
      </c>
      <c r="D195" s="47" t="n">
        <f aca="false">(ABS(D38-F38)/D38)*100</f>
        <v>0.0211735266754355</v>
      </c>
      <c r="E195" s="43"/>
      <c r="F195" s="48" t="n">
        <f aca="false">(ABS(C38-G38)/C38)*100</f>
        <v>0.14475271411339</v>
      </c>
      <c r="G195" s="47" t="n">
        <f aca="false">(ABS(D38-H38)/D38)*100</f>
        <v>0.00384973212280646</v>
      </c>
      <c r="H195" s="45"/>
      <c r="I195" s="49" t="n">
        <f aca="false">(ABS(C38-I38)/C38)*100</f>
        <v>98.6007237635706</v>
      </c>
      <c r="J195" s="47" t="n">
        <f aca="false">(ABS(D38-J38)/D38)*100</f>
        <v>2.62230919765166</v>
      </c>
      <c r="K195" s="43"/>
      <c r="L195" s="47" t="n">
        <f aca="false">(ABS(C38-K38)/C38)*100</f>
        <v>0.120627261761158</v>
      </c>
      <c r="M195" s="47" t="n">
        <f aca="false">(ABS(D38-L38)/D38)*100</f>
        <v>0.00320811010233871</v>
      </c>
      <c r="N195" s="43"/>
    </row>
    <row r="196" customFormat="false" ht="15" hidden="false" customHeight="false" outlineLevel="0" collapsed="false">
      <c r="A196" s="7"/>
      <c r="B196" s="25" t="n">
        <v>35</v>
      </c>
      <c r="C196" s="46" t="n">
        <f aca="false">(ABS(C39-E39)/C39)*100</f>
        <v>0.388821385176185</v>
      </c>
      <c r="D196" s="47" t="n">
        <f aca="false">(ABS(D39-F39)/D39)*100</f>
        <v>0.0102639766494531</v>
      </c>
      <c r="E196" s="43"/>
      <c r="F196" s="48" t="n">
        <f aca="false">(ABS(C39-G39)/C39)*100</f>
        <v>0.340218712029162</v>
      </c>
      <c r="G196" s="47" t="n">
        <f aca="false">(ABS(D39-H39)/D39)*100</f>
        <v>0.00898097956827148</v>
      </c>
      <c r="H196" s="45"/>
      <c r="I196" s="49" t="n">
        <f aca="false">(ABS(C39-I39)/C39)*100</f>
        <v>99.6597812879708</v>
      </c>
      <c r="J196" s="47" t="n">
        <f aca="false">(ABS(D39-J39)/D39)*100</f>
        <v>2.63078551496295</v>
      </c>
      <c r="K196" s="43"/>
      <c r="L196" s="47" t="n">
        <f aca="false">(ABS(C39-K39)/C39)*100</f>
        <v>0.218712029161604</v>
      </c>
      <c r="M196" s="47" t="n">
        <f aca="false">(ABS(D39-L39)/D39)*100</f>
        <v>0.00577348686531738</v>
      </c>
      <c r="N196" s="43"/>
    </row>
    <row r="197" customFormat="false" ht="15" hidden="false" customHeight="false" outlineLevel="0" collapsed="false">
      <c r="A197" s="7"/>
      <c r="B197" s="25" t="n">
        <v>36</v>
      </c>
      <c r="C197" s="46" t="n">
        <f aca="false">(ABS(C40-E40)/C40)*100</f>
        <v>1.23487280810077</v>
      </c>
      <c r="D197" s="47" t="n">
        <f aca="false">(ABS(D40-F40)/D40)*100</f>
        <v>0.0320613526043437</v>
      </c>
      <c r="E197" s="43"/>
      <c r="F197" s="48" t="n">
        <f aca="false">(ABS(C40-G40)/C40)*100</f>
        <v>0.0246974561620153</v>
      </c>
      <c r="G197" s="47" t="n">
        <f aca="false">(ABS(D40-H40)/D40)*100</f>
        <v>0.000641227052086873</v>
      </c>
      <c r="H197" s="45"/>
      <c r="I197" s="49" t="n">
        <f aca="false">(ABS(C40-I40)/C40)*100</f>
        <v>94.8876265744628</v>
      </c>
      <c r="J197" s="47" t="n">
        <f aca="false">(ABS(D40-J40)/D40)*100</f>
        <v>2.46359433411777</v>
      </c>
      <c r="K197" s="43"/>
      <c r="L197" s="47" t="n">
        <f aca="false">(ABS(C40-K40)/C40)*100</f>
        <v>0.0740923684860459</v>
      </c>
      <c r="M197" s="47" t="n">
        <f aca="false">(ABS(D40-L40)/D40)*100</f>
        <v>0.00192368115626062</v>
      </c>
      <c r="N197" s="43"/>
    </row>
    <row r="198" customFormat="false" ht="15" hidden="false" customHeight="false" outlineLevel="0" collapsed="false">
      <c r="A198" s="7"/>
      <c r="B198" s="25" t="n">
        <v>37</v>
      </c>
      <c r="C198" s="46" t="n">
        <f aca="false">(ABS(C41-E41)/C41)*100</f>
        <v>1.0828506673382</v>
      </c>
      <c r="D198" s="47" t="n">
        <f aca="false">(ABS(D41-F41)/D41)*100</f>
        <v>0.0275589794204923</v>
      </c>
      <c r="E198" s="43"/>
      <c r="F198" s="48" t="n">
        <f aca="false">(ABS(C41-G41)/C41)*100</f>
        <v>0.201460589272224</v>
      </c>
      <c r="G198" s="47" t="n">
        <f aca="false">(ABS(D41-H41)/D41)*100</f>
        <v>0.00512725198520788</v>
      </c>
      <c r="H198" s="45"/>
      <c r="I198" s="49" t="n">
        <f aca="false">(ABS(C41-I41)/C41)*100</f>
        <v>99.974817426341</v>
      </c>
      <c r="J198" s="47" t="n">
        <f aca="false">(ABS(D41-J41)/D41)*100</f>
        <v>2.54439879765941</v>
      </c>
      <c r="K198" s="43"/>
      <c r="L198" s="47" t="n">
        <f aca="false">(ABS(C41-K41)/C41)*100</f>
        <v>0.025182573659028</v>
      </c>
      <c r="M198" s="47" t="n">
        <f aca="false">(ABS(D41-L41)/D41)*100</f>
        <v>0.000640906498150985</v>
      </c>
      <c r="N198" s="43"/>
    </row>
    <row r="199" customFormat="false" ht="15" hidden="false" customHeight="false" outlineLevel="0" collapsed="false">
      <c r="A199" s="7"/>
      <c r="B199" s="25" t="n">
        <v>38</v>
      </c>
      <c r="C199" s="46" t="n">
        <f aca="false">(ABS(C42-E42)/C42)*100</f>
        <v>1.09062581147754</v>
      </c>
      <c r="D199" s="47" t="n">
        <f aca="false">(ABS(D42-F42)/D42)*100</f>
        <v>0.0268973864706146</v>
      </c>
      <c r="E199" s="43"/>
      <c r="F199" s="48" t="n">
        <f aca="false">(ABS(C42-G42)/C42)*100</f>
        <v>0.155803687353934</v>
      </c>
      <c r="G199" s="47" t="n">
        <f aca="false">(ABS(D42-H42)/D42)*100</f>
        <v>0.00384248378151637</v>
      </c>
      <c r="H199" s="45"/>
      <c r="I199" s="49" t="n">
        <f aca="false">(ABS(C42-I42)/C42)*100</f>
        <v>99.1950142820047</v>
      </c>
      <c r="J199" s="47" t="n">
        <f aca="false">(ABS(D42-J42)/D42)*100</f>
        <v>2.44638134089876</v>
      </c>
      <c r="K199" s="43"/>
      <c r="L199" s="47" t="n">
        <f aca="false">(ABS(C42-K42)/C42)*100</f>
        <v>0.103869124902623</v>
      </c>
      <c r="M199" s="47" t="n">
        <f aca="false">(ABS(D42-L42)/D42)*100</f>
        <v>0.00256165585434425</v>
      </c>
      <c r="N199" s="43"/>
    </row>
    <row r="200" customFormat="false" ht="15" hidden="false" customHeight="false" outlineLevel="0" collapsed="false">
      <c r="A200" s="7"/>
      <c r="B200" s="25" t="n">
        <v>39</v>
      </c>
      <c r="C200" s="46" t="n">
        <f aca="false">(ABS(C43-E43)/C43)*100</f>
        <v>1.65760869565217</v>
      </c>
      <c r="D200" s="47" t="n">
        <f aca="false">(ABS(D43-F43)/D43)*100</f>
        <v>0.0390225179119754</v>
      </c>
      <c r="E200" s="43"/>
      <c r="F200" s="48" t="n">
        <f aca="false">(ABS(C43-G43)/C43)*100</f>
        <v>0.217391304347826</v>
      </c>
      <c r="G200" s="47" t="n">
        <f aca="false">(ABS(D43-H43)/D43)*100</f>
        <v>0.00511770726714432</v>
      </c>
      <c r="H200" s="45"/>
      <c r="I200" s="49" t="n">
        <f aca="false">(ABS(C43-I43)/C43)*100</f>
        <v>99.8913043478261</v>
      </c>
      <c r="J200" s="47" t="n">
        <f aca="false">(ABS(D43-J43)/D43)*100</f>
        <v>2.35158648925281</v>
      </c>
      <c r="K200" s="43"/>
      <c r="L200" s="47" t="n">
        <f aca="false">(ABS(C43-K43)/C43)*100</f>
        <v>0.0815217391304348</v>
      </c>
      <c r="M200" s="47" t="n">
        <f aca="false">(ABS(D43-L43)/D43)*100</f>
        <v>0.00191914022517912</v>
      </c>
      <c r="N200" s="43"/>
    </row>
    <row r="201" customFormat="false" ht="15" hidden="false" customHeight="false" outlineLevel="0" collapsed="false">
      <c r="A201" s="7"/>
      <c r="B201" s="25" t="n">
        <v>40</v>
      </c>
      <c r="C201" s="46" t="n">
        <f aca="false">(ABS(C44-E44)/C44)*100</f>
        <v>1.92528735632184</v>
      </c>
      <c r="D201" s="47" t="n">
        <f aca="false">(ABS(D44-F44)/D44)*100</f>
        <v>0.0428060311781242</v>
      </c>
      <c r="E201" s="43"/>
      <c r="F201" s="48" t="n">
        <f aca="false">(ABS(C44-G44)/C44)*100</f>
        <v>0.172413793103448</v>
      </c>
      <c r="G201" s="47" t="n">
        <f aca="false">(ABS(D44-H44)/D44)*100</f>
        <v>0.00383337592639918</v>
      </c>
      <c r="H201" s="45"/>
      <c r="I201" s="49" t="n">
        <f aca="false">(ABS(C44-I44)/C44)*100</f>
        <v>98.3908045977012</v>
      </c>
      <c r="J201" s="47" t="n">
        <f aca="false">(ABS(D44-J44)/D44)*100</f>
        <v>2.18757986199847</v>
      </c>
      <c r="K201" s="43"/>
      <c r="L201" s="47" t="n">
        <f aca="false">(ABS(C44-K44)/C44)*100</f>
        <v>0.114942528735632</v>
      </c>
      <c r="M201" s="47" t="n">
        <f aca="false">(ABS(D44-L44)/D44)*100</f>
        <v>0.00255558395093279</v>
      </c>
      <c r="N201" s="43"/>
    </row>
    <row r="202" customFormat="false" ht="15" hidden="false" customHeight="false" outlineLevel="0" collapsed="false">
      <c r="A202" s="7"/>
      <c r="B202" s="25" t="n">
        <v>41</v>
      </c>
      <c r="C202" s="46" t="n">
        <f aca="false">(ABS(C45-E45)/C45)*100</f>
        <v>1.46007151370679</v>
      </c>
      <c r="D202" s="47" t="n">
        <f aca="false">(ABS(D45-F45)/D45)*100</f>
        <v>0.0312811215239652</v>
      </c>
      <c r="E202" s="43"/>
      <c r="F202" s="48" t="n">
        <f aca="false">(ABS(C45-G45)/C45)*100</f>
        <v>0.119189511323004</v>
      </c>
      <c r="G202" s="47" t="n">
        <f aca="false">(ABS(D45-H45)/D45)*100</f>
        <v>0.00255356094073185</v>
      </c>
      <c r="H202" s="45"/>
      <c r="I202" s="49" t="n">
        <f aca="false">(ABS(C45-I45)/C45)*100</f>
        <v>99.4934445768772</v>
      </c>
      <c r="J202" s="47" t="n">
        <f aca="false">(ABS(D45-J45)/D45)*100</f>
        <v>2.13158499527591</v>
      </c>
      <c r="K202" s="43"/>
      <c r="L202" s="47" t="n">
        <f aca="false">(ABS(C45-K45)/C45)*100</f>
        <v>0.119189511323004</v>
      </c>
      <c r="M202" s="47" t="n">
        <f aca="false">(ABS(D45-L45)/D45)*100</f>
        <v>0.00255356094073185</v>
      </c>
      <c r="N202" s="43"/>
    </row>
    <row r="203" customFormat="false" ht="15" hidden="false" customHeight="false" outlineLevel="0" collapsed="false">
      <c r="A203" s="7"/>
      <c r="B203" s="25" t="n">
        <v>42</v>
      </c>
      <c r="C203" s="46" t="n">
        <f aca="false">(ABS(C46-E46)/C46)*100</f>
        <v>0.520514390691978</v>
      </c>
      <c r="D203" s="47" t="n">
        <f aca="false">(ABS(D46-F46)/D46)*100</f>
        <v>0.010846402184593</v>
      </c>
      <c r="E203" s="43"/>
      <c r="F203" s="48" t="n">
        <f aca="false">(ABS(C46-G46)/C46)*100</f>
        <v>0.398040416411513</v>
      </c>
      <c r="G203" s="47" t="n">
        <f aca="false">(ABS(D46-H46)/D46)*100</f>
        <v>0.00829430755292406</v>
      </c>
      <c r="H203" s="45"/>
      <c r="I203" s="49" t="n">
        <f aca="false">(ABS(C46-I46)/C46)*100</f>
        <v>99.9387630128598</v>
      </c>
      <c r="J203" s="47" t="n">
        <f aca="false">(ABS(D46-J46)/D46)*100</f>
        <v>2.08250921944186</v>
      </c>
      <c r="K203" s="43"/>
      <c r="L203" s="47" t="n">
        <f aca="false">(ABS(C46-K46)/C46)*100</f>
        <v>0.122473974280465</v>
      </c>
      <c r="M203" s="47" t="n">
        <f aca="false">(ABS(D46-L46)/D46)*100</f>
        <v>0.00255209463166894</v>
      </c>
      <c r="N203" s="43"/>
    </row>
    <row r="204" customFormat="false" ht="15" hidden="false" customHeight="false" outlineLevel="0" collapsed="false">
      <c r="A204" s="7"/>
      <c r="B204" s="25" t="n">
        <v>43</v>
      </c>
      <c r="C204" s="46" t="n">
        <f aca="false">(ABS(C47-E47)/C47)*100</f>
        <v>0.660377358490566</v>
      </c>
      <c r="D204" s="47" t="n">
        <f aca="false">(ABS(D47-F47)/D47)*100</f>
        <v>0.0133911490881265</v>
      </c>
      <c r="E204" s="43"/>
      <c r="F204" s="48" t="n">
        <f aca="false">(ABS(C47-G47)/C47)*100</f>
        <v>0.220125786163522</v>
      </c>
      <c r="G204" s="47" t="n">
        <f aca="false">(ABS(D47-H47)/D47)*100</f>
        <v>0.00446371636270884</v>
      </c>
      <c r="H204" s="45"/>
      <c r="I204" s="49" t="n">
        <f aca="false">(ABS(C47-I47)/C47)*100</f>
        <v>99.811320754717</v>
      </c>
      <c r="J204" s="47" t="n">
        <f aca="false">(ABS(D47-J47)/D47)*100</f>
        <v>2.02397653360541</v>
      </c>
      <c r="K204" s="43"/>
      <c r="L204" s="47" t="n">
        <f aca="false">(ABS(C47-K47)/C47)*100</f>
        <v>0.0314465408805031</v>
      </c>
      <c r="M204" s="47" t="n">
        <f aca="false">(ABS(D47-L47)/D47)*100</f>
        <v>0.000637673766101263</v>
      </c>
      <c r="N204" s="43"/>
    </row>
    <row r="205" customFormat="false" ht="15" hidden="false" customHeight="false" outlineLevel="0" collapsed="false">
      <c r="A205" s="7"/>
      <c r="B205" s="25" t="n">
        <v>44</v>
      </c>
      <c r="C205" s="46" t="n">
        <f aca="false">(ABS(C48-E48)/C48)*100</f>
        <v>0.577663671373556</v>
      </c>
      <c r="D205" s="47" t="n">
        <f aca="false">(ABS(D48-F48)/D48)*100</f>
        <v>0.0114734453481553</v>
      </c>
      <c r="E205" s="43"/>
      <c r="F205" s="48" t="n">
        <f aca="false">(ABS(C48-G48)/C48)*100</f>
        <v>0.224646983311938</v>
      </c>
      <c r="G205" s="47" t="n">
        <f aca="false">(ABS(D48-H48)/D48)*100</f>
        <v>0.00446189541317152</v>
      </c>
      <c r="H205" s="45"/>
      <c r="I205" s="49" t="n">
        <f aca="false">(ABS(C48-I48)/C48)*100</f>
        <v>97.400513478819</v>
      </c>
      <c r="J205" s="47" t="n">
        <f aca="false">(ABS(D48-J48)/D48)*100</f>
        <v>1.93455036842508</v>
      </c>
      <c r="K205" s="43"/>
      <c r="L205" s="47" t="n">
        <f aca="false">(ABS(C48-K48)/C48)*100</f>
        <v>0.160462130937099</v>
      </c>
      <c r="M205" s="47" t="n">
        <f aca="false">(ABS(D48-L48)/D48)*100</f>
        <v>0.00318706815226537</v>
      </c>
      <c r="N205" s="43"/>
    </row>
    <row r="206" customFormat="false" ht="15" hidden="false" customHeight="false" outlineLevel="0" collapsed="false">
      <c r="A206" s="7"/>
      <c r="B206" s="25" t="n">
        <v>45</v>
      </c>
      <c r="C206" s="46" t="n">
        <f aca="false">(ABS(C49-E49)/C49)*100</f>
        <v>1.80921052631579</v>
      </c>
      <c r="D206" s="47" t="n">
        <f aca="false">(ABS(D49-F49)/D49)*100</f>
        <v>0.0350407747196738</v>
      </c>
      <c r="E206" s="43"/>
      <c r="F206" s="48" t="n">
        <f aca="false">(ABS(C49-G49)/C49)*100</f>
        <v>0.197368421052632</v>
      </c>
      <c r="G206" s="47" t="n">
        <f aca="false">(ABS(D49-H49)/D49)*100</f>
        <v>0.00382262996941896</v>
      </c>
      <c r="H206" s="45"/>
      <c r="I206" s="49" t="n">
        <f aca="false">(ABS(C49-I49)/C49)*100</f>
        <v>95.6907894736842</v>
      </c>
      <c r="J206" s="47" t="n">
        <f aca="false">(ABS(D49-J49)/D49)*100</f>
        <v>1.85333843017329</v>
      </c>
      <c r="K206" s="43"/>
      <c r="L206" s="47" t="n">
        <f aca="false">(ABS(C49-K49)/C49)*100</f>
        <v>0.197368421052632</v>
      </c>
      <c r="M206" s="47" t="n">
        <f aca="false">(ABS(D49-L49)/D49)*100</f>
        <v>0.00382262996941896</v>
      </c>
      <c r="N206" s="43"/>
    </row>
    <row r="207" customFormat="false" ht="15" hidden="false" customHeight="false" outlineLevel="0" collapsed="false">
      <c r="A207" s="7"/>
      <c r="B207" s="25" t="n">
        <v>46</v>
      </c>
      <c r="C207" s="46" t="n">
        <f aca="false">(ABS(C50-E50)/C50)*100</f>
        <v>1.26666666666667</v>
      </c>
      <c r="D207" s="47" t="n">
        <f aca="false">(ABS(D50-F50)/D50)*100</f>
        <v>0.024203821656051</v>
      </c>
      <c r="E207" s="43"/>
      <c r="F207" s="48" t="n">
        <f aca="false">(ABS(C50-G50)/C50)*100</f>
        <v>0.0333333333333333</v>
      </c>
      <c r="G207" s="47" t="n">
        <f aca="false">(ABS(D50-H50)/D50)*100</f>
        <v>0.000636942675159236</v>
      </c>
      <c r="H207" s="45"/>
      <c r="I207" s="49" t="n">
        <f aca="false">(ABS(C50-I50)/C50)*100</f>
        <v>100</v>
      </c>
      <c r="J207" s="47" t="n">
        <f aca="false">(ABS(D50-J50)/D50)*100</f>
        <v>1.91082802547771</v>
      </c>
      <c r="K207" s="43"/>
      <c r="L207" s="47" t="n">
        <f aca="false">(ABS(C50-K50)/C50)*100</f>
        <v>0.0666666666666667</v>
      </c>
      <c r="M207" s="47" t="n">
        <f aca="false">(ABS(D50-L50)/D50)*100</f>
        <v>0.00127388535031847</v>
      </c>
      <c r="N207" s="43"/>
    </row>
    <row r="208" customFormat="false" ht="15" hidden="false" customHeight="false" outlineLevel="0" collapsed="false">
      <c r="A208" s="7"/>
      <c r="B208" s="25" t="n">
        <v>47</v>
      </c>
      <c r="C208" s="46" t="n">
        <f aca="false">(ABS(C51-E51)/C51)*100</f>
        <v>1.29339686861811</v>
      </c>
      <c r="D208" s="47" t="n">
        <f aca="false">(ABS(D51-F51)/D51)*100</f>
        <v>0.0241942672320485</v>
      </c>
      <c r="E208" s="43"/>
      <c r="F208" s="48" t="n">
        <f aca="false">(ABS(C51-G51)/C51)*100</f>
        <v>0.170183798502383</v>
      </c>
      <c r="G208" s="47" t="n">
        <f aca="false">(ABS(D51-H51)/D51)*100</f>
        <v>0.00318345621474322</v>
      </c>
      <c r="H208" s="45"/>
      <c r="I208" s="49" t="n">
        <f aca="false">(ABS(C51-I51)/C51)*100</f>
        <v>99.6596324029952</v>
      </c>
      <c r="J208" s="47" t="n">
        <f aca="false">(ABS(D51-J51)/D51)*100</f>
        <v>1.86423195935363</v>
      </c>
      <c r="K208" s="43"/>
      <c r="L208" s="47" t="n">
        <f aca="false">(ABS(C51-K51)/C51)*100</f>
        <v>0.10211027910143</v>
      </c>
      <c r="M208" s="47" t="n">
        <f aca="false">(ABS(D51-L51)/D51)*100</f>
        <v>0.00191007372884593</v>
      </c>
      <c r="N208" s="43"/>
    </row>
    <row r="209" customFormat="false" ht="15" hidden="false" customHeight="false" outlineLevel="0" collapsed="false">
      <c r="A209" s="7"/>
      <c r="B209" s="25" t="n">
        <v>48</v>
      </c>
      <c r="C209" s="46" t="n">
        <f aca="false">(ABS(C52-E52)/C52)*100</f>
        <v>0.516173434273916</v>
      </c>
      <c r="D209" s="47" t="n">
        <f aca="false">(ABS(D52-F52)/D52)*100</f>
        <v>0.00954842323704279</v>
      </c>
      <c r="E209" s="43"/>
      <c r="F209" s="48" t="n">
        <f aca="false">(ABS(C52-G52)/C52)*100</f>
        <v>0.0344115622849277</v>
      </c>
      <c r="G209" s="47" t="n">
        <f aca="false">(ABS(D52-H52)/D52)*100</f>
        <v>0.000636561549136186</v>
      </c>
      <c r="H209" s="45"/>
      <c r="I209" s="49" t="n">
        <f aca="false">(ABS(C52-I52)/C52)*100</f>
        <v>92.9800412938747</v>
      </c>
      <c r="J209" s="47" t="n">
        <f aca="false">(ABS(D52-J52)/D52)*100</f>
        <v>1.71998930576597</v>
      </c>
      <c r="K209" s="43"/>
      <c r="L209" s="47" t="n">
        <f aca="false">(ABS(C52-K52)/C52)*100</f>
        <v>0</v>
      </c>
      <c r="M209" s="47" t="n">
        <f aca="false">(ABS(D52-L52)/D52)*100</f>
        <v>0</v>
      </c>
      <c r="N209" s="43"/>
    </row>
    <row r="210" customFormat="false" ht="15" hidden="false" customHeight="false" outlineLevel="0" collapsed="false">
      <c r="A210" s="7"/>
      <c r="B210" s="25" t="n">
        <v>49</v>
      </c>
      <c r="C210" s="46" t="n">
        <f aca="false">(ABS(C53-E53)/C53)*100</f>
        <v>1.1142061281337</v>
      </c>
      <c r="D210" s="47" t="n">
        <f aca="false">(ABS(D53-F53)/D53)*100</f>
        <v>0.0203655618349371</v>
      </c>
      <c r="E210" s="43"/>
      <c r="F210" s="48" t="n">
        <f aca="false">(ABS(C53-G53)/C53)*100</f>
        <v>0.174094707520891</v>
      </c>
      <c r="G210" s="47" t="n">
        <f aca="false">(ABS(D53-H53)/D53)*100</f>
        <v>0.00318211903670893</v>
      </c>
      <c r="H210" s="45"/>
      <c r="I210" s="49" t="n">
        <f aca="false">(ABS(C53-I53)/C53)*100</f>
        <v>98.3635097493036</v>
      </c>
      <c r="J210" s="47" t="n">
        <f aca="false">(ABS(D53-J53)/D53)*100</f>
        <v>1.79789725574054</v>
      </c>
      <c r="K210" s="43"/>
      <c r="L210" s="47" t="n">
        <f aca="false">(ABS(C53-K53)/C53)*100</f>
        <v>0.174094707520891</v>
      </c>
      <c r="M210" s="47" t="n">
        <f aca="false">(ABS(D53-L53)/D53)*100</f>
        <v>0.00318211903670893</v>
      </c>
      <c r="N210" s="43"/>
    </row>
    <row r="211" customFormat="false" ht="15" hidden="false" customHeight="false" outlineLevel="0" collapsed="false">
      <c r="A211" s="7"/>
      <c r="B211" s="25" t="n">
        <v>50</v>
      </c>
      <c r="C211" s="46" t="n">
        <f aca="false">(ABS(C54-E54)/C54)*100</f>
        <v>0.884016973125884</v>
      </c>
      <c r="D211" s="47" t="n">
        <f aca="false">(ABS(D54-F54)/D54)*100</f>
        <v>0.0159061410429339</v>
      </c>
      <c r="E211" s="43"/>
      <c r="F211" s="48" t="n">
        <f aca="false">(ABS(C54-G54)/C54)*100</f>
        <v>0.106082036775106</v>
      </c>
      <c r="G211" s="47" t="n">
        <f aca="false">(ABS(D54-H54)/D54)*100</f>
        <v>0.00190873692515206</v>
      </c>
      <c r="H211" s="45"/>
      <c r="I211" s="49" t="n">
        <f aca="false">(ABS(C54-I54)/C54)*100</f>
        <v>97.7369165487977</v>
      </c>
      <c r="J211" s="47" t="n">
        <f aca="false">(ABS(D54-J54)/D54)*100</f>
        <v>1.75858295370677</v>
      </c>
      <c r="K211" s="43"/>
      <c r="L211" s="47" t="n">
        <f aca="false">(ABS(C54-K54)/C54)*100</f>
        <v>0.0707213578500707</v>
      </c>
      <c r="M211" s="47" t="n">
        <f aca="false">(ABS(D54-L54)/D54)*100</f>
        <v>0.00127249128343471</v>
      </c>
      <c r="N211" s="43"/>
    </row>
    <row r="212" customFormat="false" ht="15" hidden="false" customHeight="false" outlineLevel="0" collapsed="false">
      <c r="A212" s="7"/>
      <c r="B212" s="25" t="n">
        <v>51</v>
      </c>
      <c r="C212" s="46" t="n">
        <f aca="false">(ABS(C55-E55)/C55)*100</f>
        <v>1.32048536759458</v>
      </c>
      <c r="D212" s="47" t="n">
        <f aca="false">(ABS(D55-F55)/D55)*100</f>
        <v>0.023537195129709</v>
      </c>
      <c r="E212" s="43"/>
      <c r="F212" s="48" t="n">
        <f aca="false">(ABS(C55-G55)/C55)*100</f>
        <v>0.142755174875089</v>
      </c>
      <c r="G212" s="47" t="n">
        <f aca="false">(ABS(D55-H55)/D55)*100</f>
        <v>0.00254456163564422</v>
      </c>
      <c r="H212" s="45"/>
      <c r="I212" s="49" t="n">
        <f aca="false">(ABS(C55-I55)/C55)*100</f>
        <v>96.5738758029979</v>
      </c>
      <c r="J212" s="47" t="n">
        <f aca="false">(ABS(D55-J55)/D55)*100</f>
        <v>1.72139594651331</v>
      </c>
      <c r="K212" s="43"/>
      <c r="L212" s="47" t="n">
        <f aca="false">(ABS(C55-K55)/C55)*100</f>
        <v>0.0713775874375446</v>
      </c>
      <c r="M212" s="47" t="n">
        <f aca="false">(ABS(D55-L55)/D55)*100</f>
        <v>0.00127228081782211</v>
      </c>
      <c r="N212" s="43"/>
    </row>
    <row r="213" customFormat="false" ht="15" hidden="false" customHeight="false" outlineLevel="0" collapsed="false">
      <c r="A213" s="7"/>
      <c r="B213" s="25" t="n">
        <v>52</v>
      </c>
      <c r="C213" s="46" t="n">
        <f aca="false">(ABS(C56-E56)/C56)*100</f>
        <v>1.410998552822</v>
      </c>
      <c r="D213" s="47" t="n">
        <f aca="false">(ABS(D56-F56)/D56)*100</f>
        <v>0.0248034801190567</v>
      </c>
      <c r="E213" s="43"/>
      <c r="F213" s="48" t="n">
        <f aca="false">(ABS(C56-G56)/C56)*100</f>
        <v>0.253256150506512</v>
      </c>
      <c r="G213" s="47" t="n">
        <f aca="false">(ABS(D56-H56)/D56)*100</f>
        <v>0.00445190668803582</v>
      </c>
      <c r="H213" s="45"/>
      <c r="I213" s="49" t="n">
        <f aca="false">(ABS(C56-I56)/C56)*100</f>
        <v>99.4573082489146</v>
      </c>
      <c r="J213" s="47" t="n">
        <f aca="false">(ABS(D56-J56)/D56)*100</f>
        <v>1.74832735505864</v>
      </c>
      <c r="K213" s="43"/>
      <c r="L213" s="47" t="n">
        <f aca="false">(ABS(C56-K56)/C56)*100</f>
        <v>0.144717800289436</v>
      </c>
      <c r="M213" s="47" t="n">
        <f aca="false">(ABS(D56-L56)/D56)*100</f>
        <v>0.00254394667887761</v>
      </c>
      <c r="N213" s="43"/>
    </row>
    <row r="214" customFormat="false" ht="15" hidden="false" customHeight="false" outlineLevel="0" collapsed="false">
      <c r="A214" s="7"/>
      <c r="B214" s="25" t="n">
        <v>53</v>
      </c>
      <c r="C214" s="46" t="n">
        <f aca="false">(ABS(C57-E57)/C57)*100</f>
        <v>1.43066764490095</v>
      </c>
      <c r="D214" s="47" t="n">
        <f aca="false">(ABS(D57-F57)/D57)*100</f>
        <v>0.024797487187965</v>
      </c>
      <c r="E214" s="43"/>
      <c r="F214" s="48" t="n">
        <f aca="false">(ABS(C57-G57)/C57)*100</f>
        <v>0.0733675715333823</v>
      </c>
      <c r="G214" s="47" t="n">
        <f aca="false">(ABS(D57-H57)/D57)*100</f>
        <v>0.00127166600963923</v>
      </c>
      <c r="H214" s="45"/>
      <c r="I214" s="49" t="n">
        <f aca="false">(ABS(C57-I57)/C57)*100</f>
        <v>85.03301540719</v>
      </c>
      <c r="J214" s="47" t="n">
        <f aca="false">(ABS(D57-J57)/D57)*100</f>
        <v>1.47386090517187</v>
      </c>
      <c r="K214" s="43"/>
      <c r="L214" s="47" t="n">
        <f aca="false">(ABS(C57-K57)/C57)*100</f>
        <v>0.0366837857666911</v>
      </c>
      <c r="M214" s="47" t="n">
        <f aca="false">(ABS(D57-L57)/D57)*100</f>
        <v>0.000635833004819614</v>
      </c>
      <c r="N214" s="43"/>
    </row>
    <row r="215" customFormat="false" ht="15" hidden="false" customHeight="false" outlineLevel="0" collapsed="false">
      <c r="A215" s="7"/>
      <c r="B215" s="25" t="n">
        <v>54</v>
      </c>
      <c r="C215" s="46" t="n">
        <f aca="false">(ABS(C58-E58)/C58)*100</f>
        <v>0.220264317180617</v>
      </c>
      <c r="D215" s="47" t="n">
        <f aca="false">(ABS(D58-F58)/D58)*100</f>
        <v>0.00381494951550141</v>
      </c>
      <c r="E215" s="43"/>
      <c r="F215" s="48" t="n">
        <f aca="false">(ABS(C58-G58)/C58)*100</f>
        <v>0.0367107195301028</v>
      </c>
      <c r="G215" s="47" t="n">
        <f aca="false">(ABS(D58-H58)/D58)*100</f>
        <v>0.000635824919250235</v>
      </c>
      <c r="H215" s="45"/>
      <c r="I215" s="49" t="n">
        <f aca="false">(ABS(C58-I58)/C58)*100</f>
        <v>94.0528634361234</v>
      </c>
      <c r="J215" s="47" t="n">
        <f aca="false">(ABS(D58-J58)/D58)*100</f>
        <v>1.6289834431191</v>
      </c>
      <c r="K215" s="43"/>
      <c r="L215" s="47" t="n">
        <f aca="false">(ABS(C58-K58)/C58)*100</f>
        <v>0.110132158590308</v>
      </c>
      <c r="M215" s="47" t="n">
        <f aca="false">(ABS(D58-L58)/D58)*100</f>
        <v>0.00190747475775071</v>
      </c>
      <c r="N215" s="43"/>
    </row>
    <row r="216" customFormat="false" ht="15" hidden="false" customHeight="false" outlineLevel="0" collapsed="false">
      <c r="A216" s="7"/>
      <c r="B216" s="25" t="n">
        <v>55</v>
      </c>
      <c r="C216" s="46" t="n">
        <f aca="false">(ABS(C59-E59)/C59)*100</f>
        <v>1.37546468401487</v>
      </c>
      <c r="D216" s="47" t="n">
        <f aca="false">(ABS(D59-F59)/D59)*100</f>
        <v>0.0235204373529973</v>
      </c>
      <c r="E216" s="43"/>
      <c r="F216" s="48" t="n">
        <f aca="false">(ABS(C59-G59)/C59)*100</f>
        <v>0.223048327137546</v>
      </c>
      <c r="G216" s="47" t="n">
        <f aca="false">(ABS(D59-H59)/D59)*100</f>
        <v>0.00381412497616172</v>
      </c>
      <c r="H216" s="45"/>
      <c r="I216" s="49" t="n">
        <f aca="false">(ABS(C59-I59)/C59)*100</f>
        <v>99.5539033457249</v>
      </c>
      <c r="J216" s="47" t="n">
        <f aca="false">(ABS(D59-J59)/D59)*100</f>
        <v>1.70237111436018</v>
      </c>
      <c r="K216" s="43"/>
      <c r="L216" s="47" t="n">
        <f aca="false">(ABS(C59-K59)/C59)*100</f>
        <v>0.0743494423791822</v>
      </c>
      <c r="M216" s="47" t="n">
        <f aca="false">(ABS(D59-L59)/D59)*100</f>
        <v>0.00127137499205391</v>
      </c>
      <c r="N216" s="43"/>
    </row>
    <row r="217" customFormat="false" ht="15" hidden="false" customHeight="false" outlineLevel="0" collapsed="false">
      <c r="A217" s="7"/>
      <c r="B217" s="25" t="n">
        <v>56</v>
      </c>
      <c r="C217" s="46" t="n">
        <f aca="false">(ABS(C60-E60)/C60)*100</f>
        <v>0.900900900900901</v>
      </c>
      <c r="D217" s="47" t="n">
        <f aca="false">(ABS(D60-F60)/D60)*100</f>
        <v>0.0152539787461229</v>
      </c>
      <c r="E217" s="43"/>
      <c r="F217" s="48" t="n">
        <f aca="false">(ABS(C60-G60)/C60)*100</f>
        <v>0.487987987987988</v>
      </c>
      <c r="G217" s="47" t="n">
        <f aca="false">(ABS(D60-H60)/D60)*100</f>
        <v>0.0082625718208166</v>
      </c>
      <c r="H217" s="45"/>
      <c r="I217" s="49" t="n">
        <f aca="false">(ABS(C60-I60)/C60)*100</f>
        <v>99.6246246246246</v>
      </c>
      <c r="J217" s="47" t="n">
        <f aca="false">(ABS(D60-J60)/D60)*100</f>
        <v>1.6868358163421</v>
      </c>
      <c r="K217" s="43"/>
      <c r="L217" s="47" t="n">
        <f aca="false">(ABS(C60-K60)/C60)*100</f>
        <v>0</v>
      </c>
      <c r="M217" s="47" t="n">
        <f aca="false">(ABS(D60-L60)/D60)*100</f>
        <v>0</v>
      </c>
      <c r="N217" s="43"/>
    </row>
    <row r="218" customFormat="false" ht="15" hidden="false" customHeight="false" outlineLevel="0" collapsed="false">
      <c r="A218" s="7"/>
      <c r="B218" s="25" t="n">
        <v>57</v>
      </c>
      <c r="C218" s="46" t="n">
        <f aca="false">(ABS(C61-E61)/C61)*100</f>
        <v>0.415721844293273</v>
      </c>
      <c r="D218" s="47" t="n">
        <f aca="false">(ABS(D61-F61)/D61)*100</f>
        <v>0.00699060716600786</v>
      </c>
      <c r="E218" s="43"/>
      <c r="F218" s="48" t="n">
        <f aca="false">(ABS(C61-G61)/C61)*100</f>
        <v>0.18896447467876</v>
      </c>
      <c r="G218" s="47" t="n">
        <f aca="false">(ABS(D61-H61)/D61)*100</f>
        <v>0.00317754871182175</v>
      </c>
      <c r="H218" s="45"/>
      <c r="I218" s="49" t="n">
        <f aca="false">(ABS(C61-I61)/C61)*100</f>
        <v>99.1307634164777</v>
      </c>
      <c r="J218" s="47" t="n">
        <f aca="false">(ABS(D61-J61)/D61)*100</f>
        <v>1.66694205422169</v>
      </c>
      <c r="K218" s="43"/>
      <c r="L218" s="47" t="n">
        <f aca="false">(ABS(C61-K61)/C61)*100</f>
        <v>0.0755857898715042</v>
      </c>
      <c r="M218" s="47" t="n">
        <f aca="false">(ABS(D61-L61)/D61)*100</f>
        <v>0.0012710194847287</v>
      </c>
      <c r="N218" s="43"/>
    </row>
    <row r="219" customFormat="false" ht="15" hidden="false" customHeight="false" outlineLevel="0" collapsed="false">
      <c r="A219" s="7"/>
      <c r="B219" s="25" t="n">
        <v>58</v>
      </c>
      <c r="C219" s="46" t="n">
        <f aca="false">(ABS(C62-E62)/C62)*100</f>
        <v>0.644916540212443</v>
      </c>
      <c r="D219" s="47" t="n">
        <f aca="false">(ABS(D62-F62)/D62)*100</f>
        <v>0.0108029790803487</v>
      </c>
      <c r="E219" s="43"/>
      <c r="F219" s="48" t="n">
        <f aca="false">(ABS(C62-G62)/C62)*100</f>
        <v>0.227617602427921</v>
      </c>
      <c r="G219" s="47" t="n">
        <f aca="false">(ABS(D62-H62)/D62)*100</f>
        <v>0.00381281614600544</v>
      </c>
      <c r="H219" s="45"/>
      <c r="I219" s="49" t="n">
        <f aca="false">(ABS(C62-I62)/C62)*100</f>
        <v>96.8892261001518</v>
      </c>
      <c r="J219" s="47" t="n">
        <f aca="false">(ABS(D62-J62)/D62)*100</f>
        <v>1.62298873948298</v>
      </c>
      <c r="K219" s="43"/>
      <c r="L219" s="47" t="n">
        <f aca="false">(ABS(C62-K62)/C62)*100</f>
        <v>0.113808801213961</v>
      </c>
      <c r="M219" s="47" t="n">
        <f aca="false">(ABS(D62-L62)/D62)*100</f>
        <v>0.00190640807300272</v>
      </c>
      <c r="N219" s="43"/>
    </row>
    <row r="220" customFormat="false" ht="15" hidden="false" customHeight="false" outlineLevel="0" collapsed="false">
      <c r="A220" s="7"/>
      <c r="B220" s="25" t="n">
        <v>59</v>
      </c>
      <c r="C220" s="46" t="n">
        <f aca="false">(ABS(C63-E63)/C63)*100</f>
        <v>0.534351145038168</v>
      </c>
      <c r="D220" s="47" t="n">
        <f aca="false">(ABS(D63-F63)/D63)*100</f>
        <v>0.00889566653958572</v>
      </c>
      <c r="E220" s="43"/>
      <c r="F220" s="48" t="n">
        <f aca="false">(ABS(C63-G63)/C63)*100</f>
        <v>0.305343511450382</v>
      </c>
      <c r="G220" s="47" t="n">
        <f aca="false">(ABS(D63-H63)/D63)*100</f>
        <v>0.00508323802262041</v>
      </c>
      <c r="H220" s="45"/>
      <c r="I220" s="49" t="n">
        <f aca="false">(ABS(C63-I63)/C63)*100</f>
        <v>99.7328244274809</v>
      </c>
      <c r="J220" s="47" t="n">
        <f aca="false">(ABS(D63-J63)/D63)*100</f>
        <v>1.66031261913839</v>
      </c>
      <c r="K220" s="43"/>
      <c r="L220" s="47" t="n">
        <f aca="false">(ABS(C63-K63)/C63)*100</f>
        <v>0</v>
      </c>
      <c r="M220" s="47" t="n">
        <f aca="false">(ABS(D63-L63)/D63)*100</f>
        <v>0</v>
      </c>
      <c r="N220" s="43"/>
    </row>
    <row r="221" customFormat="false" ht="15" hidden="false" customHeight="false" outlineLevel="0" collapsed="false">
      <c r="A221" s="7"/>
      <c r="B221" s="25" t="n">
        <v>60</v>
      </c>
      <c r="C221" s="46" t="n">
        <f aca="false">(ABS(C64-E64)/C64)*100</f>
        <v>1.08108108108108</v>
      </c>
      <c r="D221" s="47" t="n">
        <f aca="false">(ABS(D64-F64)/D64)*100</f>
        <v>0.0177879423162442</v>
      </c>
      <c r="E221" s="43"/>
      <c r="F221" s="48" t="n">
        <f aca="false">(ABS(C64-G64)/C64)*100</f>
        <v>0.231660231660232</v>
      </c>
      <c r="G221" s="47" t="n">
        <f aca="false">(ABS(D64-H64)/D64)*100</f>
        <v>0.00381170192490947</v>
      </c>
      <c r="H221" s="45"/>
      <c r="I221" s="49" t="n">
        <f aca="false">(ABS(C64-I64)/C64)*100</f>
        <v>93.7065637065637</v>
      </c>
      <c r="J221" s="47" t="n">
        <f aca="false">(ABS(D64-J64)/D64)*100</f>
        <v>1.54183342862588</v>
      </c>
      <c r="K221" s="43"/>
      <c r="L221" s="47" t="n">
        <f aca="false">(ABS(C64-K64)/C64)*100</f>
        <v>0.0386100386100386</v>
      </c>
      <c r="M221" s="47" t="n">
        <f aca="false">(ABS(D64-L64)/D64)*100</f>
        <v>0.000635283654151579</v>
      </c>
      <c r="N221" s="43"/>
    </row>
    <row r="222" customFormat="false" ht="15" hidden="false" customHeight="false" outlineLevel="0" collapsed="false">
      <c r="A222" s="7"/>
      <c r="B222" s="25" t="n">
        <v>61</v>
      </c>
      <c r="C222" s="46" t="n">
        <f aca="false">(ABS(C65-E65)/C65)*100</f>
        <v>1.19876256767208</v>
      </c>
      <c r="D222" s="47" t="n">
        <f aca="false">(ABS(D65-F65)/D65)*100</f>
        <v>0.0196932928456173</v>
      </c>
      <c r="E222" s="43"/>
      <c r="F222" s="48" t="n">
        <f aca="false">(ABS(C65-G65)/C65)*100</f>
        <v>0.193348801237432</v>
      </c>
      <c r="G222" s="47" t="n">
        <f aca="false">(ABS(D65-H65)/D65)*100</f>
        <v>0.00317633755574472</v>
      </c>
      <c r="H222" s="45"/>
      <c r="I222" s="49" t="n">
        <f aca="false">(ABS(C65-I65)/C65)*100</f>
        <v>99.5359628770302</v>
      </c>
      <c r="J222" s="47" t="n">
        <f aca="false">(ABS(D65-J65)/D65)*100</f>
        <v>1.63517857369738</v>
      </c>
      <c r="K222" s="43"/>
      <c r="L222" s="47" t="n">
        <f aca="false">(ABS(C65-K65)/C65)*100</f>
        <v>0.0773395204949729</v>
      </c>
      <c r="M222" s="47" t="n">
        <f aca="false">(ABS(D65-L65)/D65)*100</f>
        <v>0.00127053502229789</v>
      </c>
      <c r="N222" s="43"/>
    </row>
    <row r="223" customFormat="false" ht="15" hidden="false" customHeight="false" outlineLevel="0" collapsed="false">
      <c r="A223" s="7"/>
      <c r="B223" s="25" t="n">
        <v>62</v>
      </c>
      <c r="C223" s="46" t="n">
        <f aca="false">(ABS(C66-E66)/C66)*100</f>
        <v>0.349378881987578</v>
      </c>
      <c r="D223" s="47" t="n">
        <f aca="false">(ABS(D66-F66)/D66)*100</f>
        <v>0.00571704441508283</v>
      </c>
      <c r="E223" s="43"/>
      <c r="F223" s="48" t="n">
        <f aca="false">(ABS(C66-G66)/C66)*100</f>
        <v>0.698757763975155</v>
      </c>
      <c r="G223" s="47" t="n">
        <f aca="false">(ABS(D66-H66)/D66)*100</f>
        <v>0.0114340888301657</v>
      </c>
      <c r="H223" s="45"/>
      <c r="I223" s="49" t="n">
        <f aca="false">(ABS(C66-I66)/C66)*100</f>
        <v>95.1863354037267</v>
      </c>
      <c r="J223" s="47" t="n">
        <f aca="false">(ABS(D66-J66)/D66)*100</f>
        <v>1.55757698953146</v>
      </c>
      <c r="K223" s="43"/>
      <c r="L223" s="47" t="n">
        <f aca="false">(ABS(C66-K66)/C66)*100</f>
        <v>0.232919254658385</v>
      </c>
      <c r="M223" s="47" t="n">
        <f aca="false">(ABS(D66-L66)/D66)*100</f>
        <v>0.00381136294338856</v>
      </c>
      <c r="N223" s="43"/>
    </row>
    <row r="224" customFormat="false" ht="15" hidden="false" customHeight="false" outlineLevel="0" collapsed="false">
      <c r="A224" s="7"/>
      <c r="B224" s="25" t="n">
        <v>63</v>
      </c>
      <c r="C224" s="46" t="n">
        <f aca="false">(ABS(C67-E67)/C67)*100</f>
        <v>1.44418423106948</v>
      </c>
      <c r="D224" s="47" t="n">
        <f aca="false">(ABS(D67-F67)/D67)*100</f>
        <v>0.0235013148032876</v>
      </c>
      <c r="E224" s="43"/>
      <c r="F224" s="48" t="n">
        <f aca="false">(ABS(C67-G67)/C67)*100</f>
        <v>0.117096018735363</v>
      </c>
      <c r="G224" s="47" t="n">
        <f aca="false">(ABS(D67-H67)/D67)*100</f>
        <v>0.00190551201107738</v>
      </c>
      <c r="H224" s="45"/>
      <c r="I224" s="49" t="n">
        <f aca="false">(ABS(C67-I67)/C67)*100</f>
        <v>99.687743950039</v>
      </c>
      <c r="J224" s="47" t="n">
        <f aca="false">(ABS(D67-J67)/D67)*100</f>
        <v>1.62222589209721</v>
      </c>
      <c r="K224" s="43"/>
      <c r="L224" s="47" t="n">
        <f aca="false">(ABS(C67-K67)/C67)*100</f>
        <v>0</v>
      </c>
      <c r="M224" s="47" t="n">
        <f aca="false">(ABS(D67-L67)/D67)*100</f>
        <v>0</v>
      </c>
      <c r="N224" s="43"/>
    </row>
    <row r="225" customFormat="false" ht="15" hidden="false" customHeight="false" outlineLevel="0" collapsed="false">
      <c r="A225" s="7"/>
      <c r="B225" s="25" t="n">
        <v>64</v>
      </c>
      <c r="C225" s="46" t="n">
        <f aca="false">(ABS(C68-E68)/C68)*100</f>
        <v>2.14676034348166</v>
      </c>
      <c r="D225" s="47" t="n">
        <f aca="false">(ABS(D68-F68)/D68)*100</f>
        <v>0.0349343868697519</v>
      </c>
      <c r="E225" s="43"/>
      <c r="F225" s="48" t="n">
        <f aca="false">(ABS(C68-G68)/C68)*100</f>
        <v>0</v>
      </c>
      <c r="G225" s="47" t="n">
        <f aca="false">(ABS(D68-H68)/D68)*100</f>
        <v>0</v>
      </c>
      <c r="H225" s="45"/>
      <c r="I225" s="49" t="n">
        <f aca="false">(ABS(C68-I68)/C68)*100</f>
        <v>99.5316159250586</v>
      </c>
      <c r="J225" s="47" t="n">
        <f aca="false">(ABS(D68-J68)/D68)*100</f>
        <v>1.61968520941577</v>
      </c>
      <c r="K225" s="43"/>
      <c r="L225" s="47" t="n">
        <f aca="false">(ABS(C68-K68)/C68)*100</f>
        <v>0.039032006245121</v>
      </c>
      <c r="M225" s="47" t="n">
        <f aca="false">(ABS(D68-L68)/D68)*100</f>
        <v>0.000635170670359126</v>
      </c>
      <c r="N225" s="43"/>
    </row>
    <row r="226" customFormat="false" ht="15" hidden="false" customHeight="false" outlineLevel="0" collapsed="false">
      <c r="A226" s="7"/>
      <c r="B226" s="25" t="n">
        <v>65</v>
      </c>
      <c r="C226" s="46" t="n">
        <f aca="false">(ABS(C69-E69)/C69)*100</f>
        <v>1.45326001571092</v>
      </c>
      <c r="D226" s="47" t="n">
        <f aca="false">(ABS(D69-F69)/D69)*100</f>
        <v>0.0234989266706467</v>
      </c>
      <c r="E226" s="43"/>
      <c r="F226" s="48" t="n">
        <f aca="false">(ABS(C69-G69)/C69)*100</f>
        <v>0</v>
      </c>
      <c r="G226" s="47" t="n">
        <f aca="false">(ABS(D69-H69)/D69)*100</f>
        <v>0</v>
      </c>
      <c r="H226" s="45"/>
      <c r="I226" s="49" t="n">
        <f aca="false">(ABS(C69-I69)/C69)*100</f>
        <v>99.8821681068342</v>
      </c>
      <c r="J226" s="47" t="n">
        <f aca="false">(ABS(D69-J69)/D69)*100</f>
        <v>1.61507487901228</v>
      </c>
      <c r="K226" s="43"/>
      <c r="L226" s="47" t="n">
        <f aca="false">(ABS(C69-K69)/C69)*100</f>
        <v>0</v>
      </c>
      <c r="M226" s="47" t="n">
        <f aca="false">(ABS(D69-L69)/D69)*100</f>
        <v>0</v>
      </c>
      <c r="N226" s="43"/>
    </row>
    <row r="227" customFormat="false" ht="15" hidden="false" customHeight="false" outlineLevel="0" collapsed="false">
      <c r="A227" s="7"/>
      <c r="B227" s="25" t="n">
        <v>66</v>
      </c>
      <c r="C227" s="46" t="n">
        <f aca="false">(ABS(C70-E70)/C70)*100</f>
        <v>0.949367088607595</v>
      </c>
      <c r="D227" s="47" t="n">
        <f aca="false">(ABS(D70-F70)/D70)*100</f>
        <v>0.0152408047144889</v>
      </c>
      <c r="E227" s="43"/>
      <c r="F227" s="48" t="n">
        <f aca="false">(ABS(C70-G70)/C70)*100</f>
        <v>0.0791139240506329</v>
      </c>
      <c r="G227" s="47" t="n">
        <f aca="false">(ABS(D70-H70)/D70)*100</f>
        <v>0.00127006705954074</v>
      </c>
      <c r="H227" s="45"/>
      <c r="I227" s="49" t="n">
        <f aca="false">(ABS(C70-I70)/C70)*100</f>
        <v>99.4462025316456</v>
      </c>
      <c r="J227" s="47" t="n">
        <f aca="false">(ABS(D70-J70)/D70)*100</f>
        <v>1.59647429384272</v>
      </c>
      <c r="K227" s="43"/>
      <c r="L227" s="47" t="n">
        <f aca="false">(ABS(C70-K70)/C70)*100</f>
        <v>0</v>
      </c>
      <c r="M227" s="47" t="n">
        <f aca="false">(ABS(D70-L70)/D70)*100</f>
        <v>0</v>
      </c>
      <c r="N227" s="43"/>
    </row>
    <row r="228" customFormat="false" ht="15" hidden="false" customHeight="false" outlineLevel="0" collapsed="false">
      <c r="A228" s="7"/>
      <c r="B228" s="25" t="n">
        <v>67</v>
      </c>
      <c r="C228" s="46" t="n">
        <f aca="false">(ABS(C71-E71)/C71)*100</f>
        <v>0.556438791732909</v>
      </c>
      <c r="D228" s="47" t="n">
        <f aca="false">(ABS(D71-F71)/D71)*100</f>
        <v>0.0088897919788677</v>
      </c>
      <c r="E228" s="43"/>
      <c r="F228" s="48" t="n">
        <f aca="false">(ABS(C71-G71)/C71)*100</f>
        <v>0.0397456279809221</v>
      </c>
      <c r="G228" s="47" t="n">
        <f aca="false">(ABS(D71-H71)/D71)*100</f>
        <v>0.000634985141347693</v>
      </c>
      <c r="H228" s="45"/>
      <c r="I228" s="49" t="n">
        <f aca="false">(ABS(C71-I71)/C71)*100</f>
        <v>98.8473767885533</v>
      </c>
      <c r="J228" s="47" t="n">
        <f aca="false">(ABS(D71-J71)/D71)*100</f>
        <v>1.57920804653171</v>
      </c>
      <c r="K228" s="43"/>
      <c r="L228" s="47" t="n">
        <f aca="false">(ABS(C71-K71)/C71)*100</f>
        <v>0.119236883942766</v>
      </c>
      <c r="M228" s="47" t="n">
        <f aca="false">(ABS(D71-L71)/D71)*100</f>
        <v>0.00190495542404308</v>
      </c>
      <c r="N228" s="43"/>
    </row>
    <row r="229" customFormat="false" ht="15" hidden="false" customHeight="false" outlineLevel="0" collapsed="false">
      <c r="A229" s="7"/>
      <c r="B229" s="25" t="n">
        <v>68</v>
      </c>
      <c r="C229" s="46" t="n">
        <f aca="false">(ABS(C72-E72)/C72)*100</f>
        <v>0.95389507154213</v>
      </c>
      <c r="D229" s="47" t="n">
        <f aca="false">(ABS(D72-F72)/D72)*100</f>
        <v>0.0152396433923446</v>
      </c>
      <c r="E229" s="43"/>
      <c r="F229" s="48" t="n">
        <f aca="false">(ABS(C72-G72)/C72)*100</f>
        <v>0.357710651828299</v>
      </c>
      <c r="G229" s="47" t="n">
        <f aca="false">(ABS(D72-H72)/D72)*100</f>
        <v>0.00571486627212923</v>
      </c>
      <c r="H229" s="45"/>
      <c r="I229" s="49" t="n">
        <f aca="false">(ABS(C72-I72)/C72)*100</f>
        <v>99.0063593004769</v>
      </c>
      <c r="J229" s="47" t="n">
        <f aca="false">(ABS(D72-J72)/D72)*100</f>
        <v>1.5817479870971</v>
      </c>
      <c r="K229" s="43"/>
      <c r="L229" s="47" t="n">
        <f aca="false">(ABS(C72-K72)/C72)*100</f>
        <v>0.278219395866455</v>
      </c>
      <c r="M229" s="47" t="n">
        <f aca="false">(ABS(D72-L72)/D72)*100</f>
        <v>0.00444489598943385</v>
      </c>
      <c r="N229" s="43"/>
    </row>
    <row r="230" customFormat="false" ht="15" hidden="false" customHeight="false" outlineLevel="0" collapsed="false">
      <c r="A230" s="7"/>
      <c r="B230" s="25" t="n">
        <v>69</v>
      </c>
      <c r="C230" s="46" t="n">
        <f aca="false">(ABS(C73-E73)/C73)*100</f>
        <v>1.11111111111111</v>
      </c>
      <c r="D230" s="47" t="n">
        <f aca="false">(ABS(D73-F73)/D73)*100</f>
        <v>0.0177800355600711</v>
      </c>
      <c r="E230" s="43"/>
      <c r="F230" s="48" t="n">
        <f aca="false">(ABS(C73-G73)/C73)*100</f>
        <v>0.238095238095238</v>
      </c>
      <c r="G230" s="47" t="n">
        <f aca="false">(ABS(D73-H73)/D73)*100</f>
        <v>0.00381000762001524</v>
      </c>
      <c r="H230" s="45"/>
      <c r="I230" s="49" t="n">
        <f aca="false">(ABS(C73-I73)/C73)*100</f>
        <v>86.9047619047619</v>
      </c>
      <c r="J230" s="47" t="n">
        <f aca="false">(ABS(D73-J73)/D73)*100</f>
        <v>1.39065278130556</v>
      </c>
      <c r="K230" s="43"/>
      <c r="L230" s="47" t="n">
        <f aca="false">(ABS(C73-K73)/C73)*100</f>
        <v>0.158730158730159</v>
      </c>
      <c r="M230" s="47" t="n">
        <f aca="false">(ABS(D73-L73)/D73)*100</f>
        <v>0.00254000508001016</v>
      </c>
      <c r="N230" s="43"/>
    </row>
    <row r="231" customFormat="false" ht="15" hidden="false" customHeight="false" outlineLevel="0" collapsed="false">
      <c r="A231" s="7"/>
      <c r="B231" s="25" t="n">
        <v>70</v>
      </c>
      <c r="C231" s="46" t="n">
        <f aca="false">(ABS(C74-E74)/C74)*100</f>
        <v>1.07484076433121</v>
      </c>
      <c r="D231" s="47" t="n">
        <f aca="false">(ABS(D74-F74)/D74)*100</f>
        <v>0.0171441633648278</v>
      </c>
      <c r="E231" s="43"/>
      <c r="F231" s="48" t="n">
        <f aca="false">(ABS(C74-G74)/C74)*100</f>
        <v>0</v>
      </c>
      <c r="G231" s="47" t="n">
        <f aca="false">(ABS(D74-H74)/D74)*100</f>
        <v>0</v>
      </c>
      <c r="H231" s="45"/>
      <c r="I231" s="49" t="n">
        <f aca="false">(ABS(C74-I74)/C74)*100</f>
        <v>99.7213375796178</v>
      </c>
      <c r="J231" s="47" t="n">
        <f aca="false">(ABS(D74-J74)/D74)*100</f>
        <v>1.59059737884791</v>
      </c>
      <c r="K231" s="43"/>
      <c r="L231" s="47" t="n">
        <f aca="false">(ABS(C74-K74)/C74)*100</f>
        <v>0.159235668789809</v>
      </c>
      <c r="M231" s="47" t="n">
        <f aca="false">(ABS(D74-L74)/D74)*100</f>
        <v>0.00253987605404856</v>
      </c>
      <c r="N231" s="43"/>
    </row>
    <row r="232" customFormat="false" ht="15" hidden="false" customHeight="false" outlineLevel="0" collapsed="false">
      <c r="A232" s="7"/>
      <c r="B232" s="25" t="n">
        <v>71</v>
      </c>
      <c r="C232" s="46" t="n">
        <f aca="false">(ABS(C75-E75)/C75)*100</f>
        <v>0.398724082934609</v>
      </c>
      <c r="D232" s="47" t="n">
        <f aca="false">(ABS(D75-F75)/D75)*100</f>
        <v>0.00634952886495822</v>
      </c>
      <c r="E232" s="43"/>
      <c r="F232" s="48" t="n">
        <f aca="false">(ABS(C75-G75)/C75)*100</f>
        <v>0.398724082934609</v>
      </c>
      <c r="G232" s="47" t="n">
        <f aca="false">(ABS(D75-H75)/D75)*100</f>
        <v>0.00634952886495822</v>
      </c>
      <c r="H232" s="45"/>
      <c r="I232" s="49" t="n">
        <f aca="false">(ABS(C75-I75)/C75)*100</f>
        <v>97.0893141945773</v>
      </c>
      <c r="J232" s="47" t="n">
        <f aca="false">(ABS(D75-J75)/D75)*100</f>
        <v>1.54611027861733</v>
      </c>
      <c r="K232" s="43"/>
      <c r="L232" s="47" t="n">
        <f aca="false">(ABS(C75-K75)/C75)*100</f>
        <v>0.239234449760766</v>
      </c>
      <c r="M232" s="47" t="n">
        <f aca="false">(ABS(D75-L75)/D75)*100</f>
        <v>0.00380971731897493</v>
      </c>
      <c r="N232" s="43"/>
    </row>
    <row r="233" customFormat="false" ht="15" hidden="false" customHeight="false" outlineLevel="0" collapsed="false">
      <c r="A233" s="7"/>
      <c r="B233" s="25" t="n">
        <v>72</v>
      </c>
      <c r="C233" s="46" t="n">
        <f aca="false">(ABS(C76-E76)/C76)*100</f>
        <v>1.11821086261981</v>
      </c>
      <c r="D233" s="47" t="n">
        <f aca="false">(ABS(D76-F76)/D76)*100</f>
        <v>0.0177782292883629</v>
      </c>
      <c r="E233" s="43"/>
      <c r="F233" s="48" t="n">
        <f aca="false">(ABS(C76-G76)/C76)*100</f>
        <v>0.399361022364217</v>
      </c>
      <c r="G233" s="47" t="n">
        <f aca="false">(ABS(D76-H76)/D76)*100</f>
        <v>0.00634936760298674</v>
      </c>
      <c r="H233" s="45"/>
      <c r="I233" s="49" t="n">
        <f aca="false">(ABS(C76-I76)/C76)*100</f>
        <v>99.4408945686901</v>
      </c>
      <c r="J233" s="47" t="n">
        <f aca="false">(ABS(D76-J76)/D76)*100</f>
        <v>1.5809925331437</v>
      </c>
      <c r="K233" s="43"/>
      <c r="L233" s="47" t="n">
        <f aca="false">(ABS(C76-K76)/C76)*100</f>
        <v>0.319488817891374</v>
      </c>
      <c r="M233" s="47" t="n">
        <f aca="false">(ABS(D76-L76)/D76)*100</f>
        <v>0.00507949408238939</v>
      </c>
      <c r="N233" s="43"/>
    </row>
    <row r="234" customFormat="false" ht="15" hidden="false" customHeight="false" outlineLevel="0" collapsed="false">
      <c r="A234" s="7"/>
      <c r="B234" s="25" t="n">
        <v>73</v>
      </c>
      <c r="C234" s="46" t="n">
        <f aca="false">(ABS(C77-E77)/C77)*100</f>
        <v>1.36</v>
      </c>
      <c r="D234" s="47" t="n">
        <f aca="false">(ABS(D77-F77)/D77)*100</f>
        <v>0.0215873015873016</v>
      </c>
      <c r="E234" s="43"/>
      <c r="F234" s="48" t="n">
        <f aca="false">(ABS(C77-G77)/C77)*100</f>
        <v>0.2</v>
      </c>
      <c r="G234" s="47" t="n">
        <f aca="false">(ABS(D77-H77)/D77)*100</f>
        <v>0.00317460317460317</v>
      </c>
      <c r="H234" s="45"/>
      <c r="I234" s="49" t="n">
        <f aca="false">(ABS(C77-I77)/C77)*100</f>
        <v>98.84</v>
      </c>
      <c r="J234" s="47" t="n">
        <f aca="false">(ABS(D77-J77)/D77)*100</f>
        <v>1.56888888888889</v>
      </c>
      <c r="K234" s="43"/>
      <c r="L234" s="47" t="n">
        <f aca="false">(ABS(C77-K77)/C77)*100</f>
        <v>0.04</v>
      </c>
      <c r="M234" s="47" t="n">
        <f aca="false">(ABS(D77-L77)/D77)*100</f>
        <v>0.000634920634920635</v>
      </c>
      <c r="N234" s="43"/>
    </row>
    <row r="235" customFormat="false" ht="15" hidden="false" customHeight="false" outlineLevel="0" collapsed="false">
      <c r="A235" s="7"/>
      <c r="B235" s="25" t="n">
        <v>74</v>
      </c>
      <c r="C235" s="46" t="n">
        <f aca="false">(ABS(C78-E78)/C78)*100</f>
        <v>1.36546184738956</v>
      </c>
      <c r="D235" s="47" t="n">
        <f aca="false">(ABS(D78-F78)/D78)*100</f>
        <v>0.0215859310519967</v>
      </c>
      <c r="E235" s="43"/>
      <c r="F235" s="48" t="n">
        <f aca="false">(ABS(C78-G78)/C78)*100</f>
        <v>0.160642570281125</v>
      </c>
      <c r="G235" s="47" t="n">
        <f aca="false">(ABS(D78-H78)/D78)*100</f>
        <v>0.00253952130023491</v>
      </c>
      <c r="H235" s="45"/>
      <c r="I235" s="49" t="n">
        <f aca="false">(ABS(C78-I78)/C78)*100</f>
        <v>99.7991967871486</v>
      </c>
      <c r="J235" s="47" t="n">
        <f aca="false">(ABS(D78-J78)/D78)*100</f>
        <v>1.57767760777094</v>
      </c>
      <c r="K235" s="43"/>
      <c r="L235" s="47" t="n">
        <f aca="false">(ABS(C78-K78)/C78)*100</f>
        <v>0</v>
      </c>
      <c r="M235" s="47" t="n">
        <f aca="false">(ABS(D78-L78)/D78)*100</f>
        <v>0</v>
      </c>
      <c r="N235" s="43"/>
    </row>
    <row r="236" customFormat="false" ht="15" hidden="false" customHeight="false" outlineLevel="0" collapsed="false">
      <c r="A236" s="7"/>
      <c r="B236" s="25" t="n">
        <v>75</v>
      </c>
      <c r="C236" s="46" t="n">
        <f aca="false">(ABS(C79-E79)/C79)*100</f>
        <v>1.8</v>
      </c>
      <c r="D236" s="47" t="n">
        <f aca="false">(ABS(D79-F79)/D79)*100</f>
        <v>0.0285714285714286</v>
      </c>
      <c r="E236" s="43"/>
      <c r="F236" s="48" t="n">
        <f aca="false">(ABS(C79-G79)/C79)*100</f>
        <v>0.2</v>
      </c>
      <c r="G236" s="47" t="n">
        <f aca="false">(ABS(D79-H79)/D79)*100</f>
        <v>0.00317460317460317</v>
      </c>
      <c r="H236" s="45"/>
      <c r="I236" s="49" t="n">
        <f aca="false">(ABS(C79-I79)/C79)*100</f>
        <v>95.84</v>
      </c>
      <c r="J236" s="47" t="n">
        <f aca="false">(ABS(D79-J79)/D79)*100</f>
        <v>1.52126984126984</v>
      </c>
      <c r="K236" s="43"/>
      <c r="L236" s="47" t="n">
        <f aca="false">(ABS(C79-K79)/C79)*100</f>
        <v>0.04</v>
      </c>
      <c r="M236" s="47" t="n">
        <f aca="false">(ABS(D79-L79)/D79)*100</f>
        <v>0.000634920634920635</v>
      </c>
      <c r="N236" s="43"/>
    </row>
    <row r="237" customFormat="false" ht="15" hidden="false" customHeight="false" outlineLevel="0" collapsed="false">
      <c r="A237" s="7"/>
      <c r="B237" s="25" t="n">
        <v>76</v>
      </c>
      <c r="C237" s="46" t="n">
        <f aca="false">(ABS(C80-E80)/C80)*100</f>
        <v>0.9185303514377</v>
      </c>
      <c r="D237" s="47" t="n">
        <f aca="false">(ABS(D80-F80)/D80)*100</f>
        <v>0.0146035454868695</v>
      </c>
      <c r="E237" s="43"/>
      <c r="F237" s="48" t="n">
        <f aca="false">(ABS(C80-G80)/C80)*100</f>
        <v>0.119808306709265</v>
      </c>
      <c r="G237" s="47" t="n">
        <f aca="false">(ABS(D80-H80)/D80)*100</f>
        <v>0.00190481028089602</v>
      </c>
      <c r="H237" s="45"/>
      <c r="I237" s="49" t="n">
        <f aca="false">(ABS(C80-I80)/C80)*100</f>
        <v>99.5607028753994</v>
      </c>
      <c r="J237" s="47" t="n">
        <f aca="false">(ABS(D80-J80)/D80)*100</f>
        <v>1.58289734342459</v>
      </c>
      <c r="K237" s="43"/>
      <c r="L237" s="47" t="n">
        <f aca="false">(ABS(C80-K80)/C80)*100</f>
        <v>0.159744408945687</v>
      </c>
      <c r="M237" s="47" t="n">
        <f aca="false">(ABS(D80-L80)/D80)*100</f>
        <v>0.0025397470411947</v>
      </c>
      <c r="N237" s="43"/>
    </row>
    <row r="238" customFormat="false" ht="15" hidden="false" customHeight="false" outlineLevel="0" collapsed="false">
      <c r="A238" s="7"/>
      <c r="B238" s="25" t="n">
        <v>77</v>
      </c>
      <c r="C238" s="46" t="n">
        <f aca="false">(ABS(C81-E81)/C81)*100</f>
        <v>1.91387559808612</v>
      </c>
      <c r="D238" s="47" t="n">
        <f aca="false">(ABS(D81-F81)/D81)*100</f>
        <v>0.0304777385517995</v>
      </c>
      <c r="E238" s="43"/>
      <c r="F238" s="48" t="n">
        <f aca="false">(ABS(C81-G81)/C81)*100</f>
        <v>0.358851674641148</v>
      </c>
      <c r="G238" s="47" t="n">
        <f aca="false">(ABS(D81-H81)/D81)*100</f>
        <v>0.0057145759784624</v>
      </c>
      <c r="H238" s="45"/>
      <c r="I238" s="49" t="n">
        <f aca="false">(ABS(C81-I81)/C81)*100</f>
        <v>98.6443381180223</v>
      </c>
      <c r="J238" s="47" t="n">
        <f aca="false">(ABS(D81-J81)/D81)*100</f>
        <v>1.57087344119066</v>
      </c>
      <c r="K238" s="43"/>
      <c r="L238" s="47" t="n">
        <f aca="false">(ABS(C81-K81)/C81)*100</f>
        <v>0.0797448165869219</v>
      </c>
      <c r="M238" s="47" t="n">
        <f aca="false">(ABS(D81-L81)/D81)*100</f>
        <v>0.00126990577299164</v>
      </c>
      <c r="N238" s="43"/>
    </row>
    <row r="239" customFormat="false" ht="15" hidden="false" customHeight="false" outlineLevel="0" collapsed="false">
      <c r="A239" s="7"/>
      <c r="B239" s="25" t="n">
        <v>78</v>
      </c>
      <c r="C239" s="46" t="n">
        <f aca="false">(ABS(C82-E82)/C82)*100</f>
        <v>2.26910828025478</v>
      </c>
      <c r="D239" s="47" t="n">
        <f aca="false">(ABS(D82-F82)/D82)*100</f>
        <v>0.036193233770192</v>
      </c>
      <c r="E239" s="43"/>
      <c r="F239" s="48" t="n">
        <f aca="false">(ABS(C82-G82)/C82)*100</f>
        <v>0</v>
      </c>
      <c r="G239" s="47" t="n">
        <f aca="false">(ABS(D82-H82)/D82)*100</f>
        <v>0</v>
      </c>
      <c r="H239" s="45"/>
      <c r="I239" s="49" t="n">
        <f aca="false">(ABS(C82-I82)/C82)*100</f>
        <v>86.8232484076433</v>
      </c>
      <c r="J239" s="47" t="n">
        <f aca="false">(ABS(D82-J82)/D82)*100</f>
        <v>1.38486741846998</v>
      </c>
      <c r="K239" s="43"/>
      <c r="L239" s="47" t="n">
        <f aca="false">(ABS(C82-K82)/C82)*100</f>
        <v>0.199044585987261</v>
      </c>
      <c r="M239" s="47" t="n">
        <f aca="false">(ABS(D82-L82)/D82)*100</f>
        <v>0.0031748450675607</v>
      </c>
      <c r="N239" s="43"/>
    </row>
    <row r="240" customFormat="false" ht="15" hidden="false" customHeight="false" outlineLevel="0" collapsed="false">
      <c r="A240" s="7"/>
      <c r="B240" s="25" t="n">
        <v>79</v>
      </c>
      <c r="C240" s="46" t="n">
        <f aca="false">(ABS(C83-E83)/C83)*100</f>
        <v>0.396825396825397</v>
      </c>
      <c r="D240" s="47" t="n">
        <f aca="false">(ABS(D83-F83)/D83)*100</f>
        <v>0.0063500127000254</v>
      </c>
      <c r="E240" s="43"/>
      <c r="F240" s="48" t="n">
        <f aca="false">(ABS(C83-G83)/C83)*100</f>
        <v>0.0396825396825397</v>
      </c>
      <c r="G240" s="47" t="n">
        <f aca="false">(ABS(D83-H83)/D83)*100</f>
        <v>0.00063500127000254</v>
      </c>
      <c r="H240" s="45"/>
      <c r="I240" s="49" t="n">
        <f aca="false">(ABS(C83-I83)/C83)*100</f>
        <v>92.1428571428571</v>
      </c>
      <c r="J240" s="47" t="n">
        <f aca="false">(ABS(D83-J83)/D83)*100</f>
        <v>1.4744729489459</v>
      </c>
      <c r="K240" s="43"/>
      <c r="L240" s="47" t="n">
        <f aca="false">(ABS(C83-K83)/C83)*100</f>
        <v>0.0396825396825397</v>
      </c>
      <c r="M240" s="47" t="n">
        <f aca="false">(ABS(D83-L83)/D83)*100</f>
        <v>0.00063500127000254</v>
      </c>
      <c r="N240" s="43"/>
    </row>
    <row r="241" customFormat="false" ht="15" hidden="false" customHeight="false" outlineLevel="0" collapsed="false">
      <c r="A241" s="7"/>
      <c r="B241" s="25" t="n">
        <v>80</v>
      </c>
      <c r="C241" s="46" t="n">
        <f aca="false">(ABS(C84-E84)/C84)*100</f>
        <v>1.39109697933227</v>
      </c>
      <c r="D241" s="47" t="n">
        <f aca="false">(ABS(D84-F84)/D84)*100</f>
        <v>0.0222244799471692</v>
      </c>
      <c r="E241" s="43"/>
      <c r="F241" s="48" t="n">
        <f aca="false">(ABS(C84-G84)/C84)*100</f>
        <v>0.19872813990461</v>
      </c>
      <c r="G241" s="47" t="n">
        <f aca="false">(ABS(D84-H84)/D84)*100</f>
        <v>0.00317492570673846</v>
      </c>
      <c r="H241" s="45"/>
      <c r="I241" s="49" t="n">
        <f aca="false">(ABS(C84-I84)/C84)*100</f>
        <v>95.3100158982512</v>
      </c>
      <c r="J241" s="47" t="n">
        <f aca="false">(ABS(D84-J84)/D84)*100</f>
        <v>1.52269436895177</v>
      </c>
      <c r="K241" s="43"/>
      <c r="L241" s="47" t="n">
        <f aca="false">(ABS(C84-K84)/C84)*100</f>
        <v>0.0397456279809221</v>
      </c>
      <c r="M241" s="47" t="n">
        <f aca="false">(ABS(D84-L84)/D84)*100</f>
        <v>0.000634985141347693</v>
      </c>
      <c r="N241" s="43"/>
    </row>
    <row r="242" customFormat="false" ht="15" hidden="false" customHeight="false" outlineLevel="0" collapsed="false">
      <c r="A242" s="7"/>
      <c r="B242" s="25" t="n">
        <v>81</v>
      </c>
      <c r="C242" s="46" t="n">
        <f aca="false">(ABS(C85-E85)/C85)*100</f>
        <v>0.794912559618442</v>
      </c>
      <c r="D242" s="47" t="n">
        <f aca="false">(ABS(D85-F85)/D85)*100</f>
        <v>0.0126997028269539</v>
      </c>
      <c r="E242" s="43"/>
      <c r="F242" s="48" t="n">
        <f aca="false">(ABS(C85-G85)/C85)*100</f>
        <v>0.119236883942766</v>
      </c>
      <c r="G242" s="47" t="n">
        <f aca="false">(ABS(D85-H85)/D85)*100</f>
        <v>0.00190495542404308</v>
      </c>
      <c r="H242" s="45"/>
      <c r="I242" s="49" t="n">
        <f aca="false">(ABS(C85-I85)/C85)*100</f>
        <v>97.9332273449921</v>
      </c>
      <c r="J242" s="47" t="n">
        <f aca="false">(ABS(D85-J85)/D85)*100</f>
        <v>1.56460338828071</v>
      </c>
      <c r="K242" s="43"/>
      <c r="L242" s="47" t="n">
        <f aca="false">(ABS(C85-K85)/C85)*100</f>
        <v>0.0397456279809221</v>
      </c>
      <c r="M242" s="47" t="n">
        <f aca="false">(ABS(D85-L85)/D85)*100</f>
        <v>0.000634985141347693</v>
      </c>
      <c r="N242" s="43"/>
    </row>
    <row r="243" customFormat="false" ht="15" hidden="false" customHeight="false" outlineLevel="0" collapsed="false">
      <c r="A243" s="7"/>
      <c r="B243" s="25" t="n">
        <v>82</v>
      </c>
      <c r="C243" s="46" t="n">
        <f aca="false">(ABS(C86-E86)/C86)*100</f>
        <v>1.30537974683544</v>
      </c>
      <c r="D243" s="47" t="n">
        <f aca="false">(ABS(D86-F86)/D86)*100</f>
        <v>0.0209561064824223</v>
      </c>
      <c r="E243" s="43"/>
      <c r="F243" s="48" t="n">
        <f aca="false">(ABS(C86-G86)/C86)*100</f>
        <v>0</v>
      </c>
      <c r="G243" s="47" t="n">
        <f aca="false">(ABS(D86-H86)/D86)*100</f>
        <v>0</v>
      </c>
      <c r="H243" s="45"/>
      <c r="I243" s="49" t="n">
        <f aca="false">(ABS(C86-I86)/C86)*100</f>
        <v>96.004746835443</v>
      </c>
      <c r="J243" s="47" t="n">
        <f aca="false">(ABS(D86-J86)/D86)*100</f>
        <v>1.54122637675269</v>
      </c>
      <c r="K243" s="43"/>
      <c r="L243" s="47" t="n">
        <f aca="false">(ABS(C86-K86)/C86)*100</f>
        <v>0.0791139240506329</v>
      </c>
      <c r="M243" s="47" t="n">
        <f aca="false">(ABS(D86-L86)/D86)*100</f>
        <v>0.00127006705954074</v>
      </c>
      <c r="N243" s="43"/>
    </row>
    <row r="244" customFormat="false" ht="15" hidden="false" customHeight="false" outlineLevel="0" collapsed="false">
      <c r="A244" s="7"/>
      <c r="B244" s="25" t="n">
        <v>83</v>
      </c>
      <c r="C244" s="46" t="n">
        <f aca="false">(ABS(C87-E87)/C87)*100</f>
        <v>2.356637863315</v>
      </c>
      <c r="D244" s="47" t="n">
        <f aca="false">(ABS(D87-F87)/D87)*100</f>
        <v>0.0381063675740216</v>
      </c>
      <c r="E244" s="43"/>
      <c r="F244" s="48" t="n">
        <f aca="false">(ABS(C87-G87)/C87)*100</f>
        <v>0.0392772977219167</v>
      </c>
      <c r="G244" s="47" t="n">
        <f aca="false">(ABS(D87-H87)/D87)*100</f>
        <v>0.000635106126233694</v>
      </c>
      <c r="H244" s="45"/>
      <c r="I244" s="49" t="n">
        <f aca="false">(ABS(C87-I87)/C87)*100</f>
        <v>90.1806755695208</v>
      </c>
      <c r="J244" s="47" t="n">
        <f aca="false">(ABS(D87-J87)/D87)*100</f>
        <v>1.45820366583256</v>
      </c>
      <c r="K244" s="43"/>
      <c r="L244" s="47" t="n">
        <f aca="false">(ABS(C87-K87)/C87)*100</f>
        <v>0.0392772977219167</v>
      </c>
      <c r="M244" s="47" t="n">
        <f aca="false">(ABS(D87-L87)/D87)*100</f>
        <v>0.000635106126233694</v>
      </c>
      <c r="N244" s="43"/>
    </row>
    <row r="245" customFormat="false" ht="15" hidden="false" customHeight="false" outlineLevel="0" collapsed="false">
      <c r="A245" s="7"/>
      <c r="B245" s="25" t="n">
        <v>84</v>
      </c>
      <c r="C245" s="46" t="n">
        <f aca="false">(ABS(C88-E88)/C88)*100</f>
        <v>1.17096018735363</v>
      </c>
      <c r="D245" s="47" t="n">
        <f aca="false">(ABS(D88-F88)/D88)*100</f>
        <v>0.0190551201107738</v>
      </c>
      <c r="E245" s="43"/>
      <c r="F245" s="48" t="n">
        <f aca="false">(ABS(C88-G88)/C88)*100</f>
        <v>0.039032006245121</v>
      </c>
      <c r="G245" s="47" t="n">
        <f aca="false">(ABS(D88-H88)/D88)*100</f>
        <v>0.000635170670359126</v>
      </c>
      <c r="H245" s="45"/>
      <c r="I245" s="49" t="n">
        <f aca="false">(ABS(C88-I88)/C88)*100</f>
        <v>99.6487119437939</v>
      </c>
      <c r="J245" s="47" t="n">
        <f aca="false">(ABS(D88-J88)/D88)*100</f>
        <v>1.62159072142685</v>
      </c>
      <c r="K245" s="43"/>
      <c r="L245" s="47" t="n">
        <f aca="false">(ABS(C88-K88)/C88)*100</f>
        <v>0.078064012490242</v>
      </c>
      <c r="M245" s="47" t="n">
        <f aca="false">(ABS(D88-L88)/D88)*100</f>
        <v>0.00127034134071825</v>
      </c>
      <c r="N245" s="43"/>
    </row>
    <row r="246" customFormat="false" ht="15" hidden="false" customHeight="false" outlineLevel="0" collapsed="false">
      <c r="A246" s="7"/>
      <c r="B246" s="25" t="n">
        <v>85</v>
      </c>
      <c r="C246" s="46" t="n">
        <f aca="false">(ABS(C89-E89)/C89)*100</f>
        <v>0.429352068696331</v>
      </c>
      <c r="D246" s="47" t="n">
        <f aca="false">(ABS(D89-F89)/D89)*100</f>
        <v>0.00698687737395038</v>
      </c>
      <c r="E246" s="43"/>
      <c r="F246" s="48" t="n">
        <f aca="false">(ABS(C89-G89)/C89)*100</f>
        <v>0.234192037470726</v>
      </c>
      <c r="G246" s="47" t="n">
        <f aca="false">(ABS(D89-H89)/D89)*100</f>
        <v>0.00381102402215475</v>
      </c>
      <c r="H246" s="45"/>
      <c r="I246" s="49" t="n">
        <f aca="false">(ABS(C89-I89)/C89)*100</f>
        <v>99.687743950039</v>
      </c>
      <c r="J246" s="47" t="n">
        <f aca="false">(ABS(D89-J89)/D89)*100</f>
        <v>1.62222589209721</v>
      </c>
      <c r="K246" s="43"/>
      <c r="L246" s="47" t="n">
        <f aca="false">(ABS(C89-K89)/C89)*100</f>
        <v>0.117096018735363</v>
      </c>
      <c r="M246" s="47" t="n">
        <f aca="false">(ABS(D89-L89)/D89)*100</f>
        <v>0.00190551201107738</v>
      </c>
      <c r="N246" s="43"/>
    </row>
    <row r="247" customFormat="false" ht="15" hidden="false" customHeight="false" outlineLevel="0" collapsed="false">
      <c r="A247" s="7"/>
      <c r="B247" s="25" t="n">
        <v>86</v>
      </c>
      <c r="C247" s="46" t="n">
        <f aca="false">(ABS(C90-E90)/C90)*100</f>
        <v>1.16459627329193</v>
      </c>
      <c r="D247" s="47" t="n">
        <f aca="false">(ABS(D90-F90)/D90)*100</f>
        <v>0.0190568147169428</v>
      </c>
      <c r="E247" s="43"/>
      <c r="F247" s="48" t="n">
        <f aca="false">(ABS(C90-G90)/C90)*100</f>
        <v>0.077639751552795</v>
      </c>
      <c r="G247" s="47" t="n">
        <f aca="false">(ABS(D90-H90)/D90)*100</f>
        <v>0.00127045431446285</v>
      </c>
      <c r="H247" s="45"/>
      <c r="I247" s="49" t="n">
        <f aca="false">(ABS(C90-I90)/C90)*100</f>
        <v>95.3804347826087</v>
      </c>
      <c r="J247" s="47" t="n">
        <f aca="false">(ABS(D90-J90)/D90)*100</f>
        <v>1.56075312531761</v>
      </c>
      <c r="K247" s="43"/>
      <c r="L247" s="47" t="n">
        <f aca="false">(ABS(C90-K90)/C90)*100</f>
        <v>0.0388198757763975</v>
      </c>
      <c r="M247" s="47" t="n">
        <f aca="false">(ABS(D90-L90)/D90)*100</f>
        <v>0.000635227157231426</v>
      </c>
      <c r="N247" s="43"/>
    </row>
    <row r="248" customFormat="false" ht="15" hidden="false" customHeight="false" outlineLevel="0" collapsed="false">
      <c r="A248" s="7"/>
      <c r="B248" s="25" t="n">
        <v>87</v>
      </c>
      <c r="C248" s="46" t="n">
        <f aca="false">(ABS(C91-E91)/C91)*100</f>
        <v>1.04408352668213</v>
      </c>
      <c r="D248" s="47" t="n">
        <f aca="false">(ABS(D91-F91)/D91)*100</f>
        <v>0.0171522228010215</v>
      </c>
      <c r="E248" s="43"/>
      <c r="F248" s="48" t="n">
        <f aca="false">(ABS(C91-G91)/C91)*100</f>
        <v>0.348027842227378</v>
      </c>
      <c r="G248" s="47" t="n">
        <f aca="false">(ABS(D91-H91)/D91)*100</f>
        <v>0.0057174076003405</v>
      </c>
      <c r="H248" s="45"/>
      <c r="I248" s="49" t="n">
        <f aca="false">(ABS(C91-I91)/C91)*100</f>
        <v>99.5359628770302</v>
      </c>
      <c r="J248" s="47" t="n">
        <f aca="false">(ABS(D91-J91)/D91)*100</f>
        <v>1.63517857369738</v>
      </c>
      <c r="K248" s="43"/>
      <c r="L248" s="47" t="n">
        <f aca="false">(ABS(C91-K91)/C91)*100</f>
        <v>0</v>
      </c>
      <c r="M248" s="47" t="n">
        <f aca="false">(ABS(D91-L91)/D91)*100</f>
        <v>0</v>
      </c>
      <c r="N248" s="43"/>
    </row>
    <row r="249" customFormat="false" ht="15" hidden="false" customHeight="false" outlineLevel="0" collapsed="false">
      <c r="A249" s="7"/>
      <c r="B249" s="25" t="n">
        <v>88</v>
      </c>
      <c r="C249" s="46" t="n">
        <f aca="false">(ABS(C92-E92)/C92)*100</f>
        <v>1.08108108108108</v>
      </c>
      <c r="D249" s="47" t="n">
        <f aca="false">(ABS(D92-F92)/D92)*100</f>
        <v>0.0177879423162442</v>
      </c>
      <c r="E249" s="43"/>
      <c r="F249" s="48" t="n">
        <f aca="false">(ABS(C92-G92)/C92)*100</f>
        <v>0.0386100386100386</v>
      </c>
      <c r="G249" s="47" t="n">
        <f aca="false">(ABS(D92-H92)/D92)*100</f>
        <v>0.000635283654151579</v>
      </c>
      <c r="H249" s="45"/>
      <c r="I249" s="49" t="n">
        <f aca="false">(ABS(C92-I92)/C92)*100</f>
        <v>99.9227799227799</v>
      </c>
      <c r="J249" s="47" t="n">
        <f aca="false">(ABS(D92-J92)/D92)*100</f>
        <v>1.64411409694429</v>
      </c>
      <c r="K249" s="43"/>
      <c r="L249" s="47" t="n">
        <f aca="false">(ABS(C92-K92)/C92)*100</f>
        <v>0.0386100386100386</v>
      </c>
      <c r="M249" s="47" t="n">
        <f aca="false">(ABS(D92-L92)/D92)*100</f>
        <v>0.000635283654151579</v>
      </c>
      <c r="N249" s="43"/>
    </row>
    <row r="250" customFormat="false" ht="15" hidden="false" customHeight="false" outlineLevel="0" collapsed="false">
      <c r="A250" s="7"/>
      <c r="B250" s="25" t="n">
        <v>89</v>
      </c>
      <c r="C250" s="46" t="n">
        <f aca="false">(ABS(C93-E93)/C93)*100</f>
        <v>1.37404580152672</v>
      </c>
      <c r="D250" s="47" t="n">
        <f aca="false">(ABS(D93-F93)/D93)*100</f>
        <v>0.0228745711017918</v>
      </c>
      <c r="E250" s="43"/>
      <c r="F250" s="48" t="n">
        <f aca="false">(ABS(C93-G93)/C93)*100</f>
        <v>0.114503816793893</v>
      </c>
      <c r="G250" s="47" t="n">
        <f aca="false">(ABS(D93-H93)/D93)*100</f>
        <v>0.00190621425848265</v>
      </c>
      <c r="H250" s="45"/>
      <c r="I250" s="49" t="n">
        <f aca="false">(ABS(C93-I93)/C93)*100</f>
        <v>99.9236641221374</v>
      </c>
      <c r="J250" s="47" t="n">
        <f aca="false">(ABS(D93-J93)/D93)*100</f>
        <v>1.66348964290253</v>
      </c>
      <c r="K250" s="43"/>
      <c r="L250" s="47" t="n">
        <f aca="false">(ABS(C93-K93)/C93)*100</f>
        <v>0</v>
      </c>
      <c r="M250" s="47" t="n">
        <f aca="false">(ABS(D93-L93)/D93)*100</f>
        <v>0</v>
      </c>
      <c r="N250" s="43"/>
    </row>
    <row r="251" customFormat="false" ht="15" hidden="false" customHeight="false" outlineLevel="0" collapsed="false">
      <c r="A251" s="7"/>
      <c r="B251" s="25" t="n">
        <v>90</v>
      </c>
      <c r="C251" s="46" t="n">
        <f aca="false">(ABS(C94-E94)/C94)*100</f>
        <v>1.21396054628225</v>
      </c>
      <c r="D251" s="47" t="n">
        <f aca="false">(ABS(D94-F94)/D94)*100</f>
        <v>0.0203350194453623</v>
      </c>
      <c r="E251" s="43"/>
      <c r="F251" s="48" t="n">
        <f aca="false">(ABS(C94-G94)/C94)*100</f>
        <v>0.189681335356601</v>
      </c>
      <c r="G251" s="47" t="n">
        <f aca="false">(ABS(D94-H94)/D94)*100</f>
        <v>0.00317734678833787</v>
      </c>
      <c r="H251" s="45"/>
      <c r="I251" s="49" t="n">
        <f aca="false">(ABS(C94-I94)/C94)*100</f>
        <v>98.8619119878604</v>
      </c>
      <c r="J251" s="47" t="n">
        <f aca="false">(ABS(D94-J94)/D94)*100</f>
        <v>1.6560331460817</v>
      </c>
      <c r="K251" s="43"/>
      <c r="L251" s="47" t="n">
        <f aca="false">(ABS(C94-K94)/C94)*100</f>
        <v>0</v>
      </c>
      <c r="M251" s="47" t="n">
        <f aca="false">(ABS(D94-L94)/D94)*100</f>
        <v>0</v>
      </c>
      <c r="N251" s="43"/>
    </row>
    <row r="252" customFormat="false" ht="15" hidden="false" customHeight="false" outlineLevel="0" collapsed="false">
      <c r="A252" s="7"/>
      <c r="B252" s="25" t="n">
        <v>91</v>
      </c>
      <c r="C252" s="46" t="n">
        <f aca="false">(ABS(C95-E95)/C95)*100</f>
        <v>1.70068027210884</v>
      </c>
      <c r="D252" s="47" t="n">
        <f aca="false">(ABS(D95-F95)/D95)*100</f>
        <v>0.0285979384063958</v>
      </c>
      <c r="E252" s="43"/>
      <c r="F252" s="48" t="n">
        <f aca="false">(ABS(C95-G95)/C95)*100</f>
        <v>0.264550264550265</v>
      </c>
      <c r="G252" s="47" t="n">
        <f aca="false">(ABS(D95-H95)/D95)*100</f>
        <v>0.00444856819655045</v>
      </c>
      <c r="H252" s="45"/>
      <c r="I252" s="49" t="n">
        <f aca="false">(ABS(C95-I95)/C95)*100</f>
        <v>99.5842781557067</v>
      </c>
      <c r="J252" s="47" t="n">
        <f aca="false">(ABS(D95-J95)/D95)*100</f>
        <v>1.67456817113006</v>
      </c>
      <c r="K252" s="43"/>
      <c r="L252" s="47" t="n">
        <f aca="false">(ABS(C95-K95)/C95)*100</f>
        <v>0.151171579743008</v>
      </c>
      <c r="M252" s="47" t="n">
        <f aca="false">(ABS(D95-L95)/D95)*100</f>
        <v>0.0025420389694574</v>
      </c>
      <c r="N252" s="43"/>
    </row>
    <row r="253" customFormat="false" ht="15" hidden="false" customHeight="false" outlineLevel="0" collapsed="false">
      <c r="A253" s="7"/>
      <c r="B253" s="25" t="n">
        <v>92</v>
      </c>
      <c r="C253" s="46" t="n">
        <f aca="false">(ABS(C96-E96)/C96)*100</f>
        <v>0.525525525525526</v>
      </c>
      <c r="D253" s="47" t="n">
        <f aca="false">(ABS(D96-F96)/D96)*100</f>
        <v>0.00889815426857172</v>
      </c>
      <c r="E253" s="43"/>
      <c r="F253" s="48" t="n">
        <f aca="false">(ABS(C96-G96)/C96)*100</f>
        <v>0.187687687687688</v>
      </c>
      <c r="G253" s="47" t="n">
        <f aca="false">(ABS(D96-H96)/D96)*100</f>
        <v>0.00317791223877561</v>
      </c>
      <c r="H253" s="45"/>
      <c r="I253" s="49" t="n">
        <f aca="false">(ABS(C96-I96)/C96)*100</f>
        <v>99.4369369369369</v>
      </c>
      <c r="J253" s="47" t="n">
        <f aca="false">(ABS(D96-J96)/D96)*100</f>
        <v>1.68365790410332</v>
      </c>
      <c r="K253" s="43"/>
      <c r="L253" s="47" t="n">
        <f aca="false">(ABS(C96-K96)/C96)*100</f>
        <v>0.112612612612613</v>
      </c>
      <c r="M253" s="47" t="n">
        <f aca="false">(ABS(D96-L96)/D96)*100</f>
        <v>0.00190674734326537</v>
      </c>
      <c r="N253" s="43"/>
    </row>
    <row r="254" customFormat="false" ht="15" hidden="false" customHeight="false" outlineLevel="0" collapsed="false">
      <c r="A254" s="7"/>
      <c r="B254" s="25" t="n">
        <v>93</v>
      </c>
      <c r="C254" s="46" t="n">
        <f aca="false">(ABS(C97-E97)/C97)*100</f>
        <v>1.11524163568773</v>
      </c>
      <c r="D254" s="47" t="n">
        <f aca="false">(ABS(D97-F97)/D97)*100</f>
        <v>0.0190706248808086</v>
      </c>
      <c r="E254" s="43"/>
      <c r="F254" s="48" t="n">
        <f aca="false">(ABS(C97-G97)/C97)*100</f>
        <v>0.111524163568773</v>
      </c>
      <c r="G254" s="47" t="n">
        <f aca="false">(ABS(D97-H97)/D97)*100</f>
        <v>0.00190706248808086</v>
      </c>
      <c r="H254" s="45"/>
      <c r="I254" s="49" t="n">
        <f aca="false">(ABS(C97-I97)/C97)*100</f>
        <v>99.7397769516729</v>
      </c>
      <c r="J254" s="47" t="n">
        <f aca="false">(ABS(D97-J97)/D97)*100</f>
        <v>1.70554955184032</v>
      </c>
      <c r="K254" s="43"/>
      <c r="L254" s="47" t="n">
        <f aca="false">(ABS(C97-K97)/C97)*100</f>
        <v>0.0371747211895911</v>
      </c>
      <c r="M254" s="47" t="n">
        <f aca="false">(ABS(D97-L97)/D97)*100</f>
        <v>0.000635687496026953</v>
      </c>
      <c r="N254" s="43"/>
    </row>
    <row r="255" customFormat="false" ht="15" hidden="false" customHeight="false" outlineLevel="0" collapsed="false">
      <c r="A255" s="7"/>
      <c r="B255" s="25" t="n">
        <v>94</v>
      </c>
      <c r="C255" s="46" t="n">
        <f aca="false">(ABS(C98-E98)/C98)*100</f>
        <v>0.807635829662261</v>
      </c>
      <c r="D255" s="47" t="n">
        <f aca="false">(ABS(D98-F98)/D98)*100</f>
        <v>0.0139881482235052</v>
      </c>
      <c r="E255" s="43"/>
      <c r="F255" s="48" t="n">
        <f aca="false">(ABS(C98-G98)/C98)*100</f>
        <v>0</v>
      </c>
      <c r="G255" s="47" t="n">
        <f aca="false">(ABS(D98-H98)/D98)*100</f>
        <v>0</v>
      </c>
      <c r="H255" s="45"/>
      <c r="I255" s="49" t="n">
        <f aca="false">(ABS(C98-I98)/C98)*100</f>
        <v>97.870778267254</v>
      </c>
      <c r="J255" s="47" t="n">
        <f aca="false">(ABS(D98-J98)/D98)*100</f>
        <v>1.69510923472113</v>
      </c>
      <c r="K255" s="43"/>
      <c r="L255" s="47" t="n">
        <f aca="false">(ABS(C98-K98)/C98)*100</f>
        <v>0.0367107195301028</v>
      </c>
      <c r="M255" s="47" t="n">
        <f aca="false">(ABS(D98-L98)/D98)*100</f>
        <v>0.000635824919250235</v>
      </c>
      <c r="N255" s="43"/>
    </row>
    <row r="256" customFormat="false" ht="15" hidden="false" customHeight="false" outlineLevel="0" collapsed="false">
      <c r="A256" s="7"/>
      <c r="B256" s="25" t="n">
        <v>95</v>
      </c>
      <c r="C256" s="46" t="n">
        <f aca="false">(ABS(C99-E99)/C99)*100</f>
        <v>2.0542920029347</v>
      </c>
      <c r="D256" s="47" t="n">
        <f aca="false">(ABS(D99-F99)/D99)*100</f>
        <v>0.0356066482698984</v>
      </c>
      <c r="E256" s="43"/>
      <c r="F256" s="48" t="n">
        <f aca="false">(ABS(C99-G99)/C99)*100</f>
        <v>0.183418928833456</v>
      </c>
      <c r="G256" s="47" t="n">
        <f aca="false">(ABS(D99-H99)/D99)*100</f>
        <v>0.00317916502409807</v>
      </c>
      <c r="H256" s="45"/>
      <c r="I256" s="49" t="n">
        <f aca="false">(ABS(C99-I99)/C99)*100</f>
        <v>99.7065297138665</v>
      </c>
      <c r="J256" s="47" t="n">
        <f aca="false">(ABS(D99-J99)/D99)*100</f>
        <v>1.72819410709971</v>
      </c>
      <c r="K256" s="43"/>
      <c r="L256" s="47" t="n">
        <f aca="false">(ABS(C99-K99)/C99)*100</f>
        <v>0.0733675715333823</v>
      </c>
      <c r="M256" s="47" t="n">
        <f aca="false">(ABS(D99-L99)/D99)*100</f>
        <v>0.00127166600963923</v>
      </c>
      <c r="N256" s="43"/>
    </row>
    <row r="257" customFormat="false" ht="15" hidden="false" customHeight="false" outlineLevel="0" collapsed="false">
      <c r="A257" s="7"/>
      <c r="B257" s="25" t="n">
        <v>96</v>
      </c>
      <c r="C257" s="46" t="n">
        <f aca="false">(ABS(C100-E100)/C100)*100</f>
        <v>0.832127351664255</v>
      </c>
      <c r="D257" s="47" t="n">
        <f aca="false">(ABS(D100-F100)/D100)*100</f>
        <v>0.0146276934035463</v>
      </c>
      <c r="E257" s="43"/>
      <c r="F257" s="48" t="n">
        <f aca="false">(ABS(C100-G100)/C100)*100</f>
        <v>0.289435600578871</v>
      </c>
      <c r="G257" s="47" t="n">
        <f aca="false">(ABS(D100-H100)/D100)*100</f>
        <v>0.00508789335775522</v>
      </c>
      <c r="H257" s="45"/>
      <c r="I257" s="49" t="n">
        <f aca="false">(ABS(C100-I100)/C100)*100</f>
        <v>91.7149059334298</v>
      </c>
      <c r="J257" s="47" t="n">
        <f aca="false">(ABS(D100-J100)/D100)*100</f>
        <v>1.61222620773869</v>
      </c>
      <c r="K257" s="43"/>
      <c r="L257" s="47" t="n">
        <f aca="false">(ABS(C100-K100)/C100)*100</f>
        <v>0.108538350217077</v>
      </c>
      <c r="M257" s="47" t="n">
        <f aca="false">(ABS(D100-L100)/D100)*100</f>
        <v>0.00190796000915821</v>
      </c>
      <c r="N257" s="43"/>
    </row>
    <row r="258" customFormat="false" ht="15" hidden="false" customHeight="false" outlineLevel="0" collapsed="false">
      <c r="A258" s="7"/>
      <c r="B258" s="25" t="n">
        <v>97</v>
      </c>
      <c r="C258" s="46" t="n">
        <f aca="false">(ABS(C101-E101)/C101)*100</f>
        <v>0.999286224125625</v>
      </c>
      <c r="D258" s="47" t="n">
        <f aca="false">(ABS(D101-F101)/D101)*100</f>
        <v>0.0178119314495095</v>
      </c>
      <c r="E258" s="43"/>
      <c r="F258" s="48" t="n">
        <f aca="false">(ABS(C101-G101)/C101)*100</f>
        <v>0.392576730906495</v>
      </c>
      <c r="G258" s="47" t="n">
        <f aca="false">(ABS(D101-H101)/D101)*100</f>
        <v>0.0069975444980216</v>
      </c>
      <c r="H258" s="45"/>
      <c r="I258" s="49" t="n">
        <f aca="false">(ABS(C101-I101)/C101)*100</f>
        <v>97.9300499643112</v>
      </c>
      <c r="J258" s="47" t="n">
        <f aca="false">(ABS(D101-J101)/D101)*100</f>
        <v>1.74556928205193</v>
      </c>
      <c r="K258" s="43"/>
      <c r="L258" s="47" t="n">
        <f aca="false">(ABS(C101-K101)/C101)*100</f>
        <v>0.571020699500357</v>
      </c>
      <c r="M258" s="47" t="n">
        <f aca="false">(ABS(D101-L101)/D101)*100</f>
        <v>0.0101782465425769</v>
      </c>
      <c r="N258" s="43"/>
    </row>
    <row r="259" customFormat="false" ht="15" hidden="false" customHeight="false" outlineLevel="0" collapsed="false">
      <c r="A259" s="7"/>
      <c r="B259" s="25" t="n">
        <v>98</v>
      </c>
      <c r="C259" s="46" t="n">
        <f aca="false">(ABS(C102-E102)/C102)*100</f>
        <v>0.353606789250354</v>
      </c>
      <c r="D259" s="47" t="n">
        <f aca="false">(ABS(D102-F102)/D102)*100</f>
        <v>0.00636245641717354</v>
      </c>
      <c r="E259" s="43"/>
      <c r="F259" s="48" t="n">
        <f aca="false">(ABS(C102-G102)/C102)*100</f>
        <v>0.212164073550212</v>
      </c>
      <c r="G259" s="47" t="n">
        <f aca="false">(ABS(D102-H102)/D102)*100</f>
        <v>0.00381747385030413</v>
      </c>
      <c r="H259" s="45"/>
      <c r="I259" s="49" t="n">
        <f aca="false">(ABS(C102-I102)/C102)*100</f>
        <v>97.984441301273</v>
      </c>
      <c r="J259" s="47" t="n">
        <f aca="false">(ABS(D102-J102)/D102)*100</f>
        <v>1.76303667319879</v>
      </c>
      <c r="K259" s="43"/>
      <c r="L259" s="47" t="n">
        <f aca="false">(ABS(C102-K102)/C102)*100</f>
        <v>0.141442715700141</v>
      </c>
      <c r="M259" s="47" t="n">
        <f aca="false">(ABS(D102-L102)/D102)*100</f>
        <v>0.00254498256686942</v>
      </c>
      <c r="N259" s="43"/>
    </row>
    <row r="260" customFormat="false" ht="15" hidden="false" customHeight="false" outlineLevel="0" collapsed="false">
      <c r="A260" s="7"/>
      <c r="B260" s="25" t="n">
        <v>99</v>
      </c>
      <c r="C260" s="46" t="n">
        <f aca="false">(ABS(C103-E103)/C103)*100</f>
        <v>1.46239554317549</v>
      </c>
      <c r="D260" s="47" t="n">
        <f aca="false">(ABS(D103-F103)/D103)*100</f>
        <v>0.026729799908355</v>
      </c>
      <c r="E260" s="43"/>
      <c r="F260" s="48" t="n">
        <f aca="false">(ABS(C103-G103)/C103)*100</f>
        <v>0.104456824512535</v>
      </c>
      <c r="G260" s="47" t="n">
        <f aca="false">(ABS(D103-H103)/D103)*100</f>
        <v>0.00190927142202536</v>
      </c>
      <c r="H260" s="45"/>
      <c r="I260" s="49" t="n">
        <f aca="false">(ABS(C103-I103)/C103)*100</f>
        <v>88.2660167130919</v>
      </c>
      <c r="J260" s="47" t="n">
        <f aca="false">(ABS(D103-J103)/D103)*100</f>
        <v>1.61333435161143</v>
      </c>
      <c r="K260" s="43"/>
      <c r="L260" s="47" t="n">
        <f aca="false">(ABS(C103-K103)/C103)*100</f>
        <v>0.104456824512535</v>
      </c>
      <c r="M260" s="47" t="n">
        <f aca="false">(ABS(D103-L103)/D103)*100</f>
        <v>0.00190927142202536</v>
      </c>
      <c r="N260" s="43"/>
    </row>
    <row r="261" customFormat="false" ht="15" hidden="false" customHeight="false" outlineLevel="0" collapsed="false">
      <c r="A261" s="7"/>
      <c r="B261" s="25" t="n">
        <v>100</v>
      </c>
      <c r="C261" s="46" t="n">
        <f aca="false">(ABS(C104-E104)/C104)*100</f>
        <v>1.30763936682725</v>
      </c>
      <c r="D261" s="47" t="n">
        <f aca="false">(ABS(D104-F104)/D104)*100</f>
        <v>0.0241893388671751</v>
      </c>
      <c r="E261" s="43"/>
      <c r="F261" s="48" t="n">
        <f aca="false">(ABS(C104-G104)/C104)*100</f>
        <v>0.378527185134205</v>
      </c>
      <c r="G261" s="47" t="n">
        <f aca="false">(ABS(D104-H104)/D104)*100</f>
        <v>0.00700217704049805</v>
      </c>
      <c r="H261" s="45"/>
      <c r="I261" s="49" t="n">
        <f aca="false">(ABS(C104-I104)/C104)*100</f>
        <v>99.4838265657261</v>
      </c>
      <c r="J261" s="47" t="n">
        <f aca="false">(ABS(D104-J104)/D104)*100</f>
        <v>1.84029943855271</v>
      </c>
      <c r="K261" s="43"/>
      <c r="L261" s="47" t="n">
        <f aca="false">(ABS(C104-K104)/C104)*100</f>
        <v>0.172057811424639</v>
      </c>
      <c r="M261" s="47" t="n">
        <f aca="false">(ABS(D104-L104)/D104)*100</f>
        <v>0.00318280774568093</v>
      </c>
      <c r="N261" s="43"/>
    </row>
    <row r="262" customFormat="false" ht="15" hidden="false" customHeight="false" outlineLevel="0" collapsed="false">
      <c r="A262" s="7"/>
      <c r="B262" s="25" t="n">
        <v>101</v>
      </c>
      <c r="C262" s="46" t="n">
        <f aca="false">(ABS(C105-E105)/C105)*100</f>
        <v>0.544588155207624</v>
      </c>
      <c r="D262" s="47" t="n">
        <f aca="false">(ABS(D105-F105)/D105)*100</f>
        <v>0.0101870598871783</v>
      </c>
      <c r="E262" s="43"/>
      <c r="F262" s="48" t="n">
        <f aca="false">(ABS(C105-G105)/C105)*100</f>
        <v>0.340367597004765</v>
      </c>
      <c r="G262" s="47" t="n">
        <f aca="false">(ABS(D105-H105)/D105)*100</f>
        <v>0.00636691242948644</v>
      </c>
      <c r="H262" s="45"/>
      <c r="I262" s="49" t="n">
        <f aca="false">(ABS(C105-I105)/C105)*100</f>
        <v>98.1620149761743</v>
      </c>
      <c r="J262" s="47" t="n">
        <f aca="false">(ABS(D105-J105)/D105)*100</f>
        <v>1.83621754466389</v>
      </c>
      <c r="K262" s="43"/>
      <c r="L262" s="47" t="n">
        <f aca="false">(ABS(C105-K105)/C105)*100</f>
        <v>0.204220558202859</v>
      </c>
      <c r="M262" s="47" t="n">
        <f aca="false">(ABS(D105-L105)/D105)*100</f>
        <v>0.00382014745769187</v>
      </c>
      <c r="N262" s="43"/>
    </row>
    <row r="263" customFormat="false" ht="15" hidden="false" customHeight="false" outlineLevel="0" collapsed="false">
      <c r="A263" s="7"/>
      <c r="B263" s="25" t="n">
        <v>102</v>
      </c>
      <c r="C263" s="46" t="n">
        <f aca="false">(ABS(C106-E106)/C106)*100</f>
        <v>0.833333333333333</v>
      </c>
      <c r="D263" s="47" t="n">
        <f aca="false">(ABS(D106-F106)/D106)*100</f>
        <v>0.0159235668789809</v>
      </c>
      <c r="E263" s="43"/>
      <c r="F263" s="48" t="n">
        <f aca="false">(ABS(C106-G106)/C106)*100</f>
        <v>0.0333333333333333</v>
      </c>
      <c r="G263" s="47" t="n">
        <f aca="false">(ABS(D106-H106)/D106)*100</f>
        <v>0.000636942675159236</v>
      </c>
      <c r="H263" s="45"/>
      <c r="I263" s="49" t="n">
        <f aca="false">(ABS(C106-I106)/C106)*100</f>
        <v>92.8</v>
      </c>
      <c r="J263" s="47" t="n">
        <f aca="false">(ABS(D106-J106)/D106)*100</f>
        <v>1.77324840764331</v>
      </c>
      <c r="K263" s="43"/>
      <c r="L263" s="47" t="n">
        <f aca="false">(ABS(C106-K106)/C106)*100</f>
        <v>0.133333333333333</v>
      </c>
      <c r="M263" s="47" t="n">
        <f aca="false">(ABS(D106-L106)/D106)*100</f>
        <v>0.00254777070063694</v>
      </c>
      <c r="N263" s="43"/>
    </row>
    <row r="264" customFormat="false" ht="15" hidden="false" customHeight="false" outlineLevel="0" collapsed="false">
      <c r="A264" s="7"/>
      <c r="B264" s="25" t="n">
        <v>103</v>
      </c>
      <c r="C264" s="46" t="n">
        <f aca="false">(ABS(C107-E107)/C107)*100</f>
        <v>1.01973684210526</v>
      </c>
      <c r="D264" s="47" t="n">
        <f aca="false">(ABS(D107-F107)/D107)*100</f>
        <v>0.019750254841998</v>
      </c>
      <c r="E264" s="43"/>
      <c r="F264" s="48" t="n">
        <f aca="false">(ABS(C107-G107)/C107)*100</f>
        <v>0.164473684210526</v>
      </c>
      <c r="G264" s="47" t="n">
        <f aca="false">(ABS(D107-H107)/D107)*100</f>
        <v>0.0031855249745158</v>
      </c>
      <c r="H264" s="45"/>
      <c r="I264" s="49" t="n">
        <f aca="false">(ABS(C107-I107)/C107)*100</f>
        <v>100</v>
      </c>
      <c r="J264" s="47" t="n">
        <f aca="false">(ABS(D107-J107)/D107)*100</f>
        <v>1.93679918450561</v>
      </c>
      <c r="K264" s="43"/>
      <c r="L264" s="47" t="n">
        <f aca="false">(ABS(C107-K107)/C107)*100</f>
        <v>0.0328947368421053</v>
      </c>
      <c r="M264" s="47" t="n">
        <f aca="false">(ABS(D107-L107)/D107)*100</f>
        <v>0.00063710499490316</v>
      </c>
      <c r="N264" s="43"/>
    </row>
    <row r="265" customFormat="false" ht="15" hidden="false" customHeight="false" outlineLevel="0" collapsed="false">
      <c r="A265" s="7"/>
      <c r="B265" s="25" t="n">
        <v>104</v>
      </c>
      <c r="C265" s="46" t="n">
        <f aca="false">(ABS(C108-E108)/C108)*100</f>
        <v>1.79717586649551</v>
      </c>
      <c r="D265" s="47" t="n">
        <f aca="false">(ABS(D108-F108)/D108)*100</f>
        <v>0.0356951633053721</v>
      </c>
      <c r="E265" s="43"/>
      <c r="F265" s="48" t="n">
        <f aca="false">(ABS(C108-G108)/C108)*100</f>
        <v>0.192554557124519</v>
      </c>
      <c r="G265" s="47" t="n">
        <f aca="false">(ABS(D108-H108)/D108)*100</f>
        <v>0.00382448178271844</v>
      </c>
      <c r="H265" s="45"/>
      <c r="I265" s="49" t="n">
        <f aca="false">(ABS(C108-I108)/C108)*100</f>
        <v>100</v>
      </c>
      <c r="J265" s="47" t="n">
        <f aca="false">(ABS(D108-J108)/D108)*100</f>
        <v>1.98618087249178</v>
      </c>
      <c r="K265" s="43"/>
      <c r="L265" s="47" t="n">
        <f aca="false">(ABS(C108-K108)/C108)*100</f>
        <v>0.192554557124519</v>
      </c>
      <c r="M265" s="47" t="n">
        <f aca="false">(ABS(D108-L108)/D108)*100</f>
        <v>0.00382448178271844</v>
      </c>
      <c r="N265" s="43"/>
    </row>
    <row r="266" customFormat="false" ht="15" hidden="false" customHeight="false" outlineLevel="0" collapsed="false">
      <c r="A266" s="7"/>
      <c r="B266" s="25" t="n">
        <v>105</v>
      </c>
      <c r="C266" s="46" t="n">
        <f aca="false">(ABS(C109-E109)/C109)*100</f>
        <v>1.44654088050314</v>
      </c>
      <c r="D266" s="47" t="n">
        <f aca="false">(ABS(D109-F109)/D109)*100</f>
        <v>0.0293329932406581</v>
      </c>
      <c r="E266" s="43"/>
      <c r="F266" s="48" t="n">
        <f aca="false">(ABS(C109-G109)/C109)*100</f>
        <v>0.251572327044025</v>
      </c>
      <c r="G266" s="47" t="n">
        <f aca="false">(ABS(D109-H109)/D109)*100</f>
        <v>0.0051013901288101</v>
      </c>
      <c r="H266" s="45"/>
      <c r="I266" s="49" t="n">
        <f aca="false">(ABS(C109-I109)/C109)*100</f>
        <v>100</v>
      </c>
      <c r="J266" s="47" t="n">
        <f aca="false">(ABS(D109-J109)/D109)*100</f>
        <v>2.02780257620202</v>
      </c>
      <c r="K266" s="43"/>
      <c r="L266" s="47" t="n">
        <f aca="false">(ABS(C109-K109)/C109)*100</f>
        <v>0.0943396226415094</v>
      </c>
      <c r="M266" s="47" t="n">
        <f aca="false">(ABS(D109-L109)/D109)*100</f>
        <v>0.00191302129830379</v>
      </c>
      <c r="N266" s="43"/>
    </row>
    <row r="267" customFormat="false" ht="15" hidden="false" customHeight="false" outlineLevel="0" collapsed="false">
      <c r="A267" s="7"/>
      <c r="B267" s="25" t="n">
        <v>106</v>
      </c>
      <c r="C267" s="46" t="n">
        <f aca="false">(ABS(C110-E110)/C110)*100</f>
        <v>1.16350275566442</v>
      </c>
      <c r="D267" s="47" t="n">
        <f aca="false">(ABS(D110-F110)/D110)*100</f>
        <v>0.024244899000855</v>
      </c>
      <c r="E267" s="43"/>
      <c r="F267" s="48" t="n">
        <f aca="false">(ABS(C110-G110)/C110)*100</f>
        <v>0.0306184935701164</v>
      </c>
      <c r="G267" s="47" t="n">
        <f aca="false">(ABS(D110-H110)/D110)*100</f>
        <v>0.000638023657917236</v>
      </c>
      <c r="H267" s="45"/>
      <c r="I267" s="49" t="n">
        <f aca="false">(ABS(C110-I110)/C110)*100</f>
        <v>99.6631965707287</v>
      </c>
      <c r="J267" s="47" t="n">
        <f aca="false">(ABS(D110-J110)/D110)*100</f>
        <v>2.0767670065206</v>
      </c>
      <c r="K267" s="43"/>
      <c r="L267" s="47" t="n">
        <f aca="false">(ABS(C110-K110)/C110)*100</f>
        <v>0.153092467850582</v>
      </c>
      <c r="M267" s="47" t="n">
        <f aca="false">(ABS(D110-L110)/D110)*100</f>
        <v>0.00319011828958618</v>
      </c>
      <c r="N267" s="43"/>
    </row>
    <row r="268" customFormat="false" ht="15" hidden="false" customHeight="false" outlineLevel="0" collapsed="false">
      <c r="A268" s="7"/>
      <c r="B268" s="25" t="n">
        <v>107</v>
      </c>
      <c r="C268" s="46" t="n">
        <f aca="false">(ABS(C111-E111)/C111)*100</f>
        <v>0.506555423122765</v>
      </c>
      <c r="D268" s="47" t="n">
        <f aca="false">(ABS(D111-F111)/D111)*100</f>
        <v>0.0108526339981104</v>
      </c>
      <c r="E268" s="43"/>
      <c r="F268" s="48" t="n">
        <f aca="false">(ABS(C111-G111)/C111)*100</f>
        <v>0.685339690107271</v>
      </c>
      <c r="G268" s="47" t="n">
        <f aca="false">(ABS(D111-H111)/D111)*100</f>
        <v>0.0146829754092081</v>
      </c>
      <c r="H268" s="45"/>
      <c r="I268" s="49" t="n">
        <f aca="false">(ABS(C111-I111)/C111)*100</f>
        <v>98.8676996424315</v>
      </c>
      <c r="J268" s="47" t="n">
        <f aca="false">(ABS(D111-J111)/D111)*100</f>
        <v>2.11817880033707</v>
      </c>
      <c r="K268" s="43"/>
      <c r="L268" s="47" t="n">
        <f aca="false">(ABS(C111-K111)/C111)*100</f>
        <v>0.65554231227652</v>
      </c>
      <c r="M268" s="47" t="n">
        <f aca="false">(ABS(D111-L111)/D111)*100</f>
        <v>0.0140445851740252</v>
      </c>
      <c r="N268" s="43"/>
    </row>
    <row r="269" customFormat="false" ht="15" hidden="false" customHeight="false" outlineLevel="0" collapsed="false">
      <c r="A269" s="7"/>
      <c r="B269" s="25" t="n">
        <v>108</v>
      </c>
      <c r="C269" s="46" t="n">
        <f aca="false">(ABS(C112-E112)/C112)*100</f>
        <v>2.38505747126437</v>
      </c>
      <c r="D269" s="47" t="n">
        <f aca="false">(ABS(D112-F112)/D112)*100</f>
        <v>0.0530283669818554</v>
      </c>
      <c r="E269" s="43"/>
      <c r="F269" s="48" t="n">
        <f aca="false">(ABS(C112-G112)/C112)*100</f>
        <v>0.402298850574713</v>
      </c>
      <c r="G269" s="47" t="n">
        <f aca="false">(ABS(D112-H112)/D112)*100</f>
        <v>0.00894454382826476</v>
      </c>
      <c r="H269" s="45"/>
      <c r="I269" s="49" t="n">
        <f aca="false">(ABS(C112-I112)/C112)*100</f>
        <v>99.5402298850575</v>
      </c>
      <c r="J269" s="47" t="n">
        <f aca="false">(ABS(D112-J112)/D112)*100</f>
        <v>2.2131357015078</v>
      </c>
      <c r="K269" s="43"/>
      <c r="L269" s="47" t="n">
        <f aca="false">(ABS(C112-K112)/C112)*100</f>
        <v>0.14367816091954</v>
      </c>
      <c r="M269" s="47" t="n">
        <f aca="false">(ABS(D112-L112)/D112)*100</f>
        <v>0.00319447993866599</v>
      </c>
      <c r="N269" s="43"/>
    </row>
    <row r="270" customFormat="false" ht="15" hidden="false" customHeight="false" outlineLevel="0" collapsed="false">
      <c r="A270" s="7"/>
      <c r="B270" s="25" t="n">
        <v>109</v>
      </c>
      <c r="C270" s="46" t="n">
        <f aca="false">(ABS(C113-E113)/C113)*100</f>
        <v>1.46739130434783</v>
      </c>
      <c r="D270" s="47" t="n">
        <f aca="false">(ABS(D113-F113)/D113)*100</f>
        <v>0.0345445240532242</v>
      </c>
      <c r="E270" s="43"/>
      <c r="F270" s="48" t="n">
        <f aca="false">(ABS(C113-G113)/C113)*100</f>
        <v>0.0271739130434783</v>
      </c>
      <c r="G270" s="47" t="n">
        <f aca="false">(ABS(D113-H113)/D113)*100</f>
        <v>0.00063971340839304</v>
      </c>
      <c r="H270" s="45"/>
      <c r="I270" s="49" t="n">
        <f aca="false">(ABS(C113-I113)/C113)*100</f>
        <v>99.1847826086957</v>
      </c>
      <c r="J270" s="47" t="n">
        <f aca="false">(ABS(D113-J113)/D113)*100</f>
        <v>2.3349539406346</v>
      </c>
      <c r="K270" s="43"/>
      <c r="L270" s="47" t="n">
        <f aca="false">(ABS(C113-K113)/C113)*100</f>
        <v>0</v>
      </c>
      <c r="M270" s="47" t="n">
        <f aca="false">(ABS(D113-L113)/D113)*100</f>
        <v>0</v>
      </c>
      <c r="N270" s="43"/>
    </row>
    <row r="271" customFormat="false" ht="15" hidden="false" customHeight="false" outlineLevel="0" collapsed="false">
      <c r="A271" s="7"/>
      <c r="B271" s="25" t="n">
        <v>110</v>
      </c>
      <c r="C271" s="46" t="n">
        <f aca="false">(ABS(C114-E114)/C114)*100</f>
        <v>1.55803687353934</v>
      </c>
      <c r="D271" s="47" t="n">
        <f aca="false">(ABS(D114-F114)/D114)*100</f>
        <v>0.0384248378151637</v>
      </c>
      <c r="E271" s="43"/>
      <c r="F271" s="48" t="n">
        <f aca="false">(ABS(C114-G114)/C114)*100</f>
        <v>0.103869124902623</v>
      </c>
      <c r="G271" s="47" t="n">
        <f aca="false">(ABS(D114-H114)/D114)*100</f>
        <v>0.00256165585434425</v>
      </c>
      <c r="H271" s="45"/>
      <c r="I271" s="49" t="n">
        <f aca="false">(ABS(C114-I114)/C114)*100</f>
        <v>99.6624253440665</v>
      </c>
      <c r="J271" s="47" t="n">
        <f aca="false">(ABS(D114-J114)/D114)*100</f>
        <v>2.45790879224331</v>
      </c>
      <c r="K271" s="43"/>
      <c r="L271" s="47" t="n">
        <f aca="false">(ABS(C114-K114)/C114)*100</f>
        <v>0.0519345624513113</v>
      </c>
      <c r="M271" s="47" t="n">
        <f aca="false">(ABS(D114-L114)/D114)*100</f>
        <v>0.00128082792717212</v>
      </c>
      <c r="N271" s="43"/>
    </row>
    <row r="272" customFormat="false" ht="15" hidden="false" customHeight="false" outlineLevel="0" collapsed="false">
      <c r="A272" s="7"/>
      <c r="B272" s="25" t="n">
        <v>111</v>
      </c>
      <c r="C272" s="46" t="n">
        <f aca="false">(ABS(C115-E115)/C115)*100</f>
        <v>1.96424074540418</v>
      </c>
      <c r="D272" s="47" t="n">
        <f aca="false">(ABS(D115-F115)/D115)*100</f>
        <v>0.0499907068557768</v>
      </c>
      <c r="E272" s="43"/>
      <c r="F272" s="48" t="n">
        <f aca="false">(ABS(C115-G115)/C115)*100</f>
        <v>0.12591286829514</v>
      </c>
      <c r="G272" s="47" t="n">
        <f aca="false">(ABS(D115-H115)/D115)*100</f>
        <v>0.00320453249075492</v>
      </c>
      <c r="H272" s="45"/>
      <c r="I272" s="49" t="n">
        <f aca="false">(ABS(C115-I115)/C115)*100</f>
        <v>99.7481742634097</v>
      </c>
      <c r="J272" s="47" t="n">
        <f aca="false">(ABS(D115-J115)/D115)*100</f>
        <v>2.53863063917605</v>
      </c>
      <c r="K272" s="43"/>
      <c r="L272" s="47" t="n">
        <f aca="false">(ABS(C115-K115)/C115)*100</f>
        <v>0.226643162931252</v>
      </c>
      <c r="M272" s="47" t="n">
        <f aca="false">(ABS(D115-L115)/D115)*100</f>
        <v>0.00576815848335886</v>
      </c>
      <c r="N272" s="43"/>
    </row>
    <row r="273" customFormat="false" ht="15" hidden="false" customHeight="false" outlineLevel="0" collapsed="false">
      <c r="A273" s="7"/>
      <c r="B273" s="25" t="n">
        <v>112</v>
      </c>
      <c r="C273" s="46" t="n">
        <f aca="false">(ABS(C116-E116)/C116)*100</f>
        <v>1.30896517658681</v>
      </c>
      <c r="D273" s="47" t="n">
        <f aca="false">(ABS(D116-F116)/D116)*100</f>
        <v>0.0339850337606043</v>
      </c>
      <c r="E273" s="43"/>
      <c r="F273" s="48" t="n">
        <f aca="false">(ABS(C116-G116)/C116)*100</f>
        <v>0.172882193134107</v>
      </c>
      <c r="G273" s="47" t="n">
        <f aca="false">(ABS(D116-H116)/D116)*100</f>
        <v>0.00448858936460811</v>
      </c>
      <c r="H273" s="45"/>
      <c r="I273" s="49" t="n">
        <f aca="false">(ABS(C116-I116)/C116)*100</f>
        <v>99.2837737713016</v>
      </c>
      <c r="J273" s="47" t="n">
        <f aca="false">(ABS(D116-J116)/D116)*100</f>
        <v>2.57773274938923</v>
      </c>
      <c r="K273" s="43"/>
      <c r="L273" s="47" t="n">
        <f aca="false">(ABS(C116-K116)/C116)*100</f>
        <v>0.0246974561620153</v>
      </c>
      <c r="M273" s="47" t="n">
        <f aca="false">(ABS(D116-L116)/D116)*100</f>
        <v>0.000641227052086873</v>
      </c>
      <c r="N273" s="43"/>
    </row>
    <row r="274" customFormat="false" ht="15" hidden="false" customHeight="false" outlineLevel="0" collapsed="false">
      <c r="A274" s="7"/>
      <c r="B274" s="25" t="n">
        <v>113</v>
      </c>
      <c r="C274" s="46" t="n">
        <f aca="false">(ABS(C117-E117)/C117)*100</f>
        <v>1.2636695018226</v>
      </c>
      <c r="D274" s="47" t="n">
        <f aca="false">(ABS(D117-F117)/D117)*100</f>
        <v>0.0333579241107227</v>
      </c>
      <c r="E274" s="43"/>
      <c r="F274" s="48" t="n">
        <f aca="false">(ABS(C117-G117)/C117)*100</f>
        <v>0.194410692588092</v>
      </c>
      <c r="G274" s="47" t="n">
        <f aca="false">(ABS(D117-H117)/D117)*100</f>
        <v>0.00513198832472656</v>
      </c>
      <c r="H274" s="45"/>
      <c r="I274" s="49" t="n">
        <f aca="false">(ABS(C117-I117)/C117)*100</f>
        <v>99.4410692588092</v>
      </c>
      <c r="J274" s="47" t="n">
        <f aca="false">(ABS(D117-J117)/D117)*100</f>
        <v>2.62501202809764</v>
      </c>
      <c r="K274" s="43"/>
      <c r="L274" s="47" t="n">
        <f aca="false">(ABS(C117-K117)/C117)*100</f>
        <v>0</v>
      </c>
      <c r="M274" s="47" t="n">
        <f aca="false">(ABS(D117-L117)/D117)*100</f>
        <v>0</v>
      </c>
      <c r="N274" s="43"/>
    </row>
    <row r="275" customFormat="false" ht="15" hidden="false" customHeight="false" outlineLevel="0" collapsed="false">
      <c r="A275" s="7"/>
      <c r="B275" s="25" t="n">
        <v>114</v>
      </c>
      <c r="C275" s="46" t="n">
        <f aca="false">(ABS(C118-E118)/C118)*100</f>
        <v>0.14475271411339</v>
      </c>
      <c r="D275" s="47" t="n">
        <f aca="false">(ABS(D118-F118)/D118)*100</f>
        <v>0.00384973212280646</v>
      </c>
      <c r="E275" s="43"/>
      <c r="F275" s="48" t="n">
        <f aca="false">(ABS(C118-G118)/C118)*100</f>
        <v>0.0241254523522316</v>
      </c>
      <c r="G275" s="47" t="n">
        <f aca="false">(ABS(D118-H118)/D118)*100</f>
        <v>0.000641622020467742</v>
      </c>
      <c r="H275" s="45"/>
      <c r="I275" s="49" t="n">
        <f aca="false">(ABS(C118-I118)/C118)*100</f>
        <v>99.6381182147165</v>
      </c>
      <c r="J275" s="47" t="n">
        <f aca="false">(ABS(D118-J118)/D118)*100</f>
        <v>2.64989894453178</v>
      </c>
      <c r="K275" s="43"/>
      <c r="L275" s="47" t="n">
        <f aca="false">(ABS(C118-K118)/C118)*100</f>
        <v>0.14475271411339</v>
      </c>
      <c r="M275" s="47" t="n">
        <f aca="false">(ABS(D118-L118)/D118)*100</f>
        <v>0.00384973212280646</v>
      </c>
      <c r="N275" s="43"/>
    </row>
    <row r="276" customFormat="false" ht="15" hidden="false" customHeight="false" outlineLevel="0" collapsed="false">
      <c r="A276" s="7"/>
      <c r="B276" s="25" t="n">
        <v>115</v>
      </c>
      <c r="C276" s="46" t="n">
        <f aca="false">(ABS(C119-E119)/C119)*100</f>
        <v>0.527704485488127</v>
      </c>
      <c r="D276" s="47" t="n">
        <f aca="false">(ABS(D119-F119)/D119)*100</f>
        <v>0.0141178584492174</v>
      </c>
      <c r="E276" s="43"/>
      <c r="F276" s="48" t="n">
        <f aca="false">(ABS(C119-G119)/C119)*100</f>
        <v>0.239865675221876</v>
      </c>
      <c r="G276" s="47" t="n">
        <f aca="false">(ABS(D119-H119)/D119)*100</f>
        <v>0.00641720838600792</v>
      </c>
      <c r="H276" s="45"/>
      <c r="I276" s="49" t="n">
        <f aca="false">(ABS(C119-I119)/C119)*100</f>
        <v>98.9445910290237</v>
      </c>
      <c r="J276" s="47" t="n">
        <f aca="false">(ABS(D119-J119)/D119)*100</f>
        <v>2.64709845922827</v>
      </c>
      <c r="K276" s="43"/>
      <c r="L276" s="47" t="n">
        <f aca="false">(ABS(C119-K119)/C119)*100</f>
        <v>0.143919405133125</v>
      </c>
      <c r="M276" s="47" t="n">
        <f aca="false">(ABS(D119-L119)/D119)*100</f>
        <v>0.00385032503160475</v>
      </c>
      <c r="N276" s="43"/>
    </row>
    <row r="277" customFormat="false" ht="15" hidden="false" customHeight="false" outlineLevel="0" collapsed="false">
      <c r="A277" s="7"/>
      <c r="B277" s="25" t="n">
        <v>116</v>
      </c>
      <c r="C277" s="46" t="n">
        <f aca="false">(ABS(C120-E120)/C120)*100</f>
        <v>1.21457489878543</v>
      </c>
      <c r="D277" s="47" t="n">
        <f aca="false">(ABS(D120-F120)/D120)*100</f>
        <v>0.0327340646080577</v>
      </c>
      <c r="E277" s="43"/>
      <c r="F277" s="48" t="n">
        <f aca="false">(ABS(C120-G120)/C120)*100</f>
        <v>0.119075970469159</v>
      </c>
      <c r="G277" s="47" t="n">
        <f aca="false">(ABS(D120-H120)/D120)*100</f>
        <v>0.00320922202039782</v>
      </c>
      <c r="H277" s="45"/>
      <c r="I277" s="49" t="n">
        <f aca="false">(ABS(C120-I120)/C120)*100</f>
        <v>99.8332936413432</v>
      </c>
      <c r="J277" s="47" t="n">
        <f aca="false">(ABS(D120-J120)/D120)*100</f>
        <v>2.69061174190153</v>
      </c>
      <c r="K277" s="43"/>
      <c r="L277" s="47" t="n">
        <f aca="false">(ABS(C120-K120)/C120)*100</f>
        <v>0.0476303881876637</v>
      </c>
      <c r="M277" s="47" t="n">
        <f aca="false">(ABS(D120-L120)/D120)*100</f>
        <v>0.00128368880815913</v>
      </c>
      <c r="N277" s="43"/>
    </row>
    <row r="278" customFormat="false" ht="15" hidden="false" customHeight="false" outlineLevel="0" collapsed="false">
      <c r="A278" s="7"/>
      <c r="B278" s="25" t="n">
        <v>117</v>
      </c>
      <c r="C278" s="46" t="n">
        <f aca="false">(ABS(C121-E121)/C121)*100</f>
        <v>0.524183940910174</v>
      </c>
      <c r="D278" s="47" t="n">
        <f aca="false">(ABS(D121-F121)/D121)*100</f>
        <v>0.014120395627812</v>
      </c>
      <c r="E278" s="43"/>
      <c r="F278" s="48" t="n">
        <f aca="false">(ABS(C121-G121)/C121)*100</f>
        <v>0.142959256611866</v>
      </c>
      <c r="G278" s="47" t="n">
        <f aca="false">(ABS(D121-H121)/D121)*100</f>
        <v>0.00385101698940329</v>
      </c>
      <c r="H278" s="45"/>
      <c r="I278" s="49" t="n">
        <f aca="false">(ABS(C121-I121)/C121)*100</f>
        <v>98.4512747200381</v>
      </c>
      <c r="J278" s="47" t="n">
        <f aca="false">(ABS(D121-J121)/D121)*100</f>
        <v>2.65206703336906</v>
      </c>
      <c r="K278" s="43"/>
      <c r="L278" s="47" t="n">
        <f aca="false">(ABS(C121-K121)/C121)*100</f>
        <v>0.0476530855372885</v>
      </c>
      <c r="M278" s="47" t="n">
        <f aca="false">(ABS(D121-L121)/D121)*100</f>
        <v>0.00128367232980109</v>
      </c>
      <c r="N278" s="43"/>
    </row>
    <row r="279" customFormat="false" ht="15" hidden="false" customHeight="false" outlineLevel="0" collapsed="false">
      <c r="A279" s="7"/>
      <c r="B279" s="25" t="n">
        <v>118</v>
      </c>
      <c r="C279" s="46" t="n">
        <f aca="false">(ABS(C122-E122)/C122)*100</f>
        <v>1.12628804217589</v>
      </c>
      <c r="D279" s="47" t="n">
        <f aca="false">(ABS(D122-F122)/D122)*100</f>
        <v>0.0301616536287036</v>
      </c>
      <c r="E279" s="43"/>
      <c r="F279" s="48" t="n">
        <f aca="false">(ABS(C122-G122)/C122)*100</f>
        <v>0.167745027558112</v>
      </c>
      <c r="G279" s="47" t="n">
        <f aca="false">(ABS(D122-H122)/D122)*100</f>
        <v>0.00449216117874309</v>
      </c>
      <c r="H279" s="45"/>
      <c r="I279" s="49" t="n">
        <f aca="false">(ABS(C122-I122)/C122)*100</f>
        <v>96.4773544212797</v>
      </c>
      <c r="J279" s="47" t="n">
        <f aca="false">(ABS(D122-J122)/D122)*100</f>
        <v>2.58363441508853</v>
      </c>
      <c r="K279" s="43"/>
      <c r="L279" s="47" t="n">
        <f aca="false">(ABS(C122-K122)/C122)*100</f>
        <v>0.0958543014617781</v>
      </c>
      <c r="M279" s="47" t="n">
        <f aca="false">(ABS(D122-L122)/D122)*100</f>
        <v>0.00256694924499605</v>
      </c>
      <c r="N279" s="43"/>
    </row>
    <row r="280" customFormat="false" ht="15" hidden="false" customHeight="false" outlineLevel="0" collapsed="false">
      <c r="A280" s="7"/>
      <c r="B280" s="25" t="n">
        <v>119</v>
      </c>
      <c r="C280" s="46" t="n">
        <f aca="false">(ABS(C123-E123)/C123)*100</f>
        <v>1.73368649169275</v>
      </c>
      <c r="D280" s="47" t="n">
        <f aca="false">(ABS(D123-F123)/D123)*100</f>
        <v>0.0461991568653872</v>
      </c>
      <c r="E280" s="43"/>
      <c r="F280" s="48" t="n">
        <f aca="false">(ABS(C123-G123)/C123)*100</f>
        <v>0.0963159162051529</v>
      </c>
      <c r="G280" s="47" t="n">
        <f aca="false">(ABS(D123-H123)/D123)*100</f>
        <v>0.00256661982585484</v>
      </c>
      <c r="H280" s="45"/>
      <c r="I280" s="49" t="n">
        <f aca="false">(ABS(C123-I123)/C123)*100</f>
        <v>99.7832891885384</v>
      </c>
      <c r="J280" s="47" t="n">
        <f aca="false">(ABS(D123-J123)/D123)*100</f>
        <v>2.65901813958562</v>
      </c>
      <c r="K280" s="43"/>
      <c r="L280" s="47" t="n">
        <f aca="false">(ABS(C123-K123)/C123)*100</f>
        <v>0.0481579581025765</v>
      </c>
      <c r="M280" s="47" t="n">
        <f aca="false">(ABS(D123-L123)/D123)*100</f>
        <v>0.00128330991292742</v>
      </c>
      <c r="N280" s="43"/>
    </row>
    <row r="281" customFormat="false" ht="15" hidden="false" customHeight="false" outlineLevel="0" collapsed="false">
      <c r="A281" s="7"/>
      <c r="B281" s="25" t="n">
        <v>120</v>
      </c>
      <c r="C281" s="46" t="n">
        <f aca="false">(ABS(C124-E124)/C124)*100</f>
        <v>0.314541495281878</v>
      </c>
      <c r="D281" s="47" t="n">
        <f aca="false">(ABS(D124-F124)/D124)*100</f>
        <v>0.00834044409656951</v>
      </c>
      <c r="E281" s="43"/>
      <c r="F281" s="48" t="n">
        <f aca="false">(ABS(C124-G124)/C124)*100</f>
        <v>0.19356399709654</v>
      </c>
      <c r="G281" s="47" t="n">
        <f aca="false">(ABS(D124-H124)/D124)*100</f>
        <v>0.00513258098250431</v>
      </c>
      <c r="H281" s="45"/>
      <c r="I281" s="49" t="n">
        <f aca="false">(ABS(C124-I124)/C124)*100</f>
        <v>99.6128720058069</v>
      </c>
      <c r="J281" s="47" t="n">
        <f aca="false">(ABS(D124-J124)/D124)*100</f>
        <v>2.64135448812128</v>
      </c>
      <c r="K281" s="43"/>
      <c r="L281" s="47" t="n">
        <f aca="false">(ABS(C124-K124)/C124)*100</f>
        <v>0.0241954996370675</v>
      </c>
      <c r="M281" s="47" t="n">
        <f aca="false">(ABS(D124-L124)/D124)*100</f>
        <v>0.000641572622813039</v>
      </c>
      <c r="N281" s="43"/>
    </row>
    <row r="282" customFormat="false" ht="15" hidden="false" customHeight="false" outlineLevel="0" collapsed="false">
      <c r="A282" s="7"/>
      <c r="B282" s="25" t="n">
        <v>121</v>
      </c>
      <c r="C282" s="46" t="n">
        <f aca="false">(ABS(C125-E125)/C125)*100</f>
        <v>0.903099829143276</v>
      </c>
      <c r="D282" s="47" t="n">
        <f aca="false">(ABS(D125-F125)/D125)*100</f>
        <v>0.02373270559258</v>
      </c>
      <c r="E282" s="43"/>
      <c r="F282" s="48" t="n">
        <f aca="false">(ABS(C125-G125)/C125)*100</f>
        <v>0.19526482792287</v>
      </c>
      <c r="G282" s="47" t="n">
        <f aca="false">(ABS(D125-H125)/D125)*100</f>
        <v>0.00513139580380108</v>
      </c>
      <c r="H282" s="45"/>
      <c r="I282" s="49" t="n">
        <f aca="false">(ABS(C125-I125)/C125)*100</f>
        <v>98.2670246521845</v>
      </c>
      <c r="J282" s="47" t="n">
        <f aca="false">(ABS(D125-J125)/D125)*100</f>
        <v>2.58237493826289</v>
      </c>
      <c r="K282" s="43"/>
      <c r="L282" s="47" t="n">
        <f aca="false">(ABS(C125-K125)/C125)*100</f>
        <v>0.0976324139614352</v>
      </c>
      <c r="M282" s="47" t="n">
        <f aca="false">(ABS(D125-L125)/D125)*100</f>
        <v>0.00256569790190054</v>
      </c>
      <c r="N282" s="43"/>
    </row>
    <row r="283" customFormat="false" ht="15" hidden="false" customHeight="false" outlineLevel="0" collapsed="false">
      <c r="A283" s="7"/>
      <c r="B283" s="25" t="n">
        <v>122</v>
      </c>
      <c r="C283" s="46" t="n">
        <f aca="false">(ABS(C126-E126)/C126)*100</f>
        <v>0.742758108442684</v>
      </c>
      <c r="D283" s="47" t="n">
        <f aca="false">(ABS(D126-F126)/D126)*100</f>
        <v>0.0192355781253006</v>
      </c>
      <c r="E283" s="43"/>
      <c r="F283" s="48" t="n">
        <f aca="false">(ABS(C126-G126)/C126)*100</f>
        <v>0.272344639762317</v>
      </c>
      <c r="G283" s="47" t="n">
        <f aca="false">(ABS(D126-H126)/D126)*100</f>
        <v>0.0070530453126102</v>
      </c>
      <c r="H283" s="45"/>
      <c r="I283" s="49" t="n">
        <f aca="false">(ABS(C126-I126)/C126)*100</f>
        <v>99.9257241891557</v>
      </c>
      <c r="J283" s="47" t="n">
        <f aca="false">(ABS(D126-J126)/D126)*100</f>
        <v>2.58782644379044</v>
      </c>
      <c r="K283" s="43"/>
      <c r="L283" s="47" t="n">
        <f aca="false">(ABS(C126-K126)/C126)*100</f>
        <v>0.0247586036147561</v>
      </c>
      <c r="M283" s="47" t="n">
        <f aca="false">(ABS(D126-L126)/D126)*100</f>
        <v>0.000641185937510019</v>
      </c>
      <c r="N283" s="43"/>
    </row>
    <row r="284" customFormat="false" ht="15" hidden="false" customHeight="false" outlineLevel="0" collapsed="false">
      <c r="A284" s="7"/>
      <c r="B284" s="25" t="n">
        <v>123</v>
      </c>
      <c r="C284" s="46" t="n">
        <f aca="false">(ABS(C127-E127)/C127)*100</f>
        <v>0.0500625782227785</v>
      </c>
      <c r="D284" s="47" t="n">
        <f aca="false">(ABS(D127-F127)/D127)*100</f>
        <v>0.00128201019198103</v>
      </c>
      <c r="E284" s="43"/>
      <c r="F284" s="48" t="n">
        <f aca="false">(ABS(C127-G127)/C127)*100</f>
        <v>0.200250312891114</v>
      </c>
      <c r="G284" s="47" t="n">
        <f aca="false">(ABS(D127-H127)/D127)*100</f>
        <v>0.00512804076792411</v>
      </c>
      <c r="H284" s="45"/>
      <c r="I284" s="49" t="n">
        <f aca="false">(ABS(C127-I127)/C127)*100</f>
        <v>99.5744680851064</v>
      </c>
      <c r="J284" s="47" t="n">
        <f aca="false">(ABS(D127-J127)/D127)*100</f>
        <v>2.54991827185026</v>
      </c>
      <c r="K284" s="43"/>
      <c r="L284" s="47" t="n">
        <f aca="false">(ABS(C127-K127)/C127)*100</f>
        <v>0.100125156445557</v>
      </c>
      <c r="M284" s="47" t="n">
        <f aca="false">(ABS(D127-L127)/D127)*100</f>
        <v>0.00256402038396205</v>
      </c>
      <c r="N284" s="43"/>
    </row>
    <row r="285" customFormat="false" ht="15" hidden="false" customHeight="false" outlineLevel="0" collapsed="false">
      <c r="A285" s="7"/>
      <c r="B285" s="25" t="n">
        <v>124</v>
      </c>
      <c r="C285" s="46" t="n">
        <f aca="false">(ABS(C128-E128)/C128)*100</f>
        <v>0.229533282325937</v>
      </c>
      <c r="D285" s="47" t="n">
        <f aca="false">(ABS(D128-F128)/D128)*100</f>
        <v>0.00576631065037577</v>
      </c>
      <c r="E285" s="43"/>
      <c r="F285" s="48" t="n">
        <f aca="false">(ABS(C128-G128)/C128)*100</f>
        <v>0.331548074470798</v>
      </c>
      <c r="G285" s="47" t="n">
        <f aca="false">(ABS(D128-H128)/D128)*100</f>
        <v>0.00832911538387612</v>
      </c>
      <c r="H285" s="45"/>
      <c r="I285" s="49" t="n">
        <f aca="false">(ABS(C128-I128)/C128)*100</f>
        <v>97.9086967610303</v>
      </c>
      <c r="J285" s="47" t="n">
        <f aca="false">(ABS(D128-J128)/D128)*100</f>
        <v>2.45965184297695</v>
      </c>
      <c r="K285" s="43"/>
      <c r="L285" s="47" t="n">
        <f aca="false">(ABS(C128-K128)/C128)*100</f>
        <v>0.178525886253507</v>
      </c>
      <c r="M285" s="47" t="n">
        <f aca="false">(ABS(D128-L128)/D128)*100</f>
        <v>0.0044849082836256</v>
      </c>
      <c r="N285" s="43"/>
    </row>
    <row r="286" customFormat="false" ht="15" hidden="false" customHeight="false" outlineLevel="0" collapsed="false">
      <c r="A286" s="7"/>
      <c r="B286" s="25" t="n">
        <v>125</v>
      </c>
      <c r="C286" s="46" t="n">
        <f aca="false">(ABS(C129-E129)/C129)*100</f>
        <v>0.156128024980484</v>
      </c>
      <c r="D286" s="47" t="n">
        <f aca="false">(ABS(D129-F129)/D129)*100</f>
        <v>0.00384228692918025</v>
      </c>
      <c r="E286" s="43"/>
      <c r="F286" s="48" t="n">
        <f aca="false">(ABS(C129-G129)/C129)*100</f>
        <v>0.286234712464221</v>
      </c>
      <c r="G286" s="47" t="n">
        <f aca="false">(ABS(D129-H129)/D129)*100</f>
        <v>0.00704419270349712</v>
      </c>
      <c r="H286" s="45"/>
      <c r="I286" s="49" t="n">
        <f aca="false">(ABS(C129-I129)/C129)*100</f>
        <v>99.6096799375488</v>
      </c>
      <c r="J286" s="47" t="n">
        <f aca="false">(ABS(D129-J129)/D129)*100</f>
        <v>2.451379060817</v>
      </c>
      <c r="K286" s="43"/>
      <c r="L286" s="47" t="n">
        <f aca="false">(ABS(C129-K129)/C129)*100</f>
        <v>0</v>
      </c>
      <c r="M286" s="47" t="n">
        <f aca="false">(ABS(D129-L129)/D129)*100</f>
        <v>0</v>
      </c>
      <c r="N286" s="43"/>
    </row>
    <row r="287" customFormat="false" ht="15" hidden="false" customHeight="false" outlineLevel="0" collapsed="false">
      <c r="A287" s="7"/>
      <c r="B287" s="25" t="n">
        <v>126</v>
      </c>
      <c r="C287" s="46" t="n">
        <f aca="false">(ABS(C130-E130)/C130)*100</f>
        <v>0.903534414031358</v>
      </c>
      <c r="D287" s="47" t="n">
        <f aca="false">(ABS(D130-F130)/D130)*100</f>
        <v>0.0217618105826405</v>
      </c>
      <c r="E287" s="43"/>
      <c r="F287" s="48" t="n">
        <f aca="false">(ABS(C130-G130)/C130)*100</f>
        <v>0.0797236247674728</v>
      </c>
      <c r="G287" s="47" t="n">
        <f aca="false">(ABS(D130-H130)/D130)*100</f>
        <v>0.00192015975729181</v>
      </c>
      <c r="H287" s="45"/>
      <c r="I287" s="49" t="n">
        <f aca="false">(ABS(C130-I130)/C130)*100</f>
        <v>47.0900876959872</v>
      </c>
      <c r="J287" s="47" t="n">
        <f aca="false">(ABS(D130-J130)/D130)*100</f>
        <v>1.13417436330703</v>
      </c>
      <c r="K287" s="43"/>
      <c r="L287" s="47" t="n">
        <f aca="false">(ABS(C130-K130)/C130)*100</f>
        <v>0</v>
      </c>
      <c r="M287" s="47" t="n">
        <f aca="false">(ABS(D130-L130)/D130)*100</f>
        <v>0</v>
      </c>
      <c r="N287" s="43"/>
    </row>
    <row r="288" customFormat="false" ht="15" hidden="false" customHeight="false" outlineLevel="0" collapsed="false">
      <c r="A288" s="7"/>
      <c r="B288" s="25" t="n">
        <v>127</v>
      </c>
      <c r="C288" s="46" t="n">
        <f aca="false">(ABS(C131-E131)/C131)*100</f>
        <v>0.545107658762606</v>
      </c>
      <c r="D288" s="47" t="n">
        <f aca="false">(ABS(D131-F131)/D131)*100</f>
        <v>0.0127933679180713</v>
      </c>
      <c r="E288" s="43"/>
      <c r="F288" s="48" t="n">
        <f aca="false">(ABS(C131-G131)/C131)*100</f>
        <v>0.381575361133824</v>
      </c>
      <c r="G288" s="47" t="n">
        <f aca="false">(ABS(D131-H131)/D131)*100</f>
        <v>0.00895535754264989</v>
      </c>
      <c r="H288" s="45"/>
      <c r="I288" s="49" t="n">
        <f aca="false">(ABS(C131-I131)/C131)*100</f>
        <v>99.6729354047424</v>
      </c>
      <c r="J288" s="47" t="n">
        <f aca="false">(ABS(D131-J131)/D131)*100</f>
        <v>2.33926732381933</v>
      </c>
      <c r="K288" s="43"/>
      <c r="L288" s="47" t="n">
        <f aca="false">(ABS(C131-K131)/C131)*100</f>
        <v>0.436086127010085</v>
      </c>
      <c r="M288" s="47" t="n">
        <f aca="false">(ABS(D131-L131)/D131)*100</f>
        <v>0.010234694334457</v>
      </c>
      <c r="N288" s="43"/>
    </row>
    <row r="289" customFormat="false" ht="15" hidden="false" customHeight="false" outlineLevel="0" collapsed="false">
      <c r="A289" s="7"/>
      <c r="B289" s="25" t="n">
        <v>128</v>
      </c>
      <c r="C289" s="46" t="n">
        <f aca="false">(ABS(C132-E132)/C132)*100</f>
        <v>1.03380832634814</v>
      </c>
      <c r="D289" s="47" t="n">
        <f aca="false">(ABS(D132-F132)/D132)*100</f>
        <v>0.0236541129387998</v>
      </c>
      <c r="E289" s="43"/>
      <c r="F289" s="48" t="n">
        <f aca="false">(ABS(C132-G132)/C132)*100</f>
        <v>0.279407655769768</v>
      </c>
      <c r="G289" s="47" t="n">
        <f aca="false">(ABS(D132-H132)/D132)*100</f>
        <v>0.00639300349697291</v>
      </c>
      <c r="H289" s="45"/>
      <c r="I289" s="49" t="n">
        <f aca="false">(ABS(C132-I132)/C132)*100</f>
        <v>99.9161777032691</v>
      </c>
      <c r="J289" s="47" t="n">
        <f aca="false">(ABS(D132-J132)/D132)*100</f>
        <v>2.28613805051751</v>
      </c>
      <c r="K289" s="43"/>
      <c r="L289" s="47" t="n">
        <f aca="false">(ABS(C132-K132)/C132)*100</f>
        <v>0.111763062307907</v>
      </c>
      <c r="M289" s="47" t="n">
        <f aca="false">(ABS(D132-L132)/D132)*100</f>
        <v>0.00255720139878917</v>
      </c>
      <c r="N289" s="43"/>
    </row>
    <row r="290" customFormat="false" ht="15" hidden="false" customHeight="false" outlineLevel="0" collapsed="false">
      <c r="A290" s="7"/>
      <c r="B290" s="25" t="n">
        <v>129</v>
      </c>
      <c r="C290" s="46" t="n">
        <f aca="false">(ABS(C133-E133)/C133)*100</f>
        <v>0.603621730382294</v>
      </c>
      <c r="D290" s="47" t="n">
        <f aca="false">(ABS(D133-F133)/D133)*100</f>
        <v>0.0134167300234473</v>
      </c>
      <c r="E290" s="43"/>
      <c r="F290" s="48" t="n">
        <f aca="false">(ABS(C133-G133)/C133)*100</f>
        <v>0.201207243460765</v>
      </c>
      <c r="G290" s="47" t="n">
        <f aca="false">(ABS(D133-H133)/D133)*100</f>
        <v>0.00447224334114911</v>
      </c>
      <c r="H290" s="45"/>
      <c r="I290" s="49" t="n">
        <f aca="false">(ABS(C133-I133)/C133)*100</f>
        <v>99.7987927565392</v>
      </c>
      <c r="J290" s="47" t="n">
        <f aca="false">(ABS(D133-J133)/D133)*100</f>
        <v>2.21823269720996</v>
      </c>
      <c r="K290" s="43"/>
      <c r="L290" s="47" t="n">
        <f aca="false">(ABS(C133-K133)/C133)*100</f>
        <v>0.172463351537798</v>
      </c>
      <c r="M290" s="47" t="n">
        <f aca="false">(ABS(D133-L133)/D133)*100</f>
        <v>0.00383335143527067</v>
      </c>
      <c r="N290" s="43"/>
    </row>
    <row r="291" customFormat="false" ht="15" hidden="false" customHeight="false" outlineLevel="0" collapsed="false">
      <c r="A291" s="7"/>
      <c r="B291" s="25" t="n">
        <v>130</v>
      </c>
      <c r="C291" s="46" t="n">
        <f aca="false">(ABS(C134-E134)/C134)*100</f>
        <v>0.415553576729</v>
      </c>
      <c r="D291" s="47" t="n">
        <f aca="false">(ABS(D134-F134)/D134)*100</f>
        <v>0.00893820508073115</v>
      </c>
      <c r="E291" s="43"/>
      <c r="F291" s="48" t="n">
        <f aca="false">(ABS(C134-G134)/C134)*100</f>
        <v>0.148411991688928</v>
      </c>
      <c r="G291" s="47" t="n">
        <f aca="false">(ABS(D134-H134)/D134)*100</f>
        <v>0.00319221610026112</v>
      </c>
      <c r="H291" s="45"/>
      <c r="I291" s="49" t="n">
        <f aca="false">(ABS(C134-I134)/C134)*100</f>
        <v>68.8631641436628</v>
      </c>
      <c r="J291" s="47" t="n">
        <f aca="false">(ABS(D134-J134)/D134)*100</f>
        <v>1.48118827052116</v>
      </c>
      <c r="K291" s="43"/>
      <c r="L291" s="47" t="n">
        <f aca="false">(ABS(C134-K134)/C134)*100</f>
        <v>0.118729593351143</v>
      </c>
      <c r="M291" s="47" t="n">
        <f aca="false">(ABS(D134-L134)/D134)*100</f>
        <v>0.0025537728802089</v>
      </c>
      <c r="N291" s="43"/>
    </row>
    <row r="292" customFormat="false" ht="15" hidden="false" customHeight="false" outlineLevel="0" collapsed="false">
      <c r="A292" s="7"/>
      <c r="B292" s="25" t="n">
        <v>131</v>
      </c>
      <c r="C292" s="46" t="n">
        <f aca="false">(ABS(C135-E135)/C135)*100</f>
        <v>1.16030534351145</v>
      </c>
      <c r="D292" s="47" t="n">
        <f aca="false">(ABS(D135-F135)/D135)*100</f>
        <v>0.0242462912745254</v>
      </c>
      <c r="E292" s="43"/>
      <c r="F292" s="48" t="n">
        <f aca="false">(ABS(C135-G135)/C135)*100</f>
        <v>0.0610687022900763</v>
      </c>
      <c r="G292" s="47" t="n">
        <f aca="false">(ABS(D135-H135)/D135)*100</f>
        <v>0.00127612059339608</v>
      </c>
      <c r="H292" s="45"/>
      <c r="I292" s="49" t="n">
        <f aca="false">(ABS(C135-I135)/C135)*100</f>
        <v>99.9389312977099</v>
      </c>
      <c r="J292" s="47" t="n">
        <f aca="false">(ABS(D135-J135)/D135)*100</f>
        <v>2.08837135109268</v>
      </c>
      <c r="K292" s="43"/>
      <c r="L292" s="47" t="n">
        <f aca="false">(ABS(C135-K135)/C135)*100</f>
        <v>0.183206106870229</v>
      </c>
      <c r="M292" s="47" t="n">
        <f aca="false">(ABS(D135-L135)/D135)*100</f>
        <v>0.00382836178018823</v>
      </c>
      <c r="N292" s="43"/>
    </row>
    <row r="293" customFormat="false" ht="15" hidden="false" customHeight="false" outlineLevel="0" collapsed="false">
      <c r="A293" s="7"/>
      <c r="B293" s="25" t="n">
        <v>132</v>
      </c>
      <c r="C293" s="46" t="n">
        <f aca="false">(ABS(C136-E136)/C136)*100</f>
        <v>1.64713335445043</v>
      </c>
      <c r="D293" s="47" t="n">
        <f aca="false">(ABS(D136-F136)/D136)*100</f>
        <v>0.0331541732815618</v>
      </c>
      <c r="E293" s="43"/>
      <c r="F293" s="48" t="n">
        <f aca="false">(ABS(C136-G136)/C136)*100</f>
        <v>0.095026924295217</v>
      </c>
      <c r="G293" s="47" t="n">
        <f aca="false">(ABS(D136-H136)/D136)*100</f>
        <v>0.00191274076624395</v>
      </c>
      <c r="H293" s="45"/>
      <c r="I293" s="49" t="n">
        <f aca="false">(ABS(C136-I136)/C136)*100</f>
        <v>100</v>
      </c>
      <c r="J293" s="47" t="n">
        <f aca="false">(ABS(D136-J136)/D136)*100</f>
        <v>2.01284086634405</v>
      </c>
      <c r="K293" s="43"/>
      <c r="L293" s="47" t="n">
        <f aca="false">(ABS(C136-K136)/C136)*100</f>
        <v>0</v>
      </c>
      <c r="M293" s="47" t="n">
        <f aca="false">(ABS(D136-L136)/D136)*100</f>
        <v>0</v>
      </c>
      <c r="N293" s="43"/>
    </row>
    <row r="294" customFormat="false" ht="15" hidden="false" customHeight="false" outlineLevel="0" collapsed="false">
      <c r="A294" s="7"/>
      <c r="B294" s="25" t="n">
        <v>133</v>
      </c>
      <c r="C294" s="46" t="n">
        <f aca="false">(ABS(C137-E137)/C137)*100</f>
        <v>0.625205659756499</v>
      </c>
      <c r="D294" s="47" t="n">
        <f aca="false">(ABS(D137-F137)/D137)*100</f>
        <v>0.0121049177821242</v>
      </c>
      <c r="E294" s="43"/>
      <c r="F294" s="48" t="n">
        <f aca="false">(ABS(C137-G137)/C137)*100</f>
        <v>0.164527805199079</v>
      </c>
      <c r="G294" s="47" t="n">
        <f aca="false">(ABS(D137-H137)/D137)*100</f>
        <v>0.00318550467950637</v>
      </c>
      <c r="H294" s="45"/>
      <c r="I294" s="49" t="n">
        <f aca="false">(ABS(C137-I137)/C137)*100</f>
        <v>99.2760776571241</v>
      </c>
      <c r="J294" s="47" t="n">
        <f aca="false">(ABS(D137-J137)/D137)*100</f>
        <v>1.92213352361415</v>
      </c>
      <c r="K294" s="43"/>
      <c r="L294" s="47" t="n">
        <f aca="false">(ABS(C137-K137)/C137)*100</f>
        <v>0.164527805199079</v>
      </c>
      <c r="M294" s="47" t="n">
        <f aca="false">(ABS(D137-L137)/D137)*100</f>
        <v>0.00318550467950637</v>
      </c>
      <c r="N294" s="43"/>
    </row>
    <row r="295" customFormat="false" ht="15" hidden="false" customHeight="false" outlineLevel="0" collapsed="false">
      <c r="A295" s="7"/>
      <c r="B295" s="25" t="n">
        <v>134</v>
      </c>
      <c r="C295" s="46" t="n">
        <f aca="false">(ABS(C138-E138)/C138)*100</f>
        <v>0.482925146602277</v>
      </c>
      <c r="D295" s="47" t="n">
        <f aca="false">(ABS(D138-F138)/D138)*100</f>
        <v>0.00891146459920688</v>
      </c>
      <c r="E295" s="43"/>
      <c r="F295" s="48" t="n">
        <f aca="false">(ABS(C138-G138)/C138)*100</f>
        <v>0.137978613314936</v>
      </c>
      <c r="G295" s="47" t="n">
        <f aca="false">(ABS(D138-H138)/D138)*100</f>
        <v>0.00254613274263054</v>
      </c>
      <c r="H295" s="45"/>
      <c r="I295" s="49" t="n">
        <f aca="false">(ABS(C138-I138)/C138)*100</f>
        <v>99.8620213866851</v>
      </c>
      <c r="J295" s="47" t="n">
        <f aca="false">(ABS(D138-J138)/D138)*100</f>
        <v>1.84276357247885</v>
      </c>
      <c r="K295" s="43"/>
      <c r="L295" s="47" t="n">
        <f aca="false">(ABS(C138-K138)/C138)*100</f>
        <v>0.0689893066574681</v>
      </c>
      <c r="M295" s="47" t="n">
        <f aca="false">(ABS(D138-L138)/D138)*100</f>
        <v>0.00127306637131527</v>
      </c>
      <c r="N295" s="43"/>
    </row>
    <row r="296" customFormat="false" ht="15" hidden="false" customHeight="false" outlineLevel="0" collapsed="false">
      <c r="A296" s="7"/>
      <c r="B296" s="25" t="n">
        <v>135</v>
      </c>
      <c r="C296" s="46" t="n">
        <f aca="false">(ABS(C139-E139)/C139)*100</f>
        <v>0.182149362477231</v>
      </c>
      <c r="D296" s="47" t="n">
        <f aca="false">(ABS(D139-F139)/D139)*100</f>
        <v>0.00317954913993196</v>
      </c>
      <c r="E296" s="43"/>
      <c r="F296" s="48" t="n">
        <f aca="false">(ABS(C139-G139)/C139)*100</f>
        <v>0.145719489981785</v>
      </c>
      <c r="G296" s="47" t="n">
        <f aca="false">(ABS(D139-H139)/D139)*100</f>
        <v>0.00254363931194557</v>
      </c>
      <c r="H296" s="45"/>
      <c r="I296" s="49" t="n">
        <f aca="false">(ABS(C139-I139)/C139)*100</f>
        <v>99.9271402550091</v>
      </c>
      <c r="J296" s="47" t="n">
        <f aca="false">(ABS(D139-J139)/D139)*100</f>
        <v>1.74430065816667</v>
      </c>
      <c r="K296" s="43"/>
      <c r="L296" s="47" t="n">
        <f aca="false">(ABS(C139-K139)/C139)*100</f>
        <v>0.0728597449908925</v>
      </c>
      <c r="M296" s="47" t="n">
        <f aca="false">(ABS(D139-L139)/D139)*100</f>
        <v>0.00127181965597278</v>
      </c>
      <c r="N296" s="43"/>
    </row>
    <row r="297" customFormat="false" ht="15" hidden="false" customHeight="false" outlineLevel="0" collapsed="false">
      <c r="A297" s="7"/>
      <c r="B297" s="25" t="n">
        <v>136</v>
      </c>
      <c r="C297" s="46" t="n">
        <f aca="false">(ABS(C140-E140)/C140)*100</f>
        <v>0.153787004998078</v>
      </c>
      <c r="D297" s="47" t="n">
        <f aca="false">(ABS(D140-F140)/D140)*100</f>
        <v>0.00254131220655786</v>
      </c>
      <c r="E297" s="43"/>
      <c r="F297" s="48" t="n">
        <f aca="false">(ABS(C140-G140)/C140)*100</f>
        <v>0.192233756247597</v>
      </c>
      <c r="G297" s="47" t="n">
        <f aca="false">(ABS(D140-H140)/D140)*100</f>
        <v>0.00317664025819732</v>
      </c>
      <c r="H297" s="45"/>
      <c r="I297" s="49" t="n">
        <f aca="false">(ABS(C140-I140)/C140)*100</f>
        <v>98.5390234525183</v>
      </c>
      <c r="J297" s="47" t="n">
        <f aca="false">(ABS(D140-J140)/D140)*100</f>
        <v>1.62834579635195</v>
      </c>
      <c r="K297" s="43"/>
      <c r="L297" s="47" t="n">
        <f aca="false">(ABS(C140-K140)/C140)*100</f>
        <v>0.0768935024990388</v>
      </c>
      <c r="M297" s="47" t="n">
        <f aca="false">(ABS(D140-L140)/D140)*100</f>
        <v>0.00127065610327893</v>
      </c>
      <c r="N297" s="43"/>
    </row>
    <row r="298" customFormat="false" ht="15" hidden="false" customHeight="false" outlineLevel="0" collapsed="false">
      <c r="A298" s="7"/>
      <c r="B298" s="25" t="n">
        <v>137</v>
      </c>
      <c r="C298" s="46" t="n">
        <f aca="false">(ABS(C141-E141)/C141)*100</f>
        <v>0.5735354362966</v>
      </c>
      <c r="D298" s="47" t="n">
        <f aca="false">(ABS(D141-F141)/D141)*100</f>
        <v>0.00888556032978123</v>
      </c>
      <c r="E298" s="43"/>
      <c r="F298" s="48" t="n">
        <f aca="false">(ABS(C141-G141)/C141)*100</f>
        <v>0.204834084391643</v>
      </c>
      <c r="G298" s="47" t="n">
        <f aca="false">(ABS(D141-H141)/D141)*100</f>
        <v>0.00317341440349329</v>
      </c>
      <c r="H298" s="45"/>
      <c r="I298" s="49" t="n">
        <f aca="false">(ABS(C141-I141)/C141)*100</f>
        <v>99.9590331831217</v>
      </c>
      <c r="J298" s="47" t="n">
        <f aca="false">(ABS(D141-J141)/D141)*100</f>
        <v>1.54862622890473</v>
      </c>
      <c r="K298" s="43"/>
      <c r="L298" s="47" t="n">
        <f aca="false">(ABS(C141-K141)/C141)*100</f>
        <v>0.122900450634986</v>
      </c>
      <c r="M298" s="47" t="n">
        <f aca="false">(ABS(D141-L141)/D141)*100</f>
        <v>0.00190404864209598</v>
      </c>
      <c r="N298" s="43"/>
    </row>
    <row r="299" customFormat="false" ht="15" hidden="false" customHeight="false" outlineLevel="0" collapsed="false">
      <c r="A299" s="7"/>
      <c r="B299" s="25" t="n">
        <v>138</v>
      </c>
      <c r="C299" s="46" t="n">
        <f aca="false">(ABS(C142-E142)/C142)*100</f>
        <v>1.06147722246793</v>
      </c>
      <c r="D299" s="47" t="n">
        <f aca="false">(ABS(D142-F142)/D142)*100</f>
        <v>0.0152150070686387</v>
      </c>
      <c r="E299" s="43"/>
      <c r="F299" s="48" t="n">
        <f aca="false">(ABS(C142-G142)/C142)*100</f>
        <v>0.0884564352056612</v>
      </c>
      <c r="G299" s="47" t="n">
        <f aca="false">(ABS(D142-H142)/D142)*100</f>
        <v>0.00126791725571989</v>
      </c>
      <c r="H299" s="45"/>
      <c r="I299" s="49" t="n">
        <f aca="false">(ABS(C142-I142)/C142)*100</f>
        <v>86.1123396727112</v>
      </c>
      <c r="J299" s="47" t="n">
        <f aca="false">(ABS(D142-J142)/D142)*100</f>
        <v>1.23431744844331</v>
      </c>
      <c r="K299" s="43"/>
      <c r="L299" s="47" t="n">
        <f aca="false">(ABS(C142-K142)/C142)*100</f>
        <v>0.0442282176028306</v>
      </c>
      <c r="M299" s="47" t="n">
        <f aca="false">(ABS(D142-L142)/D142)*100</f>
        <v>0.000633958627859946</v>
      </c>
      <c r="N299" s="43"/>
    </row>
    <row r="300" customFormat="false" ht="15" hidden="false" customHeight="false" outlineLevel="0" collapsed="false">
      <c r="A300" s="7"/>
      <c r="B300" s="25" t="n">
        <v>139</v>
      </c>
      <c r="C300" s="46" t="n">
        <f aca="false">(ABS(C143-E143)/C143)*100</f>
        <v>1.18990956687292</v>
      </c>
      <c r="D300" s="47" t="n">
        <f aca="false">(ABS(D143-F143)/D143)*100</f>
        <v>0.0158329058448755</v>
      </c>
      <c r="E300" s="43"/>
      <c r="F300" s="48" t="n">
        <f aca="false">(ABS(C143-G143)/C143)*100</f>
        <v>0.0475963826749167</v>
      </c>
      <c r="G300" s="47" t="n">
        <f aca="false">(ABS(D143-H143)/D143)*100</f>
        <v>0.000633316233795021</v>
      </c>
      <c r="H300" s="45"/>
      <c r="I300" s="49" t="n">
        <f aca="false">(ABS(C143-I143)/C143)*100</f>
        <v>95.7163255592575</v>
      </c>
      <c r="J300" s="47" t="n">
        <f aca="false">(ABS(D143-J143)/D143)*100</f>
        <v>1.27359894616179</v>
      </c>
      <c r="K300" s="43"/>
      <c r="L300" s="47" t="n">
        <f aca="false">(ABS(C143-K143)/C143)*100</f>
        <v>0.0951927653498334</v>
      </c>
      <c r="M300" s="47" t="n">
        <f aca="false">(ABS(D143-L143)/D143)*100</f>
        <v>0.00126663246759004</v>
      </c>
      <c r="N300" s="43"/>
    </row>
    <row r="301" customFormat="false" ht="15" hidden="false" customHeight="false" outlineLevel="0" collapsed="false">
      <c r="A301" s="7"/>
      <c r="B301" s="25" t="n">
        <v>140</v>
      </c>
      <c r="C301" s="46" t="n">
        <f aca="false">(ABS(C144-E144)/C144)*100</f>
        <v>0.156331422615946</v>
      </c>
      <c r="D301" s="47" t="n">
        <f aca="false">(ABS(D144-F144)/D144)*100</f>
        <v>0.00189776127428344</v>
      </c>
      <c r="E301" s="43"/>
      <c r="F301" s="48" t="n">
        <f aca="false">(ABS(C144-G144)/C144)*100</f>
        <v>0.260552371026576</v>
      </c>
      <c r="G301" s="47" t="n">
        <f aca="false">(ABS(D144-H144)/D144)*100</f>
        <v>0.00316293545713906</v>
      </c>
      <c r="H301" s="45"/>
      <c r="I301" s="49" t="n">
        <f aca="false">(ABS(C144-I144)/C144)*100</f>
        <v>99.6352266805628</v>
      </c>
      <c r="J301" s="47" t="n">
        <f aca="false">(ABS(D144-J144)/D144)*100</f>
        <v>1.20950651880998</v>
      </c>
      <c r="K301" s="43"/>
      <c r="L301" s="47" t="n">
        <f aca="false">(ABS(C144-K144)/C144)*100</f>
        <v>0.0521104742053153</v>
      </c>
      <c r="M301" s="47" t="n">
        <f aca="false">(ABS(D144-L144)/D144)*100</f>
        <v>0.000632587091427812</v>
      </c>
      <c r="N301" s="43"/>
    </row>
    <row r="302" customFormat="false" ht="15" hidden="false" customHeight="false" outlineLevel="0" collapsed="false">
      <c r="A302" s="7"/>
      <c r="B302" s="25" t="n">
        <v>141</v>
      </c>
      <c r="C302" s="46" t="n">
        <f aca="false">(ABS(C145-E145)/C145)*100</f>
        <v>0</v>
      </c>
      <c r="D302" s="47" t="n">
        <f aca="false">(ABS(D145-F145)/D145)*100</f>
        <v>0</v>
      </c>
      <c r="E302" s="43"/>
      <c r="F302" s="48" t="n">
        <f aca="false">(ABS(C145-G145)/C145)*100</f>
        <v>0.46592894583576</v>
      </c>
      <c r="G302" s="47" t="n">
        <f aca="false">(ABS(D145-H145)/D145)*100</f>
        <v>0.0050542382947</v>
      </c>
      <c r="H302" s="45"/>
      <c r="I302" s="49" t="n">
        <f aca="false">(ABS(C145-I145)/C145)*100</f>
        <v>99.4175888177053</v>
      </c>
      <c r="J302" s="47" t="n">
        <f aca="false">(ABS(D145-J145)/D145)*100</f>
        <v>1.07844809613161</v>
      </c>
      <c r="K302" s="43"/>
      <c r="L302" s="47" t="n">
        <f aca="false">(ABS(C145-K145)/C145)*100</f>
        <v>0.23296447291788</v>
      </c>
      <c r="M302" s="47" t="n">
        <f aca="false">(ABS(D145-L145)/D145)*100</f>
        <v>0.00252711914735</v>
      </c>
      <c r="N302" s="43"/>
    </row>
    <row r="303" customFormat="false" ht="15" hidden="false" customHeight="false" outlineLevel="0" collapsed="false">
      <c r="A303" s="7"/>
      <c r="B303" s="25" t="n">
        <v>142</v>
      </c>
      <c r="C303" s="46" t="n">
        <f aca="false">(ABS(C146-E146)/C146)*100</f>
        <v>0.710135571336346</v>
      </c>
      <c r="D303" s="47" t="n">
        <f aca="false">(ABS(D146-F146)/D146)*100</f>
        <v>0.0069422092634316</v>
      </c>
      <c r="E303" s="43"/>
      <c r="F303" s="48" t="n">
        <f aca="false">(ABS(C146-G146)/C146)*100</f>
        <v>0.451904454486766</v>
      </c>
      <c r="G303" s="47" t="n">
        <f aca="false">(ABS(D146-H146)/D146)*100</f>
        <v>0.00441776953127465</v>
      </c>
      <c r="H303" s="45"/>
      <c r="I303" s="49" t="n">
        <f aca="false">(ABS(C146-I146)/C146)*100</f>
        <v>99.4835377663008</v>
      </c>
      <c r="J303" s="47" t="n">
        <f aca="false">(ABS(D146-J146)/D146)*100</f>
        <v>0.972540406813463</v>
      </c>
      <c r="K303" s="43"/>
      <c r="L303" s="47" t="n">
        <f aca="false">(ABS(C146-K146)/C146)*100</f>
        <v>0.193673337637185</v>
      </c>
      <c r="M303" s="47" t="n">
        <f aca="false">(ABS(D146-L146)/D146)*100</f>
        <v>0.00189332979911771</v>
      </c>
      <c r="N303" s="43"/>
    </row>
    <row r="304" customFormat="false" ht="15" hidden="false" customHeight="false" outlineLevel="0" collapsed="false">
      <c r="A304" s="7"/>
      <c r="B304" s="25" t="n">
        <v>143</v>
      </c>
      <c r="C304" s="46" t="n">
        <f aca="false">(ABS(C147-E147)/C147)*100</f>
        <v>2.01643017176998</v>
      </c>
      <c r="D304" s="47" t="n">
        <f aca="false">(ABS(D147-F147)/D147)*100</f>
        <v>0.0170174144874922</v>
      </c>
      <c r="E304" s="43"/>
      <c r="F304" s="48" t="n">
        <f aca="false">(ABS(C147-G147)/C147)*100</f>
        <v>0.373412994772218</v>
      </c>
      <c r="G304" s="47" t="n">
        <f aca="false">(ABS(D147-H147)/D147)*100</f>
        <v>0.0031513730532393</v>
      </c>
      <c r="H304" s="45"/>
      <c r="I304" s="49" t="n">
        <f aca="false">(ABS(C147-I147)/C147)*100</f>
        <v>98.8797610156833</v>
      </c>
      <c r="J304" s="47" t="n">
        <f aca="false">(ABS(D147-J147)/D147)*100</f>
        <v>0.834483584497766</v>
      </c>
      <c r="K304" s="43"/>
      <c r="L304" s="47" t="n">
        <f aca="false">(ABS(C147-K147)/C147)*100</f>
        <v>0.149365197908887</v>
      </c>
      <c r="M304" s="47" t="n">
        <f aca="false">(ABS(D147-L147)/D147)*100</f>
        <v>0.00126054922129572</v>
      </c>
      <c r="N304" s="43"/>
    </row>
    <row r="305" customFormat="false" ht="15" hidden="false" customHeight="false" outlineLevel="0" collapsed="false">
      <c r="A305" s="7"/>
      <c r="B305" s="25" t="n">
        <v>144</v>
      </c>
      <c r="C305" s="46" t="n">
        <f aca="false">(ABS(C148-E148)/C148)*100</f>
        <v>1.9315188762072</v>
      </c>
      <c r="D305" s="47" t="n">
        <f aca="false">(ABS(D148-F148)/D148)*100</f>
        <v>0.0138485846117046</v>
      </c>
      <c r="E305" s="43"/>
      <c r="F305" s="48" t="n">
        <f aca="false">(ABS(C148-G148)/C148)*100</f>
        <v>0.0877963125548727</v>
      </c>
      <c r="G305" s="47" t="n">
        <f aca="false">(ABS(D148-H148)/D148)*100</f>
        <v>0.000629481118713844</v>
      </c>
      <c r="H305" s="45"/>
      <c r="I305" s="49" t="n">
        <f aca="false">(ABS(C148-I148)/C148)*100</f>
        <v>100</v>
      </c>
      <c r="J305" s="47" t="n">
        <f aca="false">(ABS(D148-J148)/D148)*100</f>
        <v>0.716978994215069</v>
      </c>
      <c r="K305" s="43"/>
      <c r="L305" s="47" t="n">
        <f aca="false">(ABS(C148-K148)/C148)*100</f>
        <v>0.263388937664618</v>
      </c>
      <c r="M305" s="47" t="n">
        <f aca="false">(ABS(D148-L148)/D148)*100</f>
        <v>0.00188844335614153</v>
      </c>
      <c r="N305" s="43"/>
    </row>
    <row r="306" customFormat="false" ht="15" hidden="false" customHeight="false" outlineLevel="0" collapsed="false">
      <c r="A306" s="7"/>
      <c r="B306" s="25" t="n">
        <v>145</v>
      </c>
      <c r="C306" s="46" t="n">
        <f aca="false">(ABS(C149-E149)/C149)*100</f>
        <v>2.84153005464481</v>
      </c>
      <c r="D306" s="47" t="n">
        <f aca="false">(ABS(D149-F149)/D149)*100</f>
        <v>0.0163434641858126</v>
      </c>
      <c r="E306" s="43"/>
      <c r="F306" s="48" t="n">
        <f aca="false">(ABS(C149-G149)/C149)*100</f>
        <v>0.109289617486339</v>
      </c>
      <c r="G306" s="47" t="n">
        <f aca="false">(ABS(D149-H149)/D149)*100</f>
        <v>0.000628594776377408</v>
      </c>
      <c r="H306" s="45"/>
      <c r="I306" s="49" t="n">
        <f aca="false">(ABS(C149-I149)/C149)*100</f>
        <v>99.672131147541</v>
      </c>
      <c r="J306" s="47" t="n">
        <f aca="false">(ABS(D149-J149)/D149)*100</f>
        <v>0.573278436056196</v>
      </c>
      <c r="K306" s="43"/>
      <c r="L306" s="47" t="n">
        <f aca="false">(ABS(C149-K149)/C149)*100</f>
        <v>0.109289617486339</v>
      </c>
      <c r="M306" s="47" t="n">
        <f aca="false">(ABS(D149-L149)/D149)*100</f>
        <v>0.000628594776377408</v>
      </c>
      <c r="N306" s="43"/>
    </row>
    <row r="307" customFormat="false" ht="15" hidden="false" customHeight="false" outlineLevel="0" collapsed="false">
      <c r="A307" s="7"/>
      <c r="B307" s="25" t="n">
        <v>146</v>
      </c>
      <c r="C307" s="46" t="n">
        <f aca="false">(ABS(C150-E150)/C150)*100</f>
        <v>2.4390243902439</v>
      </c>
      <c r="D307" s="47" t="n">
        <f aca="false">(ABS(D150-F150)/D150)*100</f>
        <v>0.0106714876681544</v>
      </c>
      <c r="E307" s="43"/>
      <c r="F307" s="48" t="n">
        <f aca="false">(ABS(C150-G150)/C150)*100</f>
        <v>0.430416068866571</v>
      </c>
      <c r="G307" s="47" t="n">
        <f aca="false">(ABS(D150-H150)/D150)*100</f>
        <v>0.00188320370614489</v>
      </c>
      <c r="H307" s="45"/>
      <c r="I307" s="49" t="n">
        <f aca="false">(ABS(C150-I150)/C150)*100</f>
        <v>99.1391678622669</v>
      </c>
      <c r="J307" s="47" t="n">
        <f aca="false">(ABS(D150-J150)/D150)*100</f>
        <v>0.433764586982041</v>
      </c>
      <c r="K307" s="43"/>
      <c r="L307" s="47" t="n">
        <f aca="false">(ABS(C150-K150)/C150)*100</f>
        <v>0.430416068866571</v>
      </c>
      <c r="M307" s="47" t="n">
        <f aca="false">(ABS(D150-L150)/D150)*100</f>
        <v>0.00188320370614489</v>
      </c>
      <c r="N307" s="43"/>
    </row>
    <row r="308" customFormat="false" ht="15" hidden="false" customHeight="false" outlineLevel="0" collapsed="false">
      <c r="A308" s="7"/>
      <c r="B308" s="25" t="n">
        <v>147</v>
      </c>
      <c r="C308" s="46" t="n">
        <f aca="false">(ABS(C151-E151)/C151)*100</f>
        <v>2.94736842105263</v>
      </c>
      <c r="D308" s="47" t="n">
        <f aca="false">(ABS(D151-F151)/D151)*100</f>
        <v>0.00877605391004545</v>
      </c>
      <c r="E308" s="43"/>
      <c r="F308" s="48" t="n">
        <f aca="false">(ABS(C151-G151)/C151)*100</f>
        <v>0.210526315789474</v>
      </c>
      <c r="G308" s="47" t="n">
        <f aca="false">(ABS(D151-H151)/D151)*100</f>
        <v>0.000626860993574675</v>
      </c>
      <c r="H308" s="45"/>
      <c r="I308" s="49" t="n">
        <f aca="false">(ABS(C151-I151)/C151)*100</f>
        <v>79.7894736842105</v>
      </c>
      <c r="J308" s="47" t="n">
        <f aca="false">(ABS(D151-J151)/D151)*100</f>
        <v>0.237580316564802</v>
      </c>
      <c r="K308" s="43"/>
      <c r="L308" s="47" t="n">
        <f aca="false">(ABS(C151-K151)/C151)*100</f>
        <v>0</v>
      </c>
      <c r="M308" s="47" t="n">
        <f aca="false">(ABS(D151-L151)/D151)*100</f>
        <v>0</v>
      </c>
      <c r="N308" s="43"/>
    </row>
    <row r="309" customFormat="false" ht="15" hidden="false" customHeight="false" outlineLevel="0" collapsed="false">
      <c r="A309" s="7"/>
      <c r="B309" s="25" t="n">
        <v>148</v>
      </c>
      <c r="C309" s="46" t="n">
        <f aca="false">(ABS(C152-E152)/C152)*100</f>
        <v>4.48979591836735</v>
      </c>
      <c r="D309" s="47" t="n">
        <f aca="false">(ABS(D152-F152)/D152)*100</f>
        <v>0.00688554348846671</v>
      </c>
      <c r="E309" s="50" t="s">
        <v>11</v>
      </c>
      <c r="F309" s="48" t="n">
        <f aca="false">(ABS(C152-G152)/C152)*100</f>
        <v>0</v>
      </c>
      <c r="G309" s="47" t="n">
        <f aca="false">(ABS(D152-H152)/D152)*100</f>
        <v>0</v>
      </c>
      <c r="H309" s="50" t="s">
        <v>11</v>
      </c>
      <c r="I309" s="49" t="n">
        <f aca="false">(ABS(C152-I152)/C152)*100</f>
        <v>97.9591836734694</v>
      </c>
      <c r="J309" s="47" t="n">
        <f aca="false">(ABS(D152-J152)/D152)*100</f>
        <v>0.150230039748365</v>
      </c>
      <c r="K309" s="50" t="s">
        <v>11</v>
      </c>
      <c r="L309" s="47" t="n">
        <f aca="false">(ABS(C152-K152)/C152)*100</f>
        <v>0.408163265306122</v>
      </c>
      <c r="M309" s="47" t="n">
        <f aca="false">(ABS(D152-L152)/D152)*100</f>
        <v>0.00062595849895152</v>
      </c>
      <c r="N309" s="50" t="s">
        <v>11</v>
      </c>
    </row>
    <row r="310" customFormat="false" ht="15" hidden="false" customHeight="false" outlineLevel="0" collapsed="false">
      <c r="A310" s="7"/>
      <c r="B310" s="14" t="s">
        <v>8</v>
      </c>
      <c r="C310" s="51" t="n">
        <f aca="false">(ABS(SUM(C4:C152)-SUM(E4:E152))/SUM(C4:C152))*100</f>
        <v>0.945273171453953</v>
      </c>
      <c r="D310" s="52" t="n">
        <f aca="false">(ABS(SUM(D4:D152)-SUM(F4:F152))/SUM(D4:D152))*100</f>
        <v>0.0174557616487945</v>
      </c>
      <c r="E310" s="53" t="n">
        <f aca="false">SUM(C161:D309)/(149*2)</f>
        <v>0.525268358079469</v>
      </c>
      <c r="F310" s="54" t="n">
        <f aca="false">(ABS(SUM(C4:C152)-SUM(G4:G152))/SUM(C4:C152))*100</f>
        <v>0.16703064850459</v>
      </c>
      <c r="G310" s="55" t="n">
        <f aca="false">(ABS(SUM(D4:D152)-SUM(H4:H152))/SUM(D4:D152))*100</f>
        <v>0.00308444931728577</v>
      </c>
      <c r="H310" s="53" t="n">
        <f aca="false">SUM(F161:G309)/(149*2)</f>
        <v>0.0970910578157095</v>
      </c>
      <c r="I310" s="55" t="n">
        <f aca="false">(ABS(SUM(C4:C152)-SUM(I4:I152))/SUM(C4:C152))*100</f>
        <v>96.9878960615931</v>
      </c>
      <c r="J310" s="55" t="n">
        <f aca="false">(ABS(SUM(D4:D152)-SUM(J4:J152))/SUM(D4:D152))*100</f>
        <v>1.79101411908811</v>
      </c>
      <c r="K310" s="56" t="n">
        <f aca="false">SUM(I161:J309)/(149*2)</f>
        <v>49.0260396746286</v>
      </c>
      <c r="L310" s="55" t="n">
        <f aca="false">(ABS(SUM(C4:C152)-SUM(K4:K152))/SUM(C4:C152))*100</f>
        <v>0.0425673674859343</v>
      </c>
      <c r="M310" s="55" t="n">
        <f aca="false">(ABS(SUM(D4:D152)-SUM(L4:L152))/SUM(D4:D152))*100</f>
        <v>0.000786064645956484</v>
      </c>
      <c r="N310" s="56" t="n">
        <f aca="false">SUM(L161:M309)/(149*2)</f>
        <v>0.057428805722068</v>
      </c>
    </row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153"/>
    <mergeCell ref="B158:B160"/>
    <mergeCell ref="C158:H158"/>
    <mergeCell ref="I158:N158"/>
    <mergeCell ref="C159:E159"/>
    <mergeCell ref="F159:H159"/>
    <mergeCell ref="I159:K159"/>
    <mergeCell ref="L159:N159"/>
    <mergeCell ref="A160:A3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2026-03-13T20:08:44Z</dcterms:created>
  <dc:creator>openpyxl</dc:creator>
  <dc:description/>
  <dc:language>fr-FR</dc:language>
  <cp:lastModifiedBy/>
  <dcterms:modified xsi:type="dcterms:W3CDTF">2026-08-29T12:21:09Z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