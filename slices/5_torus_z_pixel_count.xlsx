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<sst xmlns="http://schemas.openxmlformats.org/spreadsheetml/2006/main" count="75" uniqueCount="21">
  <si>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</si>
  <si>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</si>
  <si>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</si>
  <si>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</si>
  <si>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</si>
  <si>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5_torus/torus_z/Col_clust</t>
  </si>
  <si>
    <t xml:space="preserve">#e65b4b</t>
  </si>
  <si>
    <t xml:space="preserve">#ffffff</t>
  </si>
  <si>
    <t xml:space="preserve">Total</t>
  </si>
  <si>
    <t xml:space="preserve">Error</t>
  </si>
  <si>
    <t xml:space="preserve">3_cylinder/cyl_rand_axis/Col_clust</t>
  </si>
  <si>
    <t xml:space="preserve">MAPE</t>
  </si>
  <si>
    <t xml:space="preserve">5_torus/torus_z/Col_class</t>
  </si>
  <si>
    <t xml:space="preserve">#e65a49</t>
  </si>
  <si>
    <t xml:space="preserve">Original</t>
  </si>
  <si>
    <t xml:space="preserve">Clustering</t>
  </si>
  <si>
    <t xml:space="preserve">Classification</t>
  </si>
  <si>
    <t xml:space="preserve">5_torus/torus_z</t>
  </si>
  <si>
    <t xml:space="preserve">Error Clustering</t>
  </si>
  <si>
    <t xml:space="preserve">Error Classification</t>
  </si>
  <si>
    <t xml:space="preserve">1_cuboid/cube_z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</si>
</sst>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05"/>
        <bgColor rgb="FFFEFEFE"/>
      </patternFill>
    </fill>
    <fill>
      <patternFill patternType="solid">
        <fgColor rgb="FFE65B4B"/>
        <bgColor rgb="FFE65A4A"/>
      </patternFill>
    </fill>
    <fill>
      <patternFill patternType="solid">
        <fgColor rgb="FFFFFFFF"/>
        <bgColor rgb="FFFEFEFE"/>
      </patternFill>
    </fill>
    <fill>
      <patternFill patternType="solid">
        <fgColor rgb="FFE65A4A"/>
        <bgColor rgb="FFE65A49"/>
      </patternFill>
    </fill>
    <fill>
      <patternFill patternType="solid">
        <fgColor rgb="FFFEFEFE"/>
        <bgColor rgb="FFFFFFFF"/>
      </patternFill>
    </fill>
    <fill>
      <patternFill patternType="solid">
        <fgColor rgb="FFE65A49"/>
        <bgColor rgb="FFE65A4A"/>
      </patternFill>
    </fill>
    <fill>
      <patternFill patternType="solid">
        <fgColor rgb="FFFFD7D7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5A4A"/>
      <rgbColor rgb="FFFEFEFE"/>
      <rgbColor rgb="FFF2F2F2"/>
      <rgbColor rgb="FF660066"/>
      <rgbColor rgb="FFE65B4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16.27"/>
    <col collapsed="false" customWidth="true" hidden="false" outlineLevel="0" max="7" min="7" style="1" width="14.34"/>
    <col collapsed="false" customWidth="true" hidden="false" outlineLevel="0" max="8" min="8" style="1" width="19.89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4336</v>
      </c>
      <c r="D4" s="12" t="n">
        <v>155664</v>
      </c>
      <c r="E4" s="2" t="n">
        <v>4336</v>
      </c>
      <c r="F4" s="13" t="n">
        <v>155664</v>
      </c>
      <c r="G4" s="2" t="n">
        <v>4336</v>
      </c>
      <c r="H4" s="12" t="n">
        <v>155664</v>
      </c>
    </row>
    <row r="5" customFormat="false" ht="15" hidden="false" customHeight="false" outlineLevel="0" collapsed="false">
      <c r="A5" s="7"/>
      <c r="B5" s="2" t="n">
        <v>1</v>
      </c>
      <c r="C5" s="11" t="n">
        <v>6022</v>
      </c>
      <c r="D5" s="12" t="n">
        <v>153978</v>
      </c>
      <c r="E5" s="2" t="n">
        <v>6000</v>
      </c>
      <c r="F5" s="13" t="n">
        <v>154000</v>
      </c>
      <c r="G5" s="2" t="n">
        <v>6029</v>
      </c>
      <c r="H5" s="12" t="n">
        <v>153971</v>
      </c>
    </row>
    <row r="6" customFormat="false" ht="15" hidden="false" customHeight="false" outlineLevel="0" collapsed="false">
      <c r="A6" s="7"/>
      <c r="B6" s="2" t="n">
        <v>2</v>
      </c>
      <c r="C6" s="11" t="n">
        <v>7298</v>
      </c>
      <c r="D6" s="12" t="n">
        <v>152702</v>
      </c>
      <c r="E6" s="2" t="n">
        <v>7221</v>
      </c>
      <c r="F6" s="13" t="n">
        <v>152779</v>
      </c>
      <c r="G6" s="2" t="n">
        <v>7298</v>
      </c>
      <c r="H6" s="12" t="n">
        <v>152702</v>
      </c>
    </row>
    <row r="7" customFormat="false" ht="15" hidden="false" customHeight="false" outlineLevel="0" collapsed="false">
      <c r="A7" s="7"/>
      <c r="B7" s="2" t="n">
        <v>3</v>
      </c>
      <c r="C7" s="11" t="n">
        <v>8279</v>
      </c>
      <c r="D7" s="12" t="n">
        <v>151721</v>
      </c>
      <c r="E7" s="2" t="n">
        <v>8180</v>
      </c>
      <c r="F7" s="13" t="n">
        <v>151820</v>
      </c>
      <c r="G7" s="2" t="n">
        <v>8284</v>
      </c>
      <c r="H7" s="12" t="n">
        <v>151716</v>
      </c>
    </row>
    <row r="8" customFormat="false" ht="15" hidden="false" customHeight="false" outlineLevel="0" collapsed="false">
      <c r="A8" s="7"/>
      <c r="B8" s="2" t="n">
        <v>4</v>
      </c>
      <c r="C8" s="11" t="n">
        <v>9153</v>
      </c>
      <c r="D8" s="12" t="n">
        <v>150847</v>
      </c>
      <c r="E8" s="2" t="n">
        <v>9082</v>
      </c>
      <c r="F8" s="13" t="n">
        <v>150918</v>
      </c>
      <c r="G8" s="2" t="n">
        <v>9157</v>
      </c>
      <c r="H8" s="12" t="n">
        <v>150843</v>
      </c>
    </row>
    <row r="9" customFormat="false" ht="15" hidden="false" customHeight="false" outlineLevel="0" collapsed="false">
      <c r="A9" s="7"/>
      <c r="B9" s="2" t="n">
        <v>5</v>
      </c>
      <c r="C9" s="11" t="n">
        <v>9876</v>
      </c>
      <c r="D9" s="12" t="n">
        <v>150124</v>
      </c>
      <c r="E9" s="2" t="n">
        <v>9808</v>
      </c>
      <c r="F9" s="13" t="n">
        <v>150192</v>
      </c>
      <c r="G9" s="2" t="n">
        <v>9882</v>
      </c>
      <c r="H9" s="12" t="n">
        <v>150118</v>
      </c>
    </row>
    <row r="10" customFormat="false" ht="15" hidden="false" customHeight="false" outlineLevel="0" collapsed="false">
      <c r="A10" s="7"/>
      <c r="B10" s="2" t="n">
        <v>6</v>
      </c>
      <c r="C10" s="11" t="n">
        <v>10520</v>
      </c>
      <c r="D10" s="12" t="n">
        <v>149480</v>
      </c>
      <c r="E10" s="2" t="n">
        <v>10444</v>
      </c>
      <c r="F10" s="13" t="n">
        <v>149556</v>
      </c>
      <c r="G10" s="2" t="n">
        <v>10523</v>
      </c>
      <c r="H10" s="12" t="n">
        <v>149477</v>
      </c>
    </row>
    <row r="11" customFormat="false" ht="15" hidden="false" customHeight="false" outlineLevel="0" collapsed="false">
      <c r="A11" s="7"/>
      <c r="B11" s="2" t="n">
        <v>7</v>
      </c>
      <c r="C11" s="11" t="n">
        <v>11032</v>
      </c>
      <c r="D11" s="12" t="n">
        <v>148968</v>
      </c>
      <c r="E11" s="2" t="n">
        <v>10952</v>
      </c>
      <c r="F11" s="13" t="n">
        <v>149048</v>
      </c>
      <c r="G11" s="2" t="n">
        <v>11032</v>
      </c>
      <c r="H11" s="12" t="n">
        <v>148968</v>
      </c>
    </row>
    <row r="12" customFormat="false" ht="15" hidden="false" customHeight="false" outlineLevel="0" collapsed="false">
      <c r="A12" s="7"/>
      <c r="B12" s="2" t="n">
        <v>8</v>
      </c>
      <c r="C12" s="11" t="n">
        <v>11556</v>
      </c>
      <c r="D12" s="12" t="n">
        <v>148444</v>
      </c>
      <c r="E12" s="2" t="n">
        <v>11490</v>
      </c>
      <c r="F12" s="13" t="n">
        <v>148510</v>
      </c>
      <c r="G12" s="2" t="n">
        <v>11556</v>
      </c>
      <c r="H12" s="12" t="n">
        <v>148444</v>
      </c>
    </row>
    <row r="13" customFormat="false" ht="15" hidden="false" customHeight="false" outlineLevel="0" collapsed="false">
      <c r="A13" s="7"/>
      <c r="B13" s="2" t="n">
        <v>9</v>
      </c>
      <c r="C13" s="11" t="n">
        <v>11981</v>
      </c>
      <c r="D13" s="12" t="n">
        <v>148019</v>
      </c>
      <c r="E13" s="2" t="n">
        <v>11882</v>
      </c>
      <c r="F13" s="13" t="n">
        <v>148118</v>
      </c>
      <c r="G13" s="2" t="n">
        <v>11985</v>
      </c>
      <c r="H13" s="12" t="n">
        <v>148015</v>
      </c>
    </row>
    <row r="14" customFormat="false" ht="15" hidden="false" customHeight="false" outlineLevel="0" collapsed="false">
      <c r="A14" s="7"/>
      <c r="B14" s="2" t="n">
        <v>10</v>
      </c>
      <c r="C14" s="11" t="n">
        <v>12327</v>
      </c>
      <c r="D14" s="12" t="n">
        <v>147673</v>
      </c>
      <c r="E14" s="2" t="n">
        <v>12240</v>
      </c>
      <c r="F14" s="13" t="n">
        <v>147760</v>
      </c>
      <c r="G14" s="2" t="n">
        <v>12328</v>
      </c>
      <c r="H14" s="12" t="n">
        <v>147672</v>
      </c>
    </row>
    <row r="15" customFormat="false" ht="15" hidden="false" customHeight="false" outlineLevel="0" collapsed="false">
      <c r="A15" s="7"/>
      <c r="B15" s="2" t="n">
        <v>11</v>
      </c>
      <c r="C15" s="11" t="n">
        <v>12685</v>
      </c>
      <c r="D15" s="12" t="n">
        <v>147315</v>
      </c>
      <c r="E15" s="2" t="n">
        <v>12542</v>
      </c>
      <c r="F15" s="13" t="n">
        <v>147458</v>
      </c>
      <c r="G15" s="2" t="n">
        <v>12689</v>
      </c>
      <c r="H15" s="12" t="n">
        <v>147311</v>
      </c>
    </row>
    <row r="16" customFormat="false" ht="15" hidden="false" customHeight="false" outlineLevel="0" collapsed="false">
      <c r="A16" s="7"/>
      <c r="B16" s="2" t="n">
        <v>12</v>
      </c>
      <c r="C16" s="11" t="n">
        <v>12917</v>
      </c>
      <c r="D16" s="12" t="n">
        <v>147083</v>
      </c>
      <c r="E16" s="2" t="n">
        <v>12861</v>
      </c>
      <c r="F16" s="13" t="n">
        <v>147139</v>
      </c>
      <c r="G16" s="2" t="n">
        <v>12924</v>
      </c>
      <c r="H16" s="12" t="n">
        <v>147076</v>
      </c>
    </row>
    <row r="17" customFormat="false" ht="15" hidden="false" customHeight="false" outlineLevel="0" collapsed="false">
      <c r="A17" s="7"/>
      <c r="B17" s="2" t="n">
        <v>13</v>
      </c>
      <c r="C17" s="11" t="n">
        <v>13197</v>
      </c>
      <c r="D17" s="12" t="n">
        <v>146803</v>
      </c>
      <c r="E17" s="2" t="n">
        <v>13063</v>
      </c>
      <c r="F17" s="13" t="n">
        <v>146937</v>
      </c>
      <c r="G17" s="2" t="n">
        <v>13203</v>
      </c>
      <c r="H17" s="12" t="n">
        <v>146797</v>
      </c>
    </row>
    <row r="18" customFormat="false" ht="15" hidden="false" customHeight="false" outlineLevel="0" collapsed="false">
      <c r="A18" s="7"/>
      <c r="B18" s="2" t="n">
        <v>14</v>
      </c>
      <c r="C18" s="11" t="n">
        <v>13421</v>
      </c>
      <c r="D18" s="12" t="n">
        <v>146579</v>
      </c>
      <c r="E18" s="2" t="n">
        <v>13308</v>
      </c>
      <c r="F18" s="13" t="n">
        <v>146692</v>
      </c>
      <c r="G18" s="2" t="n">
        <v>13422</v>
      </c>
      <c r="H18" s="12" t="n">
        <v>146578</v>
      </c>
    </row>
    <row r="19" customFormat="false" ht="15" hidden="false" customHeight="false" outlineLevel="0" collapsed="false">
      <c r="A19" s="7"/>
      <c r="B19" s="2" t="n">
        <v>15</v>
      </c>
      <c r="C19" s="11" t="n">
        <v>13538</v>
      </c>
      <c r="D19" s="12" t="n">
        <v>146462</v>
      </c>
      <c r="E19" s="2" t="n">
        <v>13479</v>
      </c>
      <c r="F19" s="13" t="n">
        <v>146521</v>
      </c>
      <c r="G19" s="2" t="n">
        <v>13542</v>
      </c>
      <c r="H19" s="12" t="n">
        <v>146458</v>
      </c>
    </row>
    <row r="20" customFormat="false" ht="15" hidden="false" customHeight="false" outlineLevel="0" collapsed="false">
      <c r="A20" s="7"/>
      <c r="B20" s="2" t="n">
        <v>16</v>
      </c>
      <c r="C20" s="11" t="n">
        <v>13674</v>
      </c>
      <c r="D20" s="12" t="n">
        <v>146326</v>
      </c>
      <c r="E20" s="2" t="n">
        <v>13595</v>
      </c>
      <c r="F20" s="13" t="n">
        <v>146405</v>
      </c>
      <c r="G20" s="2" t="n">
        <v>13680</v>
      </c>
      <c r="H20" s="12" t="n">
        <v>146320</v>
      </c>
    </row>
    <row r="21" customFormat="false" ht="15" hidden="false" customHeight="false" outlineLevel="0" collapsed="false">
      <c r="A21" s="7"/>
      <c r="B21" s="2" t="n">
        <v>17</v>
      </c>
      <c r="C21" s="11" t="n">
        <v>13743</v>
      </c>
      <c r="D21" s="12" t="n">
        <v>146257</v>
      </c>
      <c r="E21" s="2" t="n">
        <v>13644</v>
      </c>
      <c r="F21" s="13" t="n">
        <v>146356</v>
      </c>
      <c r="G21" s="2" t="n">
        <v>13743</v>
      </c>
      <c r="H21" s="12" t="n">
        <v>146257</v>
      </c>
    </row>
    <row r="22" customFormat="false" ht="15" hidden="false" customHeight="false" outlineLevel="0" collapsed="false">
      <c r="A22" s="7"/>
      <c r="B22" s="2" t="n">
        <v>18</v>
      </c>
      <c r="C22" s="11" t="n">
        <v>13793</v>
      </c>
      <c r="D22" s="12" t="n">
        <v>146207</v>
      </c>
      <c r="E22" s="2" t="n">
        <v>13706</v>
      </c>
      <c r="F22" s="13" t="n">
        <v>146294</v>
      </c>
      <c r="G22" s="2" t="n">
        <v>13787</v>
      </c>
      <c r="H22" s="12" t="n">
        <v>146213</v>
      </c>
    </row>
    <row r="23" customFormat="false" ht="15" hidden="false" customHeight="false" outlineLevel="0" collapsed="false">
      <c r="A23" s="7"/>
      <c r="B23" s="2" t="n">
        <v>19</v>
      </c>
      <c r="C23" s="11" t="n">
        <v>13807</v>
      </c>
      <c r="D23" s="12" t="n">
        <v>146193</v>
      </c>
      <c r="E23" s="2" t="n">
        <v>13706</v>
      </c>
      <c r="F23" s="13" t="n">
        <v>146294</v>
      </c>
      <c r="G23" s="2" t="n">
        <v>13811</v>
      </c>
      <c r="H23" s="12" t="n">
        <v>146189</v>
      </c>
    </row>
    <row r="24" customFormat="false" ht="15" hidden="false" customHeight="false" outlineLevel="0" collapsed="false">
      <c r="A24" s="7"/>
      <c r="B24" s="2" t="n">
        <v>20</v>
      </c>
      <c r="C24" s="11" t="n">
        <v>13798</v>
      </c>
      <c r="D24" s="12" t="n">
        <v>146202</v>
      </c>
      <c r="E24" s="2" t="n">
        <v>13704</v>
      </c>
      <c r="F24" s="13" t="n">
        <v>146296</v>
      </c>
      <c r="G24" s="2" t="n">
        <v>13800</v>
      </c>
      <c r="H24" s="12" t="n">
        <v>146200</v>
      </c>
    </row>
    <row r="25" customFormat="false" ht="15" hidden="false" customHeight="false" outlineLevel="0" collapsed="false">
      <c r="A25" s="7"/>
      <c r="B25" s="2" t="n">
        <v>21</v>
      </c>
      <c r="C25" s="11" t="n">
        <v>13734</v>
      </c>
      <c r="D25" s="12" t="n">
        <v>146266</v>
      </c>
      <c r="E25" s="2" t="n">
        <v>13633</v>
      </c>
      <c r="F25" s="13" t="n">
        <v>146367</v>
      </c>
      <c r="G25" s="2" t="n">
        <v>13731</v>
      </c>
      <c r="H25" s="12" t="n">
        <v>146269</v>
      </c>
    </row>
    <row r="26" customFormat="false" ht="15" hidden="false" customHeight="false" outlineLevel="0" collapsed="false">
      <c r="A26" s="7"/>
      <c r="B26" s="2" t="n">
        <v>22</v>
      </c>
      <c r="C26" s="11" t="n">
        <v>13677</v>
      </c>
      <c r="D26" s="12" t="n">
        <v>146323</v>
      </c>
      <c r="E26" s="2" t="n">
        <v>13609</v>
      </c>
      <c r="F26" s="13" t="n">
        <v>146391</v>
      </c>
      <c r="G26" s="2" t="n">
        <v>13683</v>
      </c>
      <c r="H26" s="12" t="n">
        <v>146317</v>
      </c>
    </row>
    <row r="27" customFormat="false" ht="15" hidden="false" customHeight="false" outlineLevel="0" collapsed="false">
      <c r="A27" s="7"/>
      <c r="B27" s="2" t="n">
        <v>23</v>
      </c>
      <c r="C27" s="11" t="n">
        <v>13530</v>
      </c>
      <c r="D27" s="12" t="n">
        <v>146470</v>
      </c>
      <c r="E27" s="2" t="n">
        <v>13379</v>
      </c>
      <c r="F27" s="13" t="n">
        <v>146621</v>
      </c>
      <c r="G27" s="2" t="n">
        <v>13533</v>
      </c>
      <c r="H27" s="12" t="n">
        <v>146467</v>
      </c>
    </row>
    <row r="28" customFormat="false" ht="15" hidden="false" customHeight="false" outlineLevel="0" collapsed="false">
      <c r="A28" s="7"/>
      <c r="B28" s="2" t="n">
        <v>24</v>
      </c>
      <c r="C28" s="11" t="n">
        <v>13411</v>
      </c>
      <c r="D28" s="12" t="n">
        <v>146589</v>
      </c>
      <c r="E28" s="2" t="n">
        <v>13283</v>
      </c>
      <c r="F28" s="13" t="n">
        <v>146717</v>
      </c>
      <c r="G28" s="2" t="n">
        <v>13417</v>
      </c>
      <c r="H28" s="12" t="n">
        <v>146583</v>
      </c>
    </row>
    <row r="29" customFormat="false" ht="15" hidden="false" customHeight="false" outlineLevel="0" collapsed="false">
      <c r="A29" s="7"/>
      <c r="B29" s="2" t="n">
        <v>25</v>
      </c>
      <c r="C29" s="11" t="n">
        <v>13204</v>
      </c>
      <c r="D29" s="12" t="n">
        <v>146796</v>
      </c>
      <c r="E29" s="2" t="n">
        <v>13139</v>
      </c>
      <c r="F29" s="13" t="n">
        <v>146861</v>
      </c>
      <c r="G29" s="2" t="n">
        <v>13206</v>
      </c>
      <c r="H29" s="12" t="n">
        <v>146794</v>
      </c>
    </row>
    <row r="30" customFormat="false" ht="15" hidden="false" customHeight="false" outlineLevel="0" collapsed="false">
      <c r="A30" s="7"/>
      <c r="B30" s="2" t="n">
        <v>26</v>
      </c>
      <c r="C30" s="11" t="n">
        <v>12920</v>
      </c>
      <c r="D30" s="12" t="n">
        <v>147080</v>
      </c>
      <c r="E30" s="2" t="n">
        <v>12851</v>
      </c>
      <c r="F30" s="13" t="n">
        <v>147149</v>
      </c>
      <c r="G30" s="2" t="n">
        <v>12926</v>
      </c>
      <c r="H30" s="12" t="n">
        <v>147074</v>
      </c>
    </row>
    <row r="31" customFormat="false" ht="15" hidden="false" customHeight="false" outlineLevel="0" collapsed="false">
      <c r="A31" s="7"/>
      <c r="B31" s="2" t="n">
        <v>27</v>
      </c>
      <c r="C31" s="11" t="n">
        <v>12683</v>
      </c>
      <c r="D31" s="12" t="n">
        <v>147317</v>
      </c>
      <c r="E31" s="2" t="n">
        <v>12585</v>
      </c>
      <c r="F31" s="13" t="n">
        <v>147415</v>
      </c>
      <c r="G31" s="2" t="n">
        <v>12693</v>
      </c>
      <c r="H31" s="12" t="n">
        <v>147307</v>
      </c>
    </row>
    <row r="32" customFormat="false" ht="15" hidden="false" customHeight="false" outlineLevel="0" collapsed="false">
      <c r="A32" s="7"/>
      <c r="B32" s="2" t="n">
        <v>28</v>
      </c>
      <c r="C32" s="11" t="n">
        <v>12328</v>
      </c>
      <c r="D32" s="12" t="n">
        <v>147672</v>
      </c>
      <c r="E32" s="2" t="n">
        <v>12266</v>
      </c>
      <c r="F32" s="13" t="n">
        <v>147734</v>
      </c>
      <c r="G32" s="2" t="n">
        <v>12328</v>
      </c>
      <c r="H32" s="12" t="n">
        <v>147672</v>
      </c>
    </row>
    <row r="33" customFormat="false" ht="15" hidden="false" customHeight="false" outlineLevel="0" collapsed="false">
      <c r="A33" s="7"/>
      <c r="B33" s="2" t="n">
        <v>29</v>
      </c>
      <c r="C33" s="11" t="n">
        <v>11978</v>
      </c>
      <c r="D33" s="12" t="n">
        <v>148022</v>
      </c>
      <c r="E33" s="2" t="n">
        <v>11905</v>
      </c>
      <c r="F33" s="13" t="n">
        <v>148095</v>
      </c>
      <c r="G33" s="2" t="n">
        <v>11981</v>
      </c>
      <c r="H33" s="12" t="n">
        <v>148019</v>
      </c>
    </row>
    <row r="34" customFormat="false" ht="15" hidden="false" customHeight="false" outlineLevel="0" collapsed="false">
      <c r="A34" s="7"/>
      <c r="B34" s="2" t="n">
        <v>30</v>
      </c>
      <c r="C34" s="11" t="n">
        <v>11556</v>
      </c>
      <c r="D34" s="12" t="n">
        <v>148444</v>
      </c>
      <c r="E34" s="2" t="n">
        <v>11465</v>
      </c>
      <c r="F34" s="13" t="n">
        <v>148535</v>
      </c>
      <c r="G34" s="2" t="n">
        <v>11564</v>
      </c>
      <c r="H34" s="12" t="n">
        <v>148436</v>
      </c>
    </row>
    <row r="35" customFormat="false" ht="15" hidden="false" customHeight="false" outlineLevel="0" collapsed="false">
      <c r="A35" s="7"/>
      <c r="B35" s="2" t="n">
        <v>31</v>
      </c>
      <c r="C35" s="11" t="n">
        <v>11036</v>
      </c>
      <c r="D35" s="12" t="n">
        <v>148964</v>
      </c>
      <c r="E35" s="2" t="n">
        <v>10953</v>
      </c>
      <c r="F35" s="13" t="n">
        <v>149047</v>
      </c>
      <c r="G35" s="2" t="n">
        <v>11038</v>
      </c>
      <c r="H35" s="12" t="n">
        <v>148962</v>
      </c>
    </row>
    <row r="36" customFormat="false" ht="15" hidden="false" customHeight="false" outlineLevel="0" collapsed="false">
      <c r="A36" s="7"/>
      <c r="B36" s="2" t="n">
        <v>32</v>
      </c>
      <c r="C36" s="11" t="n">
        <v>10519</v>
      </c>
      <c r="D36" s="12" t="n">
        <v>149481</v>
      </c>
      <c r="E36" s="2" t="n">
        <v>10442</v>
      </c>
      <c r="F36" s="13" t="n">
        <v>149558</v>
      </c>
      <c r="G36" s="2" t="n">
        <v>10520</v>
      </c>
      <c r="H36" s="12" t="n">
        <v>149480</v>
      </c>
    </row>
    <row r="37" customFormat="false" ht="15" hidden="false" customHeight="false" outlineLevel="0" collapsed="false">
      <c r="A37" s="7"/>
      <c r="B37" s="2" t="n">
        <v>33</v>
      </c>
      <c r="C37" s="11" t="n">
        <v>9871</v>
      </c>
      <c r="D37" s="12" t="n">
        <v>150129</v>
      </c>
      <c r="E37" s="2" t="n">
        <v>9725</v>
      </c>
      <c r="F37" s="13" t="n">
        <v>150275</v>
      </c>
      <c r="G37" s="2" t="n">
        <v>9871</v>
      </c>
      <c r="H37" s="12" t="n">
        <v>150129</v>
      </c>
    </row>
    <row r="38" customFormat="false" ht="15" hidden="false" customHeight="false" outlineLevel="0" collapsed="false">
      <c r="A38" s="7"/>
      <c r="B38" s="2" t="n">
        <v>34</v>
      </c>
      <c r="C38" s="11" t="n">
        <v>9155</v>
      </c>
      <c r="D38" s="12" t="n">
        <v>150845</v>
      </c>
      <c r="E38" s="2" t="n">
        <v>9093</v>
      </c>
      <c r="F38" s="13" t="n">
        <v>150907</v>
      </c>
      <c r="G38" s="2" t="n">
        <v>9160</v>
      </c>
      <c r="H38" s="12" t="n">
        <v>150840</v>
      </c>
    </row>
    <row r="39" customFormat="false" ht="15" hidden="false" customHeight="false" outlineLevel="0" collapsed="false">
      <c r="A39" s="7"/>
      <c r="B39" s="2" t="n">
        <v>35</v>
      </c>
      <c r="C39" s="11" t="n">
        <v>8283</v>
      </c>
      <c r="D39" s="12" t="n">
        <v>151717</v>
      </c>
      <c r="E39" s="2" t="n">
        <v>8189</v>
      </c>
      <c r="F39" s="13" t="n">
        <v>151811</v>
      </c>
      <c r="G39" s="2" t="n">
        <v>8285</v>
      </c>
      <c r="H39" s="12" t="n">
        <v>151715</v>
      </c>
    </row>
    <row r="40" customFormat="false" ht="15" hidden="false" customHeight="false" outlineLevel="0" collapsed="false">
      <c r="A40" s="7"/>
      <c r="B40" s="2" t="n">
        <v>36</v>
      </c>
      <c r="C40" s="11" t="n">
        <v>7295</v>
      </c>
      <c r="D40" s="12" t="n">
        <v>152705</v>
      </c>
      <c r="E40" s="2" t="n">
        <v>7189</v>
      </c>
      <c r="F40" s="13" t="n">
        <v>152811</v>
      </c>
      <c r="G40" s="2" t="n">
        <v>7299</v>
      </c>
      <c r="H40" s="12" t="n">
        <v>152701</v>
      </c>
    </row>
    <row r="41" customFormat="false" ht="15" hidden="false" customHeight="false" outlineLevel="0" collapsed="false">
      <c r="A41" s="7"/>
      <c r="B41" s="2" t="n">
        <v>37</v>
      </c>
      <c r="C41" s="11" t="n">
        <v>6019</v>
      </c>
      <c r="D41" s="12" t="n">
        <v>153981</v>
      </c>
      <c r="E41" s="2" t="n">
        <v>5937</v>
      </c>
      <c r="F41" s="13" t="n">
        <v>154063</v>
      </c>
      <c r="G41" s="2" t="n">
        <v>6028</v>
      </c>
      <c r="H41" s="12" t="n">
        <v>153972</v>
      </c>
    </row>
    <row r="42" customFormat="false" ht="15" hidden="false" customHeight="false" outlineLevel="0" collapsed="false">
      <c r="A42" s="7"/>
      <c r="B42" s="2" t="n">
        <v>38</v>
      </c>
      <c r="C42" s="11" t="n">
        <v>4347</v>
      </c>
      <c r="D42" s="12" t="n">
        <v>155653</v>
      </c>
      <c r="E42" s="2" t="n">
        <v>4273</v>
      </c>
      <c r="F42" s="13" t="n">
        <v>155727</v>
      </c>
      <c r="G42" s="2" t="n">
        <v>4354</v>
      </c>
      <c r="H42" s="12" t="n">
        <v>155646</v>
      </c>
    </row>
    <row r="43" customFormat="false" ht="15" hidden="false" customHeight="false" outlineLevel="0" collapsed="false">
      <c r="A43" s="7"/>
      <c r="B43" s="14" t="s">
        <v>8</v>
      </c>
      <c r="C43" s="15" t="n">
        <f aca="false">SUM(C4:C42)</f>
        <v>432499</v>
      </c>
      <c r="D43" s="16" t="n">
        <f aca="false">SUM(D4:D42)</f>
        <v>5807501</v>
      </c>
      <c r="E43" s="17" t="n">
        <f aca="false">SUM(E4:E42)</f>
        <v>429159</v>
      </c>
      <c r="F43" s="18" t="n">
        <f aca="false">SUM(F4:F42)</f>
        <v>5810841</v>
      </c>
      <c r="G43" s="17" t="n">
        <f aca="false">SUM(G4:G42)</f>
        <v>432628</v>
      </c>
      <c r="H43" s="16" t="n">
        <f aca="false">SUM(H4:H42)</f>
        <v>5807372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19" t="s">
        <v>0</v>
      </c>
      <c r="C48" s="20" t="s">
        <v>9</v>
      </c>
      <c r="D48" s="20"/>
      <c r="E48" s="20"/>
      <c r="F48" s="20"/>
      <c r="G48" s="20"/>
      <c r="H48" s="20"/>
    </row>
    <row r="49" customFormat="false" ht="15" hidden="false" customHeight="false" outlineLevel="0" collapsed="false">
      <c r="A49" s="2"/>
      <c r="B49" s="19"/>
      <c r="C49" s="20" t="s">
        <v>3</v>
      </c>
      <c r="D49" s="20"/>
      <c r="E49" s="20"/>
      <c r="F49" s="6" t="s">
        <v>4</v>
      </c>
      <c r="G49" s="6"/>
      <c r="H49" s="6"/>
    </row>
    <row r="50" customFormat="false" ht="15" hidden="false" customHeight="false" outlineLevel="0" collapsed="false">
      <c r="A50" s="7" t="s">
        <v>10</v>
      </c>
      <c r="B50" s="19"/>
      <c r="C50" s="21" t="str">
        <f aca="false">C3</f>
        <v>#e65b4b</v>
      </c>
      <c r="D50" s="22" t="str">
        <f aca="false">D3</f>
        <v>#ffffff</v>
      </c>
      <c r="E50" s="23"/>
      <c r="F50" s="24" t="str">
        <f aca="false">G3</f>
        <v>#e65b4b</v>
      </c>
      <c r="G50" s="22" t="str">
        <f aca="false">H3</f>
        <v>#ffffff</v>
      </c>
      <c r="H50" s="23"/>
    </row>
    <row r="51" customFormat="false" ht="15" hidden="false" customHeight="false" outlineLevel="0" collapsed="false">
      <c r="A51" s="7"/>
      <c r="B51" s="25" t="n">
        <v>0</v>
      </c>
      <c r="C51" s="11" t="n">
        <f aca="false">(ABS(C4-E4)/C4)*100</f>
        <v>0</v>
      </c>
      <c r="D51" s="25" t="n">
        <f aca="false">(ABS(D4-F4)/D4)*100</f>
        <v>0</v>
      </c>
      <c r="E51" s="23"/>
      <c r="F51" s="25" t="n">
        <f aca="false">(ABS(C4-G4)/C4)*100</f>
        <v>0</v>
      </c>
      <c r="G51" s="25" t="n">
        <f aca="false">(ABS(D4-H4)/D4)*100</f>
        <v>0</v>
      </c>
      <c r="H51" s="23"/>
    </row>
    <row r="52" customFormat="false" ht="15" hidden="false" customHeight="false" outlineLevel="0" collapsed="false">
      <c r="A52" s="7"/>
      <c r="B52" s="25" t="n">
        <v>1</v>
      </c>
      <c r="C52" s="11" t="n">
        <f aca="false">(ABS(C5-E5)/C5)*100</f>
        <v>0.365327133842577</v>
      </c>
      <c r="D52" s="25" t="n">
        <f aca="false">(ABS(D5-F5)/D5)*100</f>
        <v>0.0142877553936277</v>
      </c>
      <c r="E52" s="23"/>
      <c r="F52" s="25" t="n">
        <f aca="false">(ABS(C5-G5)/C5)*100</f>
        <v>0.116240451677184</v>
      </c>
      <c r="G52" s="25" t="n">
        <f aca="false">(ABS(D5-H5)/D5)*100</f>
        <v>0.00454610398888153</v>
      </c>
      <c r="H52" s="23"/>
    </row>
    <row r="53" customFormat="false" ht="15" hidden="false" customHeight="false" outlineLevel="0" collapsed="false">
      <c r="A53" s="7"/>
      <c r="B53" s="25" t="n">
        <v>2</v>
      </c>
      <c r="C53" s="11" t="n">
        <f aca="false">(ABS(C6-E6)/C6)*100</f>
        <v>1.05508358454371</v>
      </c>
      <c r="D53" s="25" t="n">
        <f aca="false">(ABS(D6-F6)/D6)*100</f>
        <v>0.0504250108053595</v>
      </c>
      <c r="E53" s="23"/>
      <c r="F53" s="25" t="n">
        <f aca="false">(ABS(C6-G6)/C6)*100</f>
        <v>0</v>
      </c>
      <c r="G53" s="25" t="n">
        <f aca="false">(ABS(D6-H6)/D6)*100</f>
        <v>0</v>
      </c>
      <c r="H53" s="23"/>
    </row>
    <row r="54" customFormat="false" ht="15" hidden="false" customHeight="false" outlineLevel="0" collapsed="false">
      <c r="A54" s="7"/>
      <c r="B54" s="25" t="n">
        <v>3</v>
      </c>
      <c r="C54" s="11" t="n">
        <f aca="false">(ABS(C7-E7)/C7)*100</f>
        <v>1.19579659379152</v>
      </c>
      <c r="D54" s="25" t="n">
        <f aca="false">(ABS(D7-F7)/D7)*100</f>
        <v>0.0652513495165468</v>
      </c>
      <c r="E54" s="23"/>
      <c r="F54" s="25" t="n">
        <f aca="false">(ABS(C7-G7)/C7)*100</f>
        <v>0.0603937673632081</v>
      </c>
      <c r="G54" s="25" t="n">
        <f aca="false">(ABS(D7-H7)/D7)*100</f>
        <v>0.0032955227028559</v>
      </c>
      <c r="H54" s="23"/>
    </row>
    <row r="55" customFormat="false" ht="15" hidden="false" customHeight="false" outlineLevel="0" collapsed="false">
      <c r="A55" s="7"/>
      <c r="B55" s="25" t="n">
        <v>4</v>
      </c>
      <c r="C55" s="11" t="n">
        <f aca="false">(ABS(C8-E8)/C8)*100</f>
        <v>0.775701955642959</v>
      </c>
      <c r="D55" s="25" t="n">
        <f aca="false">(ABS(D8-F8)/D8)*100</f>
        <v>0.0470675585195596</v>
      </c>
      <c r="E55" s="23"/>
      <c r="F55" s="25" t="n">
        <f aca="false">(ABS(C8-G8)/C8)*100</f>
        <v>0.0437015186277723</v>
      </c>
      <c r="G55" s="25" t="n">
        <f aca="false">(ABS(D8-H8)/D8)*100</f>
        <v>0.00265169343772167</v>
      </c>
      <c r="H55" s="23"/>
    </row>
    <row r="56" customFormat="false" ht="15" hidden="false" customHeight="false" outlineLevel="0" collapsed="false">
      <c r="A56" s="7"/>
      <c r="B56" s="25" t="n">
        <v>5</v>
      </c>
      <c r="C56" s="11" t="n">
        <f aca="false">(ABS(C9-E9)/C9)*100</f>
        <v>0.688537869582827</v>
      </c>
      <c r="D56" s="25" t="n">
        <f aca="false">(ABS(D9-F9)/D9)*100</f>
        <v>0.0452958887319816</v>
      </c>
      <c r="E56" s="23"/>
      <c r="F56" s="25" t="n">
        <f aca="false">(ABS(C9-G9)/C9)*100</f>
        <v>0.0607533414337789</v>
      </c>
      <c r="G56" s="25" t="n">
        <f aca="false">(ABS(D9-H9)/D9)*100</f>
        <v>0.00399669606458661</v>
      </c>
      <c r="H56" s="23"/>
    </row>
    <row r="57" customFormat="false" ht="15" hidden="false" customHeight="false" outlineLevel="0" collapsed="false">
      <c r="A57" s="7"/>
      <c r="B57" s="25" t="n">
        <v>6</v>
      </c>
      <c r="C57" s="11" t="n">
        <f aca="false">(ABS(C10-E10)/C10)*100</f>
        <v>0.722433460076046</v>
      </c>
      <c r="D57" s="25" t="n">
        <f aca="false">(ABS(D10-F10)/D10)*100</f>
        <v>0.0508429221300508</v>
      </c>
      <c r="E57" s="23"/>
      <c r="F57" s="25" t="n">
        <f aca="false">(ABS(C10-G10)/C10)*100</f>
        <v>0.0285171102661597</v>
      </c>
      <c r="G57" s="25" t="n">
        <f aca="false">(ABS(D10-H10)/D10)*100</f>
        <v>0.00200695745250201</v>
      </c>
      <c r="H57" s="23"/>
    </row>
    <row r="58" customFormat="false" ht="15" hidden="false" customHeight="false" outlineLevel="0" collapsed="false">
      <c r="A58" s="7"/>
      <c r="B58" s="25" t="n">
        <v>7</v>
      </c>
      <c r="C58" s="11" t="n">
        <f aca="false">(ABS(C11-E11)/C11)*100</f>
        <v>0.725163161711385</v>
      </c>
      <c r="D58" s="25" t="n">
        <f aca="false">(ABS(D11-F11)/D11)*100</f>
        <v>0.0537028086568928</v>
      </c>
      <c r="E58" s="23"/>
      <c r="F58" s="25" t="n">
        <f aca="false">(ABS(C11-G11)/C11)*100</f>
        <v>0</v>
      </c>
      <c r="G58" s="25" t="n">
        <f aca="false">(ABS(D11-H11)/D11)*100</f>
        <v>0</v>
      </c>
      <c r="H58" s="23"/>
    </row>
    <row r="59" customFormat="false" ht="15" hidden="false" customHeight="false" outlineLevel="0" collapsed="false">
      <c r="A59" s="7"/>
      <c r="B59" s="25" t="n">
        <v>8</v>
      </c>
      <c r="C59" s="11" t="n">
        <f aca="false">(ABS(C12-E12)/C12)*100</f>
        <v>0.571131879543095</v>
      </c>
      <c r="D59" s="25" t="n">
        <f aca="false">(ABS(D12-F12)/D12)*100</f>
        <v>0.0444612109617095</v>
      </c>
      <c r="E59" s="23"/>
      <c r="F59" s="25" t="n">
        <f aca="false">(ABS(C12-G12)/C12)*100</f>
        <v>0</v>
      </c>
      <c r="G59" s="25" t="n">
        <f aca="false">(ABS(D12-H12)/D12)*100</f>
        <v>0</v>
      </c>
      <c r="H59" s="23"/>
    </row>
    <row r="60" customFormat="false" ht="15" hidden="false" customHeight="false" outlineLevel="0" collapsed="false">
      <c r="A60" s="7"/>
      <c r="B60" s="25" t="n">
        <v>9</v>
      </c>
      <c r="C60" s="11" t="n">
        <f aca="false">(ABS(C13-E13)/C13)*100</f>
        <v>0.826308321509056</v>
      </c>
      <c r="D60" s="25" t="n">
        <f aca="false">(ABS(D13-F13)/D13)*100</f>
        <v>0.0668833055215884</v>
      </c>
      <c r="E60" s="23"/>
      <c r="F60" s="25" t="n">
        <f aca="false">(ABS(C13-G13)/C13)*100</f>
        <v>0.0333861948084467</v>
      </c>
      <c r="G60" s="25" t="n">
        <f aca="false">(ABS(D13-H13)/D13)*100</f>
        <v>0.00270235577865004</v>
      </c>
      <c r="H60" s="23"/>
    </row>
    <row r="61" customFormat="false" ht="15" hidden="false" customHeight="false" outlineLevel="0" collapsed="false">
      <c r="A61" s="7"/>
      <c r="B61" s="25" t="n">
        <v>10</v>
      </c>
      <c r="C61" s="11" t="n">
        <f aca="false">(ABS(C14-E14)/C14)*100</f>
        <v>0.70576782672183</v>
      </c>
      <c r="D61" s="25" t="n">
        <f aca="false">(ABS(D14-F14)/D14)*100</f>
        <v>0.0589139517718202</v>
      </c>
      <c r="E61" s="23"/>
      <c r="F61" s="25" t="n">
        <f aca="false">(ABS(C14-G14)/C14)*100</f>
        <v>0.00811227387036586</v>
      </c>
      <c r="G61" s="25" t="n">
        <f aca="false">(ABS(D14-H14)/D14)*100</f>
        <v>0.000677171859446209</v>
      </c>
      <c r="H61" s="23"/>
    </row>
    <row r="62" customFormat="false" ht="15" hidden="false" customHeight="false" outlineLevel="0" collapsed="false">
      <c r="A62" s="7"/>
      <c r="B62" s="25" t="n">
        <v>11</v>
      </c>
      <c r="C62" s="11" t="n">
        <f aca="false">(ABS(C15-E15)/C15)*100</f>
        <v>1.12731572723689</v>
      </c>
      <c r="D62" s="25" t="n">
        <f aca="false">(ABS(D15-F15)/D15)*100</f>
        <v>0.0970709024878661</v>
      </c>
      <c r="E62" s="23"/>
      <c r="F62" s="25" t="n">
        <f aca="false">(ABS(C15-G15)/C15)*100</f>
        <v>0.0315333070555775</v>
      </c>
      <c r="G62" s="25" t="n">
        <f aca="false">(ABS(D15-H15)/D15)*100</f>
        <v>0.00271526999966059</v>
      </c>
      <c r="H62" s="23"/>
    </row>
    <row r="63" customFormat="false" ht="15" hidden="false" customHeight="false" outlineLevel="0" collapsed="false">
      <c r="A63" s="7"/>
      <c r="B63" s="25" t="n">
        <v>12</v>
      </c>
      <c r="C63" s="11" t="n">
        <f aca="false">(ABS(C16-E16)/C16)*100</f>
        <v>0.433537199040025</v>
      </c>
      <c r="D63" s="25" t="n">
        <f aca="false">(ABS(D16-F16)/D16)*100</f>
        <v>0.0380737406770327</v>
      </c>
      <c r="E63" s="23"/>
      <c r="F63" s="25" t="n">
        <f aca="false">(ABS(C16-G16)/C16)*100</f>
        <v>0.0541921498800031</v>
      </c>
      <c r="G63" s="25" t="n">
        <f aca="false">(ABS(D16-H16)/D16)*100</f>
        <v>0.00475921758462909</v>
      </c>
      <c r="H63" s="23"/>
    </row>
    <row r="64" customFormat="false" ht="15" hidden="false" customHeight="false" outlineLevel="0" collapsed="false">
      <c r="A64" s="7"/>
      <c r="B64" s="25" t="n">
        <v>13</v>
      </c>
      <c r="C64" s="11" t="n">
        <f aca="false">(ABS(C17-E17)/C17)*100</f>
        <v>1.01538228385239</v>
      </c>
      <c r="D64" s="25" t="n">
        <f aca="false">(ABS(D17-F17)/D17)*100</f>
        <v>0.0912787885806148</v>
      </c>
      <c r="E64" s="23"/>
      <c r="F64" s="25" t="n">
        <f aca="false">(ABS(C17-G17)/C17)*100</f>
        <v>0.0454648783814503</v>
      </c>
      <c r="G64" s="25" t="n">
        <f aca="false">(ABS(D17-H17)/D17)*100</f>
        <v>0.00408710993644544</v>
      </c>
      <c r="H64" s="23"/>
    </row>
    <row r="65" customFormat="false" ht="15" hidden="false" customHeight="false" outlineLevel="0" collapsed="false">
      <c r="A65" s="7"/>
      <c r="B65" s="25" t="n">
        <v>14</v>
      </c>
      <c r="C65" s="11" t="n">
        <f aca="false">(ABS(C18-E18)/C18)*100</f>
        <v>0.841964086133671</v>
      </c>
      <c r="D65" s="25" t="n">
        <f aca="false">(ABS(D18-F18)/D18)*100</f>
        <v>0.0770915342579769</v>
      </c>
      <c r="E65" s="23"/>
      <c r="F65" s="25" t="n">
        <f aca="false">(ABS(C18-G18)/C18)*100</f>
        <v>0.0074510096118024</v>
      </c>
      <c r="G65" s="25" t="n">
        <f aca="false">(ABS(D18-H18)/D18)*100</f>
        <v>0.000682225966884752</v>
      </c>
      <c r="H65" s="23"/>
    </row>
    <row r="66" customFormat="false" ht="15" hidden="false" customHeight="false" outlineLevel="0" collapsed="false">
      <c r="A66" s="7"/>
      <c r="B66" s="25" t="n">
        <v>15</v>
      </c>
      <c r="C66" s="11" t="n">
        <f aca="false">(ABS(C19-E19)/C19)*100</f>
        <v>0.435810311715172</v>
      </c>
      <c r="D66" s="25" t="n">
        <f aca="false">(ABS(D19-F19)/D19)*100</f>
        <v>0.0402834865016182</v>
      </c>
      <c r="E66" s="23"/>
      <c r="F66" s="25" t="n">
        <f aca="false">(ABS(C19-G19)/C19)*100</f>
        <v>0.0295464618111981</v>
      </c>
      <c r="G66" s="25" t="n">
        <f aca="false">(ABS(D19-H19)/D19)*100</f>
        <v>0.00273108383061818</v>
      </c>
      <c r="H66" s="23"/>
    </row>
    <row r="67" customFormat="false" ht="15" hidden="false" customHeight="false" outlineLevel="0" collapsed="false">
      <c r="A67" s="7"/>
      <c r="B67" s="25" t="n">
        <v>16</v>
      </c>
      <c r="C67" s="11" t="n">
        <f aca="false">(ABS(C20-E20)/C20)*100</f>
        <v>0.577738774316221</v>
      </c>
      <c r="D67" s="25" t="n">
        <f aca="false">(ABS(D20-F20)/D20)*100</f>
        <v>0.0539890381750338</v>
      </c>
      <c r="E67" s="23"/>
      <c r="F67" s="25" t="n">
        <f aca="false">(ABS(C20-G20)/C20)*100</f>
        <v>0.0438788942518649</v>
      </c>
      <c r="G67" s="25" t="n">
        <f aca="false">(ABS(D20-H20)/D20)*100</f>
        <v>0.00410043327911649</v>
      </c>
      <c r="H67" s="23"/>
    </row>
    <row r="68" customFormat="false" ht="15" hidden="false" customHeight="false" outlineLevel="0" collapsed="false">
      <c r="A68" s="7"/>
      <c r="B68" s="25" t="n">
        <v>17</v>
      </c>
      <c r="C68" s="11" t="n">
        <f aca="false">(ABS(C21-E21)/C21)*100</f>
        <v>0.720366732154551</v>
      </c>
      <c r="D68" s="25" t="n">
        <f aca="false">(ABS(D21-F21)/D21)*100</f>
        <v>0.0676890678736744</v>
      </c>
      <c r="E68" s="23"/>
      <c r="F68" s="25" t="n">
        <f aca="false">(ABS(C21-G21)/C21)*100</f>
        <v>0</v>
      </c>
      <c r="G68" s="25" t="n">
        <f aca="false">(ABS(D21-H21)/D21)*100</f>
        <v>0</v>
      </c>
      <c r="H68" s="23"/>
    </row>
    <row r="69" customFormat="false" ht="15" hidden="false" customHeight="false" outlineLevel="0" collapsed="false">
      <c r="A69" s="7"/>
      <c r="B69" s="25" t="n">
        <v>18</v>
      </c>
      <c r="C69" s="11" t="n">
        <f aca="false">(ABS(C22-E22)/C22)*100</f>
        <v>0.63075473066048</v>
      </c>
      <c r="D69" s="25" t="n">
        <f aca="false">(ABS(D22-F22)/D22)*100</f>
        <v>0.0595046748787678</v>
      </c>
      <c r="E69" s="23"/>
      <c r="F69" s="25" t="n">
        <f aca="false">(ABS(C22-G22)/C22)*100</f>
        <v>0.0435003262524469</v>
      </c>
      <c r="G69" s="25" t="n">
        <f aca="false">(ABS(D22-H22)/D22)*100</f>
        <v>0.00410377068129433</v>
      </c>
      <c r="H69" s="23"/>
    </row>
    <row r="70" customFormat="false" ht="15" hidden="false" customHeight="false" outlineLevel="0" collapsed="false">
      <c r="A70" s="7"/>
      <c r="B70" s="25" t="n">
        <v>19</v>
      </c>
      <c r="C70" s="11" t="n">
        <f aca="false">(ABS(C23-E23)/C23)*100</f>
        <v>0.731513000651843</v>
      </c>
      <c r="D70" s="25" t="n">
        <f aca="false">(ABS(D23-F23)/D23)*100</f>
        <v>0.0690867551797966</v>
      </c>
      <c r="E70" s="23"/>
      <c r="F70" s="25" t="n">
        <f aca="false">(ABS(C23-G23)/C23)*100</f>
        <v>0.0289708119070037</v>
      </c>
      <c r="G70" s="25" t="n">
        <f aca="false">(ABS(D23-H23)/D23)*100</f>
        <v>0.00273610911603155</v>
      </c>
      <c r="H70" s="23"/>
    </row>
    <row r="71" customFormat="false" ht="15" hidden="false" customHeight="false" outlineLevel="0" collapsed="false">
      <c r="A71" s="7"/>
      <c r="B71" s="25" t="n">
        <v>20</v>
      </c>
      <c r="C71" s="11" t="n">
        <f aca="false">(ABS(C24-E24)/C24)*100</f>
        <v>0.681258153355559</v>
      </c>
      <c r="D71" s="25" t="n">
        <f aca="false">(ABS(D24-F24)/D24)*100</f>
        <v>0.0642946060929399</v>
      </c>
      <c r="E71" s="23"/>
      <c r="F71" s="25" t="n">
        <f aca="false">(ABS(C24-G24)/C24)*100</f>
        <v>0.014494854326714</v>
      </c>
      <c r="G71" s="25" t="n">
        <f aca="false">(ABS(D24-H24)/D24)*100</f>
        <v>0.00136797034240298</v>
      </c>
      <c r="H71" s="23"/>
    </row>
    <row r="72" customFormat="false" ht="15" hidden="false" customHeight="false" outlineLevel="0" collapsed="false">
      <c r="A72" s="7"/>
      <c r="B72" s="25" t="n">
        <v>21</v>
      </c>
      <c r="C72" s="11" t="n">
        <f aca="false">(ABS(C25-E25)/C25)*100</f>
        <v>0.735401194116791</v>
      </c>
      <c r="D72" s="25" t="n">
        <f aca="false">(ABS(D25-F25)/D25)*100</f>
        <v>0.0690522746229472</v>
      </c>
      <c r="E72" s="23"/>
      <c r="F72" s="25" t="n">
        <f aca="false">(ABS(C25-G25)/C25)*100</f>
        <v>0.0218435998252512</v>
      </c>
      <c r="G72" s="25" t="n">
        <f aca="false">(ABS(D25-H25)/D25)*100</f>
        <v>0.00205105766206774</v>
      </c>
      <c r="H72" s="23"/>
    </row>
    <row r="73" customFormat="false" ht="15" hidden="false" customHeight="false" outlineLevel="0" collapsed="false">
      <c r="A73" s="7"/>
      <c r="B73" s="25" t="n">
        <v>22</v>
      </c>
      <c r="C73" s="11" t="n">
        <f aca="false">(ABS(C26-E26)/C26)*100</f>
        <v>0.497185055202164</v>
      </c>
      <c r="D73" s="25" t="n">
        <f aca="false">(ABS(D26-F26)/D26)*100</f>
        <v>0.0464725299508621</v>
      </c>
      <c r="E73" s="23"/>
      <c r="F73" s="25" t="n">
        <f aca="false">(ABS(C26-G26)/C26)*100</f>
        <v>0.0438692695766616</v>
      </c>
      <c r="G73" s="25" t="n">
        <f aca="false">(ABS(D26-H26)/D26)*100</f>
        <v>0.00410051734860548</v>
      </c>
      <c r="H73" s="23"/>
    </row>
    <row r="74" customFormat="false" ht="15" hidden="false" customHeight="false" outlineLevel="0" collapsed="false">
      <c r="A74" s="7"/>
      <c r="B74" s="25" t="n">
        <v>23</v>
      </c>
      <c r="C74" s="11" t="n">
        <f aca="false">(ABS(C27-E27)/C27)*100</f>
        <v>1.1160384331116</v>
      </c>
      <c r="D74" s="25" t="n">
        <f aca="false">(ABS(D27-F27)/D27)*100</f>
        <v>0.103092783505155</v>
      </c>
      <c r="E74" s="23"/>
      <c r="F74" s="25" t="n">
        <f aca="false">(ABS(C27-G27)/C27)*100</f>
        <v>0.0221729490022173</v>
      </c>
      <c r="G74" s="25" t="n">
        <f aca="false">(ABS(D27-H27)/D27)*100</f>
        <v>0.00204820099679115</v>
      </c>
      <c r="H74" s="23"/>
    </row>
    <row r="75" customFormat="false" ht="15" hidden="false" customHeight="false" outlineLevel="0" collapsed="false">
      <c r="A75" s="7"/>
      <c r="B75" s="25" t="n">
        <v>24</v>
      </c>
      <c r="C75" s="11" t="n">
        <f aca="false">(ABS(C28-E28)/C28)*100</f>
        <v>0.95444038475878</v>
      </c>
      <c r="D75" s="25" t="n">
        <f aca="false">(ABS(D28-F28)/D28)*100</f>
        <v>0.0873189666346042</v>
      </c>
      <c r="E75" s="23"/>
      <c r="F75" s="25" t="n">
        <f aca="false">(ABS(C28-G28)/C28)*100</f>
        <v>0.0447393930355678</v>
      </c>
      <c r="G75" s="25" t="n">
        <f aca="false">(ABS(D28-H28)/D28)*100</f>
        <v>0.00409307656099707</v>
      </c>
      <c r="H75" s="23"/>
    </row>
    <row r="76" customFormat="false" ht="15" hidden="false" customHeight="false" outlineLevel="0" collapsed="false">
      <c r="A76" s="7"/>
      <c r="B76" s="25" t="n">
        <v>25</v>
      </c>
      <c r="C76" s="11" t="n">
        <f aca="false">(ABS(C29-E29)/C29)*100</f>
        <v>0.492275068161163</v>
      </c>
      <c r="D76" s="25" t="n">
        <f aca="false">(ABS(D29-F29)/D29)*100</f>
        <v>0.0442791356712717</v>
      </c>
      <c r="E76" s="23"/>
      <c r="F76" s="25" t="n">
        <f aca="false">(ABS(C29-G29)/C29)*100</f>
        <v>0.0151469251741896</v>
      </c>
      <c r="G76" s="25" t="n">
        <f aca="false">(ABS(D29-H29)/D29)*100</f>
        <v>0.00136243494373144</v>
      </c>
      <c r="H76" s="23"/>
    </row>
    <row r="77" customFormat="false" ht="15" hidden="false" customHeight="false" outlineLevel="0" collapsed="false">
      <c r="A77" s="7"/>
      <c r="B77" s="25" t="n">
        <v>26</v>
      </c>
      <c r="C77" s="11" t="n">
        <f aca="false">(ABS(C30-E30)/C30)*100</f>
        <v>0.53405572755418</v>
      </c>
      <c r="D77" s="25" t="n">
        <f aca="false">(ABS(D30-F30)/D30)*100</f>
        <v>0.046913244492793</v>
      </c>
      <c r="E77" s="23"/>
      <c r="F77" s="25" t="n">
        <f aca="false">(ABS(C30-G30)/C30)*100</f>
        <v>0.0464396284829721</v>
      </c>
      <c r="G77" s="25" t="n">
        <f aca="false">(ABS(D30-H30)/D30)*100</f>
        <v>0.0040794125645907</v>
      </c>
      <c r="H77" s="23"/>
    </row>
    <row r="78" customFormat="false" ht="15" hidden="false" customHeight="false" outlineLevel="0" collapsed="false">
      <c r="A78" s="7"/>
      <c r="B78" s="25" t="n">
        <v>27</v>
      </c>
      <c r="C78" s="11" t="n">
        <f aca="false">(ABS(C31-E31)/C31)*100</f>
        <v>0.772687849877789</v>
      </c>
      <c r="D78" s="25" t="n">
        <f aca="false">(ABS(D31-F31)/D31)*100</f>
        <v>0.0665232118492774</v>
      </c>
      <c r="E78" s="23"/>
      <c r="F78" s="25" t="n">
        <f aca="false">(ABS(C31-G31)/C31)*100</f>
        <v>0.0788456989671214</v>
      </c>
      <c r="G78" s="25" t="n">
        <f aca="false">(ABS(D31-H31)/D31)*100</f>
        <v>0.006788082841763</v>
      </c>
      <c r="H78" s="23"/>
    </row>
    <row r="79" customFormat="false" ht="15" hidden="false" customHeight="false" outlineLevel="0" collapsed="false">
      <c r="A79" s="7"/>
      <c r="B79" s="25" t="n">
        <v>28</v>
      </c>
      <c r="C79" s="11" t="n">
        <f aca="false">(ABS(C32-E32)/C32)*100</f>
        <v>0.502920181700195</v>
      </c>
      <c r="D79" s="25" t="n">
        <f aca="false">(ABS(D32-F32)/D32)*100</f>
        <v>0.0419849395958611</v>
      </c>
      <c r="E79" s="23"/>
      <c r="F79" s="25" t="n">
        <f aca="false">(ABS(C32-G32)/C32)*100</f>
        <v>0</v>
      </c>
      <c r="G79" s="25" t="n">
        <f aca="false">(ABS(D32-H32)/D32)*100</f>
        <v>0</v>
      </c>
      <c r="H79" s="23"/>
    </row>
    <row r="80" customFormat="false" ht="15" hidden="false" customHeight="false" outlineLevel="0" collapsed="false">
      <c r="A80" s="7"/>
      <c r="B80" s="25" t="n">
        <v>29</v>
      </c>
      <c r="C80" s="11" t="n">
        <f aca="false">(ABS(C33-E33)/C33)*100</f>
        <v>0.609450659542495</v>
      </c>
      <c r="D80" s="25" t="n">
        <f aca="false">(ABS(D33-F33)/D33)*100</f>
        <v>0.049316993419897</v>
      </c>
      <c r="E80" s="23"/>
      <c r="F80" s="25" t="n">
        <f aca="false">(ABS(C33-G33)/C33)*100</f>
        <v>0.025045917515445</v>
      </c>
      <c r="G80" s="25" t="n">
        <f aca="false">(ABS(D33-H33)/D33)*100</f>
        <v>0.00202672575698207</v>
      </c>
      <c r="H80" s="23"/>
    </row>
    <row r="81" customFormat="false" ht="15" hidden="false" customHeight="false" outlineLevel="0" collapsed="false">
      <c r="A81" s="7"/>
      <c r="B81" s="25" t="n">
        <v>30</v>
      </c>
      <c r="C81" s="11" t="n">
        <f aca="false">(ABS(C34-E34)/C34)*100</f>
        <v>0.787469712703358</v>
      </c>
      <c r="D81" s="25" t="n">
        <f aca="false">(ABS(D34-F34)/D34)*100</f>
        <v>0.0613025787502358</v>
      </c>
      <c r="E81" s="23"/>
      <c r="F81" s="25" t="n">
        <f aca="false">(ABS(C34-G34)/C34)*100</f>
        <v>0.0692281066112842</v>
      </c>
      <c r="G81" s="25" t="n">
        <f aca="false">(ABS(D34-H34)/D34)*100</f>
        <v>0.00538923769232842</v>
      </c>
      <c r="H81" s="23"/>
    </row>
    <row r="82" customFormat="false" ht="15" hidden="false" customHeight="false" outlineLevel="0" collapsed="false">
      <c r="A82" s="7"/>
      <c r="B82" s="25" t="n">
        <v>31</v>
      </c>
      <c r="C82" s="11" t="n">
        <f aca="false">(ABS(C35-E35)/C35)*100</f>
        <v>0.75208408843784</v>
      </c>
      <c r="D82" s="25" t="n">
        <f aca="false">(ABS(D35-F35)/D35)*100</f>
        <v>0.0557181600923713</v>
      </c>
      <c r="E82" s="23"/>
      <c r="F82" s="25" t="n">
        <f aca="false">(ABS(C35-G35)/C35)*100</f>
        <v>0.0181225081551287</v>
      </c>
      <c r="G82" s="25" t="n">
        <f aca="false">(ABS(D35-H35)/D35)*100</f>
        <v>0.00134260626728606</v>
      </c>
      <c r="H82" s="23"/>
    </row>
    <row r="83" customFormat="false" ht="15" hidden="false" customHeight="false" outlineLevel="0" collapsed="false">
      <c r="A83" s="7"/>
      <c r="B83" s="25" t="n">
        <v>32</v>
      </c>
      <c r="C83" s="11" t="n">
        <f aca="false">(ABS(C36-E36)/C36)*100</f>
        <v>0.732008746078525</v>
      </c>
      <c r="D83" s="25" t="n">
        <f aca="false">(ABS(D36-F36)/D36)*100</f>
        <v>0.0515115633424984</v>
      </c>
      <c r="E83" s="23"/>
      <c r="F83" s="25" t="n">
        <f aca="false">(ABS(C36-G36)/C36)*100</f>
        <v>0.00950660709192889</v>
      </c>
      <c r="G83" s="25" t="n">
        <f aca="false">(ABS(D36-H36)/D36)*100</f>
        <v>0.000668981342110369</v>
      </c>
      <c r="H83" s="23"/>
    </row>
    <row r="84" customFormat="false" ht="15" hidden="false" customHeight="false" outlineLevel="0" collapsed="false">
      <c r="A84" s="7"/>
      <c r="B84" s="25" t="n">
        <v>33</v>
      </c>
      <c r="C84" s="11" t="n">
        <f aca="false">(ABS(C37-E37)/C37)*100</f>
        <v>1.47908013372505</v>
      </c>
      <c r="D84" s="25" t="n">
        <f aca="false">(ABS(D37-F37)/D37)*100</f>
        <v>0.0972496985925438</v>
      </c>
      <c r="E84" s="23"/>
      <c r="F84" s="25" t="n">
        <f aca="false">(ABS(C37-G37)/C37)*100</f>
        <v>0</v>
      </c>
      <c r="G84" s="25" t="n">
        <f aca="false">(ABS(D37-H37)/D37)*100</f>
        <v>0</v>
      </c>
      <c r="H84" s="23"/>
    </row>
    <row r="85" customFormat="false" ht="15" hidden="false" customHeight="false" outlineLevel="0" collapsed="false">
      <c r="A85" s="7"/>
      <c r="B85" s="25" t="n">
        <v>34</v>
      </c>
      <c r="C85" s="11" t="n">
        <f aca="false">(ABS(C38-E38)/C38)*100</f>
        <v>0.677225559803386</v>
      </c>
      <c r="D85" s="25" t="n">
        <f aca="false">(ABS(D38-F38)/D38)*100</f>
        <v>0.0411017932314628</v>
      </c>
      <c r="E85" s="23"/>
      <c r="F85" s="25" t="n">
        <f aca="false">(ABS(C38-G38)/C38)*100</f>
        <v>0.0546149645002731</v>
      </c>
      <c r="G85" s="25" t="n">
        <f aca="false">(ABS(D38-H38)/D38)*100</f>
        <v>0.0033146607444728</v>
      </c>
      <c r="H85" s="23"/>
    </row>
    <row r="86" customFormat="false" ht="15" hidden="false" customHeight="false" outlineLevel="0" collapsed="false">
      <c r="A86" s="7"/>
      <c r="B86" s="25" t="n">
        <v>35</v>
      </c>
      <c r="C86" s="11" t="n">
        <f aca="false">(ABS(C39-E39)/C39)*100</f>
        <v>1.1348545213087</v>
      </c>
      <c r="D86" s="25" t="n">
        <f aca="false">(ABS(D39-F39)/D39)*100</f>
        <v>0.0619574602714264</v>
      </c>
      <c r="E86" s="23"/>
      <c r="F86" s="25" t="n">
        <f aca="false">(ABS(C39-G39)/C39)*100</f>
        <v>0.0241458408789086</v>
      </c>
      <c r="G86" s="25" t="n">
        <f aca="false">(ABS(D39-H39)/D39)*100</f>
        <v>0.00131824383556226</v>
      </c>
      <c r="H86" s="23"/>
    </row>
    <row r="87" customFormat="false" ht="15" hidden="false" customHeight="false" outlineLevel="0" collapsed="false">
      <c r="A87" s="7"/>
      <c r="B87" s="25" t="n">
        <v>36</v>
      </c>
      <c r="C87" s="11" t="n">
        <f aca="false">(ABS(C40-E40)/C40)*100</f>
        <v>1.45305003427005</v>
      </c>
      <c r="D87" s="25" t="n">
        <f aca="false">(ABS(D40-F40)/D40)*100</f>
        <v>0.0694148849088111</v>
      </c>
      <c r="E87" s="23"/>
      <c r="F87" s="25" t="n">
        <f aca="false">(ABS(C40-G40)/C40)*100</f>
        <v>0.0548320767649075</v>
      </c>
      <c r="G87" s="25" t="n">
        <f aca="false">(ABS(D40-H40)/D40)*100</f>
        <v>0.00261942961920042</v>
      </c>
      <c r="H87" s="23"/>
    </row>
    <row r="88" customFormat="false" ht="15" hidden="false" customHeight="false" outlineLevel="0" collapsed="false">
      <c r="A88" s="7"/>
      <c r="B88" s="25" t="n">
        <v>37</v>
      </c>
      <c r="C88" s="11" t="n">
        <f aca="false">(ABS(C41-E41)/C41)*100</f>
        <v>1.36235255025752</v>
      </c>
      <c r="D88" s="25" t="n">
        <f aca="false">(ABS(D41-F41)/D41)*100</f>
        <v>0.0532533234619856</v>
      </c>
      <c r="E88" s="23"/>
      <c r="F88" s="25" t="n">
        <f aca="false">(ABS(C41-G41)/C41)*100</f>
        <v>0.149526499418508</v>
      </c>
      <c r="G88" s="25" t="n">
        <f aca="false">(ABS(D41-H41)/D41)*100</f>
        <v>0.00584487696533988</v>
      </c>
      <c r="H88" s="23"/>
    </row>
    <row r="89" customFormat="false" ht="15" hidden="false" customHeight="false" outlineLevel="0" collapsed="false">
      <c r="A89" s="7"/>
      <c r="B89" s="25" t="n">
        <v>38</v>
      </c>
      <c r="C89" s="11" t="n">
        <f aca="false">(ABS(C42-E42)/C42)*100</f>
        <v>1.70232344145388</v>
      </c>
      <c r="D89" s="25" t="n">
        <f aca="false">(ABS(D42-F42)/D42)*100</f>
        <v>0.0475416471253365</v>
      </c>
      <c r="E89" s="26" t="s">
        <v>11</v>
      </c>
      <c r="F89" s="25" t="n">
        <f aca="false">(ABS(C42-G42)/C42)*100</f>
        <v>0.161030595813205</v>
      </c>
      <c r="G89" s="25" t="n">
        <f aca="false">(ABS(D42-H42)/D42)*100</f>
        <v>0.00449718283618048</v>
      </c>
      <c r="H89" s="26" t="s">
        <v>11</v>
      </c>
    </row>
    <row r="90" customFormat="false" ht="15" hidden="false" customHeight="false" outlineLevel="0" collapsed="false">
      <c r="A90" s="7"/>
      <c r="B90" s="14" t="s">
        <v>8</v>
      </c>
      <c r="C90" s="15" t="n">
        <f aca="false">(ABS(SUM(C4:C42)-SUM(E4:E42))/SUM(C4:C42))*100</f>
        <v>0.772256120823401</v>
      </c>
      <c r="D90" s="15" t="n">
        <f aca="false">(ABS(SUM(D4:D42)-SUM(F4:F42))/SUM(D4:D42))*100</f>
        <v>0.057511828237309</v>
      </c>
      <c r="E90" s="27" t="n">
        <f aca="false">SUM(C51:D89)/(39*2)</f>
        <v>0.427837124030501</v>
      </c>
      <c r="F90" s="15" t="n">
        <f aca="false">(ABS(SUM(C4:C42)-SUM(G4:G42))/SUM(C4:C42))*100</f>
        <v>0.0298266585587481</v>
      </c>
      <c r="G90" s="15" t="n">
        <f aca="false">(ABS(SUM(D4:D42)-SUM(H4:H42))/SUM(D4:D42))*100</f>
        <v>0.00222126522233918</v>
      </c>
      <c r="H90" s="27" t="n">
        <f aca="false">SUM(F51:G89)/(39*2)</f>
        <v>0.0203583634915164</v>
      </c>
    </row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B1:B3"/>
    <mergeCell ref="C1:D2"/>
    <mergeCell ref="E1:H1"/>
    <mergeCell ref="E2:F2"/>
    <mergeCell ref="G2:H2"/>
    <mergeCell ref="A3:A43"/>
    <mergeCell ref="B48:B50"/>
    <mergeCell ref="C48:H48"/>
    <mergeCell ref="C49:E49"/>
    <mergeCell ref="F49:H49"/>
    <mergeCell ref="A50:A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F51" activeCellId="0" sqref="F51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0.45"/>
    <col collapsed="false" customWidth="true" hidden="false" outlineLevel="0" max="7" min="7" style="1" width="21.28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12</v>
      </c>
      <c r="B3" s="3"/>
      <c r="C3" s="28" t="s">
        <v>13</v>
      </c>
      <c r="D3" s="9" t="s">
        <v>7</v>
      </c>
      <c r="E3" s="28" t="s">
        <v>13</v>
      </c>
      <c r="F3" s="10" t="s">
        <v>7</v>
      </c>
      <c r="G3" s="28" t="s">
        <v>13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4336</v>
      </c>
      <c r="D4" s="12" t="n">
        <v>155664</v>
      </c>
      <c r="E4" s="2" t="n">
        <v>4336</v>
      </c>
      <c r="F4" s="13" t="n">
        <v>155664</v>
      </c>
      <c r="G4" s="2" t="n">
        <v>4336</v>
      </c>
      <c r="H4" s="12" t="n">
        <v>155664</v>
      </c>
    </row>
    <row r="5" customFormat="false" ht="15" hidden="false" customHeight="false" outlineLevel="0" collapsed="false">
      <c r="A5" s="7"/>
      <c r="B5" s="2" t="n">
        <v>1</v>
      </c>
      <c r="C5" s="11" t="n">
        <v>6021</v>
      </c>
      <c r="D5" s="12" t="n">
        <v>153979</v>
      </c>
      <c r="E5" s="2" t="n">
        <v>806</v>
      </c>
      <c r="F5" s="13" t="n">
        <v>159194</v>
      </c>
      <c r="G5" s="2" t="n">
        <v>6025</v>
      </c>
      <c r="H5" s="12" t="n">
        <v>153975</v>
      </c>
    </row>
    <row r="6" customFormat="false" ht="15" hidden="false" customHeight="false" outlineLevel="0" collapsed="false">
      <c r="A6" s="7"/>
      <c r="B6" s="2" t="n">
        <v>2</v>
      </c>
      <c r="C6" s="11" t="n">
        <v>7297</v>
      </c>
      <c r="D6" s="12" t="n">
        <v>152703</v>
      </c>
      <c r="E6" s="2" t="n">
        <v>54</v>
      </c>
      <c r="F6" s="13" t="n">
        <v>159946</v>
      </c>
      <c r="G6" s="2" t="n">
        <v>7301</v>
      </c>
      <c r="H6" s="12" t="n">
        <v>152699</v>
      </c>
    </row>
    <row r="7" customFormat="false" ht="15" hidden="false" customHeight="false" outlineLevel="0" collapsed="false">
      <c r="A7" s="7"/>
      <c r="B7" s="2" t="n">
        <v>3</v>
      </c>
      <c r="C7" s="11" t="n">
        <v>8279</v>
      </c>
      <c r="D7" s="12" t="n">
        <v>151721</v>
      </c>
      <c r="E7" s="2" t="n">
        <v>0</v>
      </c>
      <c r="F7" s="13" t="n">
        <v>160000</v>
      </c>
      <c r="G7" s="2" t="n">
        <v>8277</v>
      </c>
      <c r="H7" s="12" t="n">
        <v>151723</v>
      </c>
    </row>
    <row r="8" customFormat="false" ht="15" hidden="false" customHeight="false" outlineLevel="0" collapsed="false">
      <c r="A8" s="7"/>
      <c r="B8" s="2" t="n">
        <v>4</v>
      </c>
      <c r="C8" s="11" t="n">
        <v>9153</v>
      </c>
      <c r="D8" s="12" t="n">
        <v>150847</v>
      </c>
      <c r="E8" s="2" t="n">
        <v>566</v>
      </c>
      <c r="F8" s="13" t="n">
        <v>159434</v>
      </c>
      <c r="G8" s="2" t="n">
        <v>9158</v>
      </c>
      <c r="H8" s="12" t="n">
        <v>150842</v>
      </c>
    </row>
    <row r="9" customFormat="false" ht="15" hidden="false" customHeight="false" outlineLevel="0" collapsed="false">
      <c r="A9" s="7"/>
      <c r="B9" s="2" t="n">
        <v>5</v>
      </c>
      <c r="C9" s="11" t="n">
        <v>9874</v>
      </c>
      <c r="D9" s="12" t="n">
        <v>150126</v>
      </c>
      <c r="E9" s="2" t="n">
        <v>180</v>
      </c>
      <c r="F9" s="13" t="n">
        <v>159820</v>
      </c>
      <c r="G9" s="2" t="n">
        <v>9874</v>
      </c>
      <c r="H9" s="12" t="n">
        <v>150126</v>
      </c>
    </row>
    <row r="10" customFormat="false" ht="15" hidden="false" customHeight="false" outlineLevel="0" collapsed="false">
      <c r="A10" s="7"/>
      <c r="B10" s="2" t="n">
        <v>6</v>
      </c>
      <c r="C10" s="11" t="n">
        <v>10520</v>
      </c>
      <c r="D10" s="12" t="n">
        <v>149480</v>
      </c>
      <c r="E10" s="2" t="n">
        <v>208</v>
      </c>
      <c r="F10" s="13" t="n">
        <v>159792</v>
      </c>
      <c r="G10" s="2" t="n">
        <v>10525</v>
      </c>
      <c r="H10" s="12" t="n">
        <v>149475</v>
      </c>
    </row>
    <row r="11" customFormat="false" ht="15" hidden="false" customHeight="false" outlineLevel="0" collapsed="false">
      <c r="A11" s="7"/>
      <c r="B11" s="2" t="n">
        <v>7</v>
      </c>
      <c r="C11" s="11" t="n">
        <v>11032</v>
      </c>
      <c r="D11" s="12" t="n">
        <v>148968</v>
      </c>
      <c r="E11" s="2" t="n">
        <v>14</v>
      </c>
      <c r="F11" s="13" t="n">
        <v>159986</v>
      </c>
      <c r="G11" s="2" t="n">
        <v>11032</v>
      </c>
      <c r="H11" s="12" t="n">
        <v>148968</v>
      </c>
    </row>
    <row r="12" customFormat="false" ht="15" hidden="false" customHeight="false" outlineLevel="0" collapsed="false">
      <c r="A12" s="7"/>
      <c r="B12" s="2" t="n">
        <v>8</v>
      </c>
      <c r="C12" s="11" t="n">
        <v>11553</v>
      </c>
      <c r="D12" s="12" t="n">
        <v>148447</v>
      </c>
      <c r="E12" s="2" t="n">
        <v>908</v>
      </c>
      <c r="F12" s="13" t="n">
        <v>159092</v>
      </c>
      <c r="G12" s="2" t="n">
        <v>11553</v>
      </c>
      <c r="H12" s="12" t="n">
        <v>148447</v>
      </c>
    </row>
    <row r="13" customFormat="false" ht="15" hidden="false" customHeight="false" outlineLevel="0" collapsed="false">
      <c r="A13" s="7"/>
      <c r="B13" s="2" t="n">
        <v>9</v>
      </c>
      <c r="C13" s="11" t="n">
        <v>11975</v>
      </c>
      <c r="D13" s="12" t="n">
        <v>148025</v>
      </c>
      <c r="E13" s="2" t="n">
        <v>330</v>
      </c>
      <c r="F13" s="13" t="n">
        <v>159670</v>
      </c>
      <c r="G13" s="2" t="n">
        <v>11977</v>
      </c>
      <c r="H13" s="12" t="n">
        <v>148023</v>
      </c>
    </row>
    <row r="14" customFormat="false" ht="15" hidden="false" customHeight="false" outlineLevel="0" collapsed="false">
      <c r="A14" s="7"/>
      <c r="B14" s="2" t="n">
        <v>10</v>
      </c>
      <c r="C14" s="11" t="n">
        <v>12323</v>
      </c>
      <c r="D14" s="12" t="n">
        <v>147677</v>
      </c>
      <c r="E14" s="2" t="n">
        <v>498</v>
      </c>
      <c r="F14" s="13" t="n">
        <v>159502</v>
      </c>
      <c r="G14" s="2" t="n">
        <v>12322</v>
      </c>
      <c r="H14" s="12" t="n">
        <v>147678</v>
      </c>
    </row>
    <row r="15" customFormat="false" ht="15" hidden="false" customHeight="false" outlineLevel="0" collapsed="false">
      <c r="A15" s="7"/>
      <c r="B15" s="2" t="n">
        <v>11</v>
      </c>
      <c r="C15" s="11" t="n">
        <v>12683</v>
      </c>
      <c r="D15" s="12" t="n">
        <v>147317</v>
      </c>
      <c r="E15" s="2" t="n">
        <v>33</v>
      </c>
      <c r="F15" s="13" t="n">
        <v>159967</v>
      </c>
      <c r="G15" s="2" t="n">
        <v>12684</v>
      </c>
      <c r="H15" s="12" t="n">
        <v>147316</v>
      </c>
    </row>
    <row r="16" customFormat="false" ht="15" hidden="false" customHeight="false" outlineLevel="0" collapsed="false">
      <c r="A16" s="7"/>
      <c r="B16" s="2" t="n">
        <v>12</v>
      </c>
      <c r="C16" s="11" t="n">
        <v>12916</v>
      </c>
      <c r="D16" s="12" t="n">
        <v>147084</v>
      </c>
      <c r="E16" s="2" t="n">
        <v>338</v>
      </c>
      <c r="F16" s="13" t="n">
        <v>159662</v>
      </c>
      <c r="G16" s="2" t="n">
        <v>12920</v>
      </c>
      <c r="H16" s="12" t="n">
        <v>147080</v>
      </c>
    </row>
    <row r="17" customFormat="false" ht="15" hidden="false" customHeight="false" outlineLevel="0" collapsed="false">
      <c r="A17" s="7"/>
      <c r="B17" s="2" t="n">
        <v>13</v>
      </c>
      <c r="C17" s="11" t="n">
        <v>13196</v>
      </c>
      <c r="D17" s="12" t="n">
        <v>146804</v>
      </c>
      <c r="E17" s="2" t="n">
        <v>335</v>
      </c>
      <c r="F17" s="13" t="n">
        <v>159665</v>
      </c>
      <c r="G17" s="2" t="n">
        <v>13200</v>
      </c>
      <c r="H17" s="12" t="n">
        <v>146800</v>
      </c>
    </row>
    <row r="18" customFormat="false" ht="15" hidden="false" customHeight="false" outlineLevel="0" collapsed="false">
      <c r="A18" s="7"/>
      <c r="B18" s="2" t="n">
        <v>14</v>
      </c>
      <c r="C18" s="11" t="n">
        <v>13418</v>
      </c>
      <c r="D18" s="12" t="n">
        <v>146582</v>
      </c>
      <c r="E18" s="2" t="n">
        <v>560</v>
      </c>
      <c r="F18" s="13" t="n">
        <v>159440</v>
      </c>
      <c r="G18" s="2" t="n">
        <v>13420</v>
      </c>
      <c r="H18" s="12" t="n">
        <v>146580</v>
      </c>
    </row>
    <row r="19" customFormat="false" ht="15" hidden="false" customHeight="false" outlineLevel="0" collapsed="false">
      <c r="A19" s="7"/>
      <c r="B19" s="2" t="n">
        <v>15</v>
      </c>
      <c r="C19" s="11" t="n">
        <v>13534</v>
      </c>
      <c r="D19" s="12" t="n">
        <v>146466</v>
      </c>
      <c r="E19" s="2" t="n">
        <v>82</v>
      </c>
      <c r="F19" s="13" t="n">
        <v>159918</v>
      </c>
      <c r="G19" s="2" t="n">
        <v>13539</v>
      </c>
      <c r="H19" s="12" t="n">
        <v>146461</v>
      </c>
    </row>
    <row r="20" customFormat="false" ht="15" hidden="false" customHeight="false" outlineLevel="0" collapsed="false">
      <c r="A20" s="7"/>
      <c r="B20" s="2" t="n">
        <v>16</v>
      </c>
      <c r="C20" s="11" t="n">
        <v>13672</v>
      </c>
      <c r="D20" s="12" t="n">
        <v>146328</v>
      </c>
      <c r="E20" s="2" t="n">
        <v>464</v>
      </c>
      <c r="F20" s="13" t="n">
        <v>159536</v>
      </c>
      <c r="G20" s="2" t="n">
        <v>13676</v>
      </c>
      <c r="H20" s="12" t="n">
        <v>146324</v>
      </c>
    </row>
    <row r="21" customFormat="false" ht="15" hidden="false" customHeight="false" outlineLevel="0" collapsed="false">
      <c r="A21" s="7"/>
      <c r="B21" s="2" t="n">
        <v>17</v>
      </c>
      <c r="C21" s="11" t="n">
        <v>13740</v>
      </c>
      <c r="D21" s="12" t="n">
        <v>146260</v>
      </c>
      <c r="E21" s="2" t="n">
        <v>0</v>
      </c>
      <c r="F21" s="13" t="n">
        <v>160000</v>
      </c>
      <c r="G21" s="2" t="n">
        <v>13740</v>
      </c>
      <c r="H21" s="12" t="n">
        <v>146260</v>
      </c>
    </row>
    <row r="22" customFormat="false" ht="15" hidden="false" customHeight="false" outlineLevel="0" collapsed="false">
      <c r="A22" s="7"/>
      <c r="B22" s="2" t="n">
        <v>18</v>
      </c>
      <c r="C22" s="11" t="n">
        <v>13789</v>
      </c>
      <c r="D22" s="12" t="n">
        <v>146211</v>
      </c>
      <c r="E22" s="2" t="n">
        <v>2231</v>
      </c>
      <c r="F22" s="13" t="n">
        <v>157769</v>
      </c>
      <c r="G22" s="2" t="n">
        <v>13791</v>
      </c>
      <c r="H22" s="12" t="n">
        <v>146209</v>
      </c>
    </row>
    <row r="23" customFormat="false" ht="15" hidden="false" customHeight="false" outlineLevel="0" collapsed="false">
      <c r="A23" s="7"/>
      <c r="B23" s="2" t="n">
        <v>19</v>
      </c>
      <c r="C23" s="11" t="n">
        <v>13802</v>
      </c>
      <c r="D23" s="12" t="n">
        <v>146198</v>
      </c>
      <c r="E23" s="2" t="n">
        <v>112</v>
      </c>
      <c r="F23" s="13" t="n">
        <v>159888</v>
      </c>
      <c r="G23" s="2" t="n">
        <v>13808</v>
      </c>
      <c r="H23" s="12" t="n">
        <v>146192</v>
      </c>
    </row>
    <row r="24" customFormat="false" ht="15" hidden="false" customHeight="false" outlineLevel="0" collapsed="false">
      <c r="A24" s="7"/>
      <c r="B24" s="2" t="n">
        <v>20</v>
      </c>
      <c r="C24" s="11" t="n">
        <v>13793</v>
      </c>
      <c r="D24" s="12" t="n">
        <v>146207</v>
      </c>
      <c r="E24" s="2" t="n">
        <v>106</v>
      </c>
      <c r="F24" s="13" t="n">
        <v>159894</v>
      </c>
      <c r="G24" s="2" t="n">
        <v>13795</v>
      </c>
      <c r="H24" s="12" t="n">
        <v>146205</v>
      </c>
    </row>
    <row r="25" customFormat="false" ht="15" hidden="false" customHeight="false" outlineLevel="0" collapsed="false">
      <c r="A25" s="7"/>
      <c r="B25" s="2" t="n">
        <v>21</v>
      </c>
      <c r="C25" s="11" t="n">
        <v>13733</v>
      </c>
      <c r="D25" s="12" t="n">
        <v>146267</v>
      </c>
      <c r="E25" s="2" t="n">
        <v>864</v>
      </c>
      <c r="F25" s="13" t="n">
        <v>159136</v>
      </c>
      <c r="G25" s="2" t="n">
        <v>13733</v>
      </c>
      <c r="H25" s="12" t="n">
        <v>146267</v>
      </c>
    </row>
    <row r="26" customFormat="false" ht="15" hidden="false" customHeight="false" outlineLevel="0" collapsed="false">
      <c r="A26" s="7"/>
      <c r="B26" s="2" t="n">
        <v>22</v>
      </c>
      <c r="C26" s="11" t="n">
        <v>13673</v>
      </c>
      <c r="D26" s="12" t="n">
        <v>146327</v>
      </c>
      <c r="E26" s="2" t="n">
        <v>91</v>
      </c>
      <c r="F26" s="13" t="n">
        <v>159909</v>
      </c>
      <c r="G26" s="2" t="n">
        <v>13677</v>
      </c>
      <c r="H26" s="12" t="n">
        <v>146323</v>
      </c>
    </row>
    <row r="27" customFormat="false" ht="15" hidden="false" customHeight="false" outlineLevel="0" collapsed="false">
      <c r="A27" s="7"/>
      <c r="B27" s="2" t="n">
        <v>23</v>
      </c>
      <c r="C27" s="11" t="n">
        <v>13526</v>
      </c>
      <c r="D27" s="12" t="n">
        <v>146474</v>
      </c>
      <c r="E27" s="2" t="n">
        <v>0</v>
      </c>
      <c r="F27" s="13" t="n">
        <v>160000</v>
      </c>
      <c r="G27" s="2" t="n">
        <v>13529</v>
      </c>
      <c r="H27" s="12" t="n">
        <v>146471</v>
      </c>
    </row>
    <row r="28" customFormat="false" ht="15" hidden="false" customHeight="false" outlineLevel="0" collapsed="false">
      <c r="A28" s="7"/>
      <c r="B28" s="2" t="n">
        <v>24</v>
      </c>
      <c r="C28" s="11" t="n">
        <v>13409</v>
      </c>
      <c r="D28" s="12" t="n">
        <v>146591</v>
      </c>
      <c r="E28" s="2" t="n">
        <v>742</v>
      </c>
      <c r="F28" s="13" t="n">
        <v>159258</v>
      </c>
      <c r="G28" s="2" t="n">
        <v>13410</v>
      </c>
      <c r="H28" s="12" t="n">
        <v>146590</v>
      </c>
    </row>
    <row r="29" customFormat="false" ht="15" hidden="false" customHeight="false" outlineLevel="0" collapsed="false">
      <c r="A29" s="7"/>
      <c r="B29" s="2" t="n">
        <v>25</v>
      </c>
      <c r="C29" s="11" t="n">
        <v>13201</v>
      </c>
      <c r="D29" s="12" t="n">
        <v>146799</v>
      </c>
      <c r="E29" s="2" t="n">
        <v>13</v>
      </c>
      <c r="F29" s="13" t="n">
        <v>159987</v>
      </c>
      <c r="G29" s="2" t="n">
        <v>13200</v>
      </c>
      <c r="H29" s="12" t="n">
        <v>146800</v>
      </c>
    </row>
    <row r="30" customFormat="false" ht="15" hidden="false" customHeight="false" outlineLevel="0" collapsed="false">
      <c r="A30" s="7"/>
      <c r="B30" s="2" t="n">
        <v>26</v>
      </c>
      <c r="C30" s="11" t="n">
        <v>12915</v>
      </c>
      <c r="D30" s="12" t="n">
        <v>147085</v>
      </c>
      <c r="E30" s="2" t="n">
        <v>396</v>
      </c>
      <c r="F30" s="13" t="n">
        <v>159604</v>
      </c>
      <c r="G30" s="2" t="n">
        <v>12919</v>
      </c>
      <c r="H30" s="12" t="n">
        <v>147081</v>
      </c>
    </row>
    <row r="31" customFormat="false" ht="15" hidden="false" customHeight="false" outlineLevel="0" collapsed="false">
      <c r="A31" s="7"/>
      <c r="B31" s="2" t="n">
        <v>27</v>
      </c>
      <c r="C31" s="11" t="n">
        <v>12681</v>
      </c>
      <c r="D31" s="12" t="n">
        <v>147319</v>
      </c>
      <c r="E31" s="2" t="n">
        <v>312</v>
      </c>
      <c r="F31" s="13" t="n">
        <v>159688</v>
      </c>
      <c r="G31" s="2" t="n">
        <v>12681</v>
      </c>
      <c r="H31" s="12" t="n">
        <v>147319</v>
      </c>
    </row>
    <row r="32" customFormat="false" ht="15" hidden="false" customHeight="false" outlineLevel="0" collapsed="false">
      <c r="A32" s="7"/>
      <c r="B32" s="2" t="n">
        <v>28</v>
      </c>
      <c r="C32" s="11" t="n">
        <v>12321</v>
      </c>
      <c r="D32" s="12" t="n">
        <v>147679</v>
      </c>
      <c r="E32" s="2" t="n">
        <v>0</v>
      </c>
      <c r="F32" s="13" t="n">
        <v>160000</v>
      </c>
      <c r="G32" s="2" t="n">
        <v>12330</v>
      </c>
      <c r="H32" s="12" t="n">
        <v>147670</v>
      </c>
    </row>
    <row r="33" customFormat="false" ht="15" hidden="false" customHeight="false" outlineLevel="0" collapsed="false">
      <c r="A33" s="7"/>
      <c r="B33" s="2" t="n">
        <v>29</v>
      </c>
      <c r="C33" s="11" t="n">
        <v>11975</v>
      </c>
      <c r="D33" s="12" t="n">
        <v>148025</v>
      </c>
      <c r="E33" s="2" t="n">
        <v>143</v>
      </c>
      <c r="F33" s="13" t="n">
        <v>159857</v>
      </c>
      <c r="G33" s="2" t="n">
        <v>11977</v>
      </c>
      <c r="H33" s="12" t="n">
        <v>148023</v>
      </c>
    </row>
    <row r="34" customFormat="false" ht="15" hidden="false" customHeight="false" outlineLevel="0" collapsed="false">
      <c r="A34" s="7"/>
      <c r="B34" s="2" t="n">
        <v>30</v>
      </c>
      <c r="C34" s="11" t="n">
        <v>11556</v>
      </c>
      <c r="D34" s="12" t="n">
        <v>148444</v>
      </c>
      <c r="E34" s="2" t="n">
        <v>0</v>
      </c>
      <c r="F34" s="13" t="n">
        <v>160000</v>
      </c>
      <c r="G34" s="2" t="n">
        <v>11560</v>
      </c>
      <c r="H34" s="12" t="n">
        <v>148440</v>
      </c>
    </row>
    <row r="35" customFormat="false" ht="15" hidden="false" customHeight="false" outlineLevel="0" collapsed="false">
      <c r="A35" s="7"/>
      <c r="B35" s="2" t="n">
        <v>31</v>
      </c>
      <c r="C35" s="11" t="n">
        <v>11034</v>
      </c>
      <c r="D35" s="12" t="n">
        <v>148966</v>
      </c>
      <c r="E35" s="2" t="n">
        <v>636</v>
      </c>
      <c r="F35" s="13" t="n">
        <v>159364</v>
      </c>
      <c r="G35" s="2" t="n">
        <v>11036</v>
      </c>
      <c r="H35" s="12" t="n">
        <v>148964</v>
      </c>
    </row>
    <row r="36" customFormat="false" ht="15" hidden="false" customHeight="false" outlineLevel="0" collapsed="false">
      <c r="A36" s="7"/>
      <c r="B36" s="2" t="n">
        <v>32</v>
      </c>
      <c r="C36" s="11" t="n">
        <v>10516</v>
      </c>
      <c r="D36" s="12" t="n">
        <v>149484</v>
      </c>
      <c r="E36" s="2" t="n">
        <v>274</v>
      </c>
      <c r="F36" s="13" t="n">
        <v>159726</v>
      </c>
      <c r="G36" s="2" t="n">
        <v>10521</v>
      </c>
      <c r="H36" s="12" t="n">
        <v>149479</v>
      </c>
    </row>
    <row r="37" customFormat="false" ht="15" hidden="false" customHeight="false" outlineLevel="0" collapsed="false">
      <c r="A37" s="7"/>
      <c r="B37" s="2" t="n">
        <v>33</v>
      </c>
      <c r="C37" s="11" t="n">
        <v>9871</v>
      </c>
      <c r="D37" s="12" t="n">
        <v>150129</v>
      </c>
      <c r="E37" s="2" t="n">
        <v>950</v>
      </c>
      <c r="F37" s="13" t="n">
        <v>159050</v>
      </c>
      <c r="G37" s="2" t="n">
        <v>9871</v>
      </c>
      <c r="H37" s="12" t="n">
        <v>150129</v>
      </c>
    </row>
    <row r="38" customFormat="false" ht="15" hidden="false" customHeight="false" outlineLevel="0" collapsed="false">
      <c r="A38" s="7"/>
      <c r="B38" s="2" t="n">
        <v>34</v>
      </c>
      <c r="C38" s="11" t="n">
        <v>9154</v>
      </c>
      <c r="D38" s="12" t="n">
        <v>150846</v>
      </c>
      <c r="E38" s="2" t="n">
        <v>82</v>
      </c>
      <c r="F38" s="13" t="n">
        <v>159918</v>
      </c>
      <c r="G38" s="2" t="n">
        <v>9154</v>
      </c>
      <c r="H38" s="12" t="n">
        <v>150846</v>
      </c>
    </row>
    <row r="39" customFormat="false" ht="15" hidden="false" customHeight="false" outlineLevel="0" collapsed="false">
      <c r="A39" s="7"/>
      <c r="B39" s="2" t="n">
        <v>35</v>
      </c>
      <c r="C39" s="11" t="n">
        <v>8281</v>
      </c>
      <c r="D39" s="12" t="n">
        <v>151719</v>
      </c>
      <c r="E39" s="2" t="n">
        <v>192</v>
      </c>
      <c r="F39" s="13" t="n">
        <v>159808</v>
      </c>
      <c r="G39" s="2" t="n">
        <v>8286</v>
      </c>
      <c r="H39" s="12" t="n">
        <v>151714</v>
      </c>
    </row>
    <row r="40" customFormat="false" ht="15" hidden="false" customHeight="false" outlineLevel="0" collapsed="false">
      <c r="A40" s="7"/>
      <c r="B40" s="2" t="n">
        <v>36</v>
      </c>
      <c r="C40" s="11" t="n">
        <v>7294</v>
      </c>
      <c r="D40" s="12" t="n">
        <v>152706</v>
      </c>
      <c r="E40" s="2" t="n">
        <v>970</v>
      </c>
      <c r="F40" s="13" t="n">
        <v>159030</v>
      </c>
      <c r="G40" s="2" t="n">
        <v>7292</v>
      </c>
      <c r="H40" s="12" t="n">
        <v>152708</v>
      </c>
    </row>
    <row r="41" customFormat="false" ht="15" hidden="false" customHeight="false" outlineLevel="0" collapsed="false">
      <c r="A41" s="7"/>
      <c r="B41" s="2" t="n">
        <v>37</v>
      </c>
      <c r="C41" s="11" t="n">
        <v>6013</v>
      </c>
      <c r="D41" s="12" t="n">
        <v>153987</v>
      </c>
      <c r="E41" s="2" t="n">
        <v>205</v>
      </c>
      <c r="F41" s="13" t="n">
        <v>159795</v>
      </c>
      <c r="G41" s="2" t="n">
        <v>6019</v>
      </c>
      <c r="H41" s="12" t="n">
        <v>153981</v>
      </c>
    </row>
    <row r="42" customFormat="false" ht="15" hidden="false" customHeight="false" outlineLevel="0" collapsed="false">
      <c r="A42" s="7"/>
      <c r="B42" s="2" t="n">
        <v>38</v>
      </c>
      <c r="C42" s="11" t="n">
        <v>4345</v>
      </c>
      <c r="D42" s="12" t="n">
        <v>155655</v>
      </c>
      <c r="E42" s="2" t="n">
        <v>115</v>
      </c>
      <c r="F42" s="13" t="n">
        <v>159885</v>
      </c>
      <c r="G42" s="2" t="n">
        <v>4346</v>
      </c>
      <c r="H42" s="12" t="n">
        <v>155654</v>
      </c>
    </row>
    <row r="43" customFormat="false" ht="15" hidden="false" customHeight="false" outlineLevel="0" collapsed="false">
      <c r="A43" s="7"/>
      <c r="B43" s="14" t="s">
        <v>8</v>
      </c>
      <c r="C43" s="15" t="n">
        <f aca="false">SUM(C4:C42)</f>
        <v>432404</v>
      </c>
      <c r="D43" s="16" t="n">
        <f aca="false">SUM(D4:D42)</f>
        <v>5807596</v>
      </c>
      <c r="E43" s="17" t="n">
        <f aca="false">SUM(E4:E42)</f>
        <v>18146</v>
      </c>
      <c r="F43" s="18" t="n">
        <f aca="false">SUM(F4:F42)</f>
        <v>6221854</v>
      </c>
      <c r="G43" s="17" t="n">
        <f aca="false">SUM(G4:G42)</f>
        <v>432494</v>
      </c>
      <c r="H43" s="16" t="n">
        <f aca="false">SUM(H4:H42)</f>
        <v>5807506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19" t="s">
        <v>0</v>
      </c>
      <c r="C48" s="20" t="s">
        <v>9</v>
      </c>
      <c r="D48" s="20"/>
      <c r="E48" s="20"/>
      <c r="F48" s="20"/>
      <c r="G48" s="20"/>
      <c r="H48" s="20"/>
    </row>
    <row r="49" customFormat="false" ht="15" hidden="false" customHeight="false" outlineLevel="0" collapsed="false">
      <c r="A49" s="2"/>
      <c r="B49" s="19"/>
      <c r="C49" s="20" t="s">
        <v>3</v>
      </c>
      <c r="D49" s="20"/>
      <c r="E49" s="20"/>
      <c r="F49" s="6" t="s">
        <v>4</v>
      </c>
      <c r="G49" s="6"/>
      <c r="H49" s="6"/>
    </row>
    <row r="50" customFormat="false" ht="15" hidden="false" customHeight="false" outlineLevel="0" collapsed="false">
      <c r="A50" s="7" t="s">
        <v>10</v>
      </c>
      <c r="B50" s="19"/>
      <c r="C50" s="21" t="str">
        <f aca="false">C3</f>
        <v>#e65a49</v>
      </c>
      <c r="D50" s="22" t="str">
        <f aca="false">D3</f>
        <v>#ffffff</v>
      </c>
      <c r="E50" s="23"/>
      <c r="F50" s="24" t="str">
        <f aca="false">G3</f>
        <v>#e65a49</v>
      </c>
      <c r="G50" s="22" t="str">
        <f aca="false">H3</f>
        <v>#ffffff</v>
      </c>
      <c r="H50" s="23"/>
    </row>
    <row r="51" customFormat="false" ht="15" hidden="false" customHeight="false" outlineLevel="0" collapsed="false">
      <c r="A51" s="7"/>
      <c r="B51" s="25" t="n">
        <v>0</v>
      </c>
      <c r="C51" s="11" t="n">
        <f aca="false">(ABS(C4-E4)/C4)*100</f>
        <v>0</v>
      </c>
      <c r="D51" s="25" t="n">
        <f aca="false">(ABS(D4-F4)/D4)*100</f>
        <v>0</v>
      </c>
      <c r="E51" s="23"/>
      <c r="F51" s="25" t="n">
        <f aca="false">(ABS(C4-G4)/C4)*100</f>
        <v>0</v>
      </c>
      <c r="G51" s="25" t="n">
        <f aca="false">(ABS(D4-H4)/D4)*100</f>
        <v>0</v>
      </c>
      <c r="H51" s="23"/>
    </row>
    <row r="52" customFormat="false" ht="15" hidden="false" customHeight="false" outlineLevel="0" collapsed="false">
      <c r="A52" s="7"/>
      <c r="B52" s="25" t="n">
        <v>1</v>
      </c>
      <c r="C52" s="11" t="n">
        <f aca="false">(ABS(C5-E5)/C5)*100</f>
        <v>86.6135193489454</v>
      </c>
      <c r="D52" s="25" t="n">
        <f aca="false">(ABS(D5-F5)/D5)*100</f>
        <v>3.3868254762013</v>
      </c>
      <c r="E52" s="23"/>
      <c r="F52" s="25" t="n">
        <f aca="false">(ABS(C5-G5)/C5)*100</f>
        <v>0.0664341471516359</v>
      </c>
      <c r="G52" s="25" t="n">
        <f aca="false">(ABS(D5-H5)/D5)*100</f>
        <v>0.00259775683697128</v>
      </c>
      <c r="H52" s="23"/>
    </row>
    <row r="53" customFormat="false" ht="15" hidden="false" customHeight="false" outlineLevel="0" collapsed="false">
      <c r="A53" s="7"/>
      <c r="B53" s="25" t="n">
        <v>2</v>
      </c>
      <c r="C53" s="11" t="n">
        <f aca="false">(ABS(C6-E6)/C6)*100</f>
        <v>99.2599698506236</v>
      </c>
      <c r="D53" s="25" t="n">
        <f aca="false">(ABS(D6-F6)/D6)*100</f>
        <v>4.74319430528542</v>
      </c>
      <c r="E53" s="23"/>
      <c r="F53" s="25" t="n">
        <f aca="false">(ABS(C6-G6)/C6)*100</f>
        <v>0.0548170481019597</v>
      </c>
      <c r="G53" s="25" t="n">
        <f aca="false">(ABS(D6-H6)/D6)*100</f>
        <v>0.0026194639267074</v>
      </c>
      <c r="H53" s="23"/>
    </row>
    <row r="54" customFormat="false" ht="15" hidden="false" customHeight="false" outlineLevel="0" collapsed="false">
      <c r="A54" s="7"/>
      <c r="B54" s="25" t="n">
        <v>3</v>
      </c>
      <c r="C54" s="11" t="n">
        <f aca="false">(ABS(C7-E7)/C7)*100</f>
        <v>100</v>
      </c>
      <c r="D54" s="25" t="n">
        <f aca="false">(ABS(D7-F7)/D7)*100</f>
        <v>5.4567264913888</v>
      </c>
      <c r="E54" s="23"/>
      <c r="F54" s="25" t="n">
        <f aca="false">(ABS(C7-G7)/C7)*100</f>
        <v>0.0241575069452832</v>
      </c>
      <c r="G54" s="25" t="n">
        <f aca="false">(ABS(D7-H7)/D7)*100</f>
        <v>0.00131820908114236</v>
      </c>
      <c r="H54" s="23"/>
    </row>
    <row r="55" customFormat="false" ht="15" hidden="false" customHeight="false" outlineLevel="0" collapsed="false">
      <c r="A55" s="7"/>
      <c r="B55" s="25" t="n">
        <v>4</v>
      </c>
      <c r="C55" s="11" t="n">
        <f aca="false">(ABS(C8-E8)/C8)*100</f>
        <v>93.8162351141702</v>
      </c>
      <c r="D55" s="25" t="n">
        <f aca="false">(ABS(D8-F8)/D8)*100</f>
        <v>5.69252288742898</v>
      </c>
      <c r="E55" s="23"/>
      <c r="F55" s="25" t="n">
        <f aca="false">(ABS(C8-G8)/C8)*100</f>
        <v>0.0546268982847154</v>
      </c>
      <c r="G55" s="25" t="n">
        <f aca="false">(ABS(D8-H8)/D8)*100</f>
        <v>0.00331461679715208</v>
      </c>
      <c r="H55" s="23"/>
    </row>
    <row r="56" customFormat="false" ht="15" hidden="false" customHeight="false" outlineLevel="0" collapsed="false">
      <c r="A56" s="7"/>
      <c r="B56" s="25" t="n">
        <v>5</v>
      </c>
      <c r="C56" s="11" t="n">
        <f aca="false">(ABS(C9-E9)/C9)*100</f>
        <v>98.1770305853757</v>
      </c>
      <c r="D56" s="25" t="n">
        <f aca="false">(ABS(D9-F9)/D9)*100</f>
        <v>6.45724258289703</v>
      </c>
      <c r="E56" s="23"/>
      <c r="F56" s="25" t="n">
        <f aca="false">(ABS(C9-G9)/C9)*100</f>
        <v>0</v>
      </c>
      <c r="G56" s="25" t="n">
        <f aca="false">(ABS(D9-H9)/D9)*100</f>
        <v>0</v>
      </c>
      <c r="H56" s="23"/>
    </row>
    <row r="57" customFormat="false" ht="15" hidden="false" customHeight="false" outlineLevel="0" collapsed="false">
      <c r="A57" s="7"/>
      <c r="B57" s="25" t="n">
        <v>6</v>
      </c>
      <c r="C57" s="11" t="n">
        <f aca="false">(ABS(C10-E10)/C10)*100</f>
        <v>98.0228136882129</v>
      </c>
      <c r="D57" s="25" t="n">
        <f aca="false">(ABS(D10-F10)/D10)*100</f>
        <v>6.8985817500669</v>
      </c>
      <c r="E57" s="23"/>
      <c r="F57" s="25" t="n">
        <f aca="false">(ABS(C10-G10)/C10)*100</f>
        <v>0.0475285171102662</v>
      </c>
      <c r="G57" s="25" t="n">
        <f aca="false">(ABS(D10-H10)/D10)*100</f>
        <v>0.00334492908750335</v>
      </c>
      <c r="H57" s="23"/>
    </row>
    <row r="58" customFormat="false" ht="15" hidden="false" customHeight="false" outlineLevel="0" collapsed="false">
      <c r="A58" s="7"/>
      <c r="B58" s="25" t="n">
        <v>7</v>
      </c>
      <c r="C58" s="11" t="n">
        <f aca="false">(ABS(C11-E11)/C11)*100</f>
        <v>99.8730964467005</v>
      </c>
      <c r="D58" s="25" t="n">
        <f aca="false">(ABS(D11-F11)/D11)*100</f>
        <v>7.39621932227056</v>
      </c>
      <c r="E58" s="23"/>
      <c r="F58" s="25" t="n">
        <f aca="false">(ABS(C11-G11)/C11)*100</f>
        <v>0</v>
      </c>
      <c r="G58" s="25" t="n">
        <f aca="false">(ABS(D11-H11)/D11)*100</f>
        <v>0</v>
      </c>
      <c r="H58" s="23"/>
    </row>
    <row r="59" customFormat="false" ht="15" hidden="false" customHeight="false" outlineLevel="0" collapsed="false">
      <c r="A59" s="7"/>
      <c r="B59" s="25" t="n">
        <v>8</v>
      </c>
      <c r="C59" s="11" t="n">
        <f aca="false">(ABS(C12-E12)/C12)*100</f>
        <v>92.1405695490349</v>
      </c>
      <c r="D59" s="25" t="n">
        <f aca="false">(ABS(D12-F12)/D12)*100</f>
        <v>7.17090948284573</v>
      </c>
      <c r="E59" s="23"/>
      <c r="F59" s="25" t="n">
        <f aca="false">(ABS(C12-G12)/C12)*100</f>
        <v>0</v>
      </c>
      <c r="G59" s="25" t="n">
        <f aca="false">(ABS(D12-H12)/D12)*100</f>
        <v>0</v>
      </c>
      <c r="H59" s="23"/>
    </row>
    <row r="60" customFormat="false" ht="15" hidden="false" customHeight="false" outlineLevel="0" collapsed="false">
      <c r="A60" s="7"/>
      <c r="B60" s="25" t="n">
        <v>9</v>
      </c>
      <c r="C60" s="11" t="n">
        <f aca="false">(ABS(C13-E13)/C13)*100</f>
        <v>97.2442588726514</v>
      </c>
      <c r="D60" s="25" t="n">
        <f aca="false">(ABS(D13-F13)/D13)*100</f>
        <v>7.8669143725722</v>
      </c>
      <c r="E60" s="23"/>
      <c r="F60" s="25" t="n">
        <f aca="false">(ABS(C13-G13)/C13)*100</f>
        <v>0.0167014613778706</v>
      </c>
      <c r="G60" s="25" t="n">
        <f aca="false">(ABS(D13-H13)/D13)*100</f>
        <v>0.00135112312109441</v>
      </c>
      <c r="H60" s="23"/>
    </row>
    <row r="61" customFormat="false" ht="15" hidden="false" customHeight="false" outlineLevel="0" collapsed="false">
      <c r="A61" s="7"/>
      <c r="B61" s="25" t="n">
        <v>10</v>
      </c>
      <c r="C61" s="11" t="n">
        <f aca="false">(ABS(C14-E14)/C14)*100</f>
        <v>95.9587762720117</v>
      </c>
      <c r="D61" s="25" t="n">
        <f aca="false">(ABS(D14-F14)/D14)*100</f>
        <v>8.00734034412942</v>
      </c>
      <c r="E61" s="23"/>
      <c r="F61" s="25" t="n">
        <f aca="false">(ABS(C14-G14)/C14)*100</f>
        <v>0.00811490708431388</v>
      </c>
      <c r="G61" s="25" t="n">
        <f aca="false">(ABS(D14-H14)/D14)*100</f>
        <v>0.000677153517473947</v>
      </c>
      <c r="H61" s="23"/>
    </row>
    <row r="62" customFormat="false" ht="15" hidden="false" customHeight="false" outlineLevel="0" collapsed="false">
      <c r="A62" s="7"/>
      <c r="B62" s="25" t="n">
        <v>11</v>
      </c>
      <c r="C62" s="11" t="n">
        <f aca="false">(ABS(C15-E15)/C15)*100</f>
        <v>99.7398091934085</v>
      </c>
      <c r="D62" s="25" t="n">
        <f aca="false">(ABS(D15-F15)/D15)*100</f>
        <v>8.5869247948302</v>
      </c>
      <c r="E62" s="23"/>
      <c r="F62" s="25" t="n">
        <f aca="false">(ABS(C15-G15)/C15)*100</f>
        <v>0.00788456989671213</v>
      </c>
      <c r="G62" s="25" t="n">
        <f aca="false">(ABS(D15-H15)/D15)*100</f>
        <v>0.0006788082841763</v>
      </c>
      <c r="H62" s="23"/>
    </row>
    <row r="63" customFormat="false" ht="15" hidden="false" customHeight="false" outlineLevel="0" collapsed="false">
      <c r="A63" s="7"/>
      <c r="B63" s="25" t="n">
        <v>12</v>
      </c>
      <c r="C63" s="11" t="n">
        <f aca="false">(ABS(C16-E16)/C16)*100</f>
        <v>97.3830907401672</v>
      </c>
      <c r="D63" s="25" t="n">
        <f aca="false">(ABS(D16-F16)/D16)*100</f>
        <v>8.5515759701939</v>
      </c>
      <c r="E63" s="23"/>
      <c r="F63" s="25" t="n">
        <f aca="false">(ABS(C16-G16)/C16)*100</f>
        <v>0.0309693403530505</v>
      </c>
      <c r="G63" s="25" t="n">
        <f aca="false">(ABS(D16-H16)/D16)*100</f>
        <v>0.00271953441570803</v>
      </c>
      <c r="H63" s="23"/>
    </row>
    <row r="64" customFormat="false" ht="15" hidden="false" customHeight="false" outlineLevel="0" collapsed="false">
      <c r="A64" s="7"/>
      <c r="B64" s="25" t="n">
        <v>13</v>
      </c>
      <c r="C64" s="11" t="n">
        <f aca="false">(ABS(C17-E17)/C17)*100</f>
        <v>97.4613519248257</v>
      </c>
      <c r="D64" s="25" t="n">
        <f aca="false">(ABS(D17-F17)/D17)*100</f>
        <v>8.76066047246669</v>
      </c>
      <c r="E64" s="23"/>
      <c r="F64" s="25" t="n">
        <f aca="false">(ABS(C17-G17)/C17)*100</f>
        <v>0.0303122158229767</v>
      </c>
      <c r="G64" s="25" t="n">
        <f aca="false">(ABS(D17-H17)/D17)*100</f>
        <v>0.00272472139723713</v>
      </c>
      <c r="H64" s="23"/>
    </row>
    <row r="65" customFormat="false" ht="15" hidden="false" customHeight="false" outlineLevel="0" collapsed="false">
      <c r="A65" s="7"/>
      <c r="B65" s="25" t="n">
        <v>14</v>
      </c>
      <c r="C65" s="11" t="n">
        <f aca="false">(ABS(C18-E18)/C18)*100</f>
        <v>95.8265017141154</v>
      </c>
      <c r="D65" s="25" t="n">
        <f aca="false">(ABS(D18-F18)/D18)*100</f>
        <v>8.77188195003479</v>
      </c>
      <c r="E65" s="23"/>
      <c r="F65" s="25" t="n">
        <f aca="false">(ABS(C18-G18)/C18)*100</f>
        <v>0.0149053510210165</v>
      </c>
      <c r="G65" s="25" t="n">
        <f aca="false">(ABS(D18-H18)/D18)*100</f>
        <v>0.00136442400840485</v>
      </c>
      <c r="H65" s="23"/>
    </row>
    <row r="66" customFormat="false" ht="15" hidden="false" customHeight="false" outlineLevel="0" collapsed="false">
      <c r="A66" s="7"/>
      <c r="B66" s="25" t="n">
        <v>15</v>
      </c>
      <c r="C66" s="11" t="n">
        <f aca="false">(ABS(C19-E19)/C19)*100</f>
        <v>99.3941185163292</v>
      </c>
      <c r="D66" s="25" t="n">
        <f aca="false">(ABS(D19-F19)/D19)*100</f>
        <v>9.18438408914014</v>
      </c>
      <c r="E66" s="23"/>
      <c r="F66" s="25" t="n">
        <f aca="false">(ABS(C19-G19)/C19)*100</f>
        <v>0.0369439929067534</v>
      </c>
      <c r="G66" s="25" t="n">
        <f aca="false">(ABS(D19-H19)/D19)*100</f>
        <v>0.00341376155558287</v>
      </c>
      <c r="H66" s="23"/>
    </row>
    <row r="67" customFormat="false" ht="15" hidden="false" customHeight="false" outlineLevel="0" collapsed="false">
      <c r="A67" s="7"/>
      <c r="B67" s="25" t="n">
        <v>16</v>
      </c>
      <c r="C67" s="11" t="n">
        <f aca="false">(ABS(C20-E20)/C20)*100</f>
        <v>96.6062024575775</v>
      </c>
      <c r="D67" s="25" t="n">
        <f aca="false">(ABS(D20-F20)/D20)*100</f>
        <v>9.02629708599858</v>
      </c>
      <c r="E67" s="23"/>
      <c r="F67" s="25" t="n">
        <f aca="false">(ABS(C20-G20)/C20)*100</f>
        <v>0.0292568753657109</v>
      </c>
      <c r="G67" s="25" t="n">
        <f aca="false">(ABS(D20-H20)/D20)*100</f>
        <v>0.00273358482313706</v>
      </c>
      <c r="H67" s="23"/>
    </row>
    <row r="68" customFormat="false" ht="15" hidden="false" customHeight="false" outlineLevel="0" collapsed="false">
      <c r="A68" s="7"/>
      <c r="B68" s="25" t="n">
        <v>17</v>
      </c>
      <c r="C68" s="11" t="n">
        <f aca="false">(ABS(C21-E21)/C21)*100</f>
        <v>100</v>
      </c>
      <c r="D68" s="25" t="n">
        <f aca="false">(ABS(D21-F21)/D21)*100</f>
        <v>9.39422945439628</v>
      </c>
      <c r="E68" s="23"/>
      <c r="F68" s="25" t="n">
        <f aca="false">(ABS(C21-G21)/C21)*100</f>
        <v>0</v>
      </c>
      <c r="G68" s="25" t="n">
        <f aca="false">(ABS(D21-H21)/D21)*100</f>
        <v>0</v>
      </c>
      <c r="H68" s="23"/>
    </row>
    <row r="69" customFormat="false" ht="15" hidden="false" customHeight="false" outlineLevel="0" collapsed="false">
      <c r="A69" s="7"/>
      <c r="B69" s="25" t="n">
        <v>18</v>
      </c>
      <c r="C69" s="11" t="n">
        <f aca="false">(ABS(C22-E22)/C22)*100</f>
        <v>83.8204365798825</v>
      </c>
      <c r="D69" s="25" t="n">
        <f aca="false">(ABS(D22-F22)/D22)*100</f>
        <v>7.90501398663575</v>
      </c>
      <c r="E69" s="23"/>
      <c r="F69" s="25" t="n">
        <f aca="false">(ABS(C22-G22)/C22)*100</f>
        <v>0.0145043150337225</v>
      </c>
      <c r="G69" s="25" t="n">
        <f aca="false">(ABS(D22-H22)/D22)*100</f>
        <v>0.00136788613715794</v>
      </c>
      <c r="H69" s="23"/>
    </row>
    <row r="70" customFormat="false" ht="15" hidden="false" customHeight="false" outlineLevel="0" collapsed="false">
      <c r="A70" s="7"/>
      <c r="B70" s="25" t="n">
        <v>19</v>
      </c>
      <c r="C70" s="11" t="n">
        <f aca="false">(ABS(C23-E23)/C23)*100</f>
        <v>99.1885234024055</v>
      </c>
      <c r="D70" s="25" t="n">
        <f aca="false">(ABS(D23-F23)/D23)*100</f>
        <v>9.36401318759491</v>
      </c>
      <c r="E70" s="23"/>
      <c r="F70" s="25" t="n">
        <f aca="false">(ABS(C23-G23)/C23)*100</f>
        <v>0.0434719605854224</v>
      </c>
      <c r="G70" s="25" t="n">
        <f aca="false">(ABS(D23-H23)/D23)*100</f>
        <v>0.00410402331085241</v>
      </c>
      <c r="H70" s="23"/>
    </row>
    <row r="71" customFormat="false" ht="15" hidden="false" customHeight="false" outlineLevel="0" collapsed="false">
      <c r="A71" s="7"/>
      <c r="B71" s="25" t="n">
        <v>20</v>
      </c>
      <c r="C71" s="11" t="n">
        <f aca="false">(ABS(C24-E24)/C24)*100</f>
        <v>99.2314942362068</v>
      </c>
      <c r="D71" s="25" t="n">
        <f aca="false">(ABS(D24-F24)/D24)*100</f>
        <v>9.36138488581258</v>
      </c>
      <c r="E71" s="23"/>
      <c r="F71" s="25" t="n">
        <f aca="false">(ABS(C24-G24)/C24)*100</f>
        <v>0.0145001087508156</v>
      </c>
      <c r="G71" s="25" t="n">
        <f aca="false">(ABS(D24-H24)/D24)*100</f>
        <v>0.00136792356043144</v>
      </c>
      <c r="H71" s="23"/>
    </row>
    <row r="72" customFormat="false" ht="15" hidden="false" customHeight="false" outlineLevel="0" collapsed="false">
      <c r="A72" s="7"/>
      <c r="B72" s="25" t="n">
        <v>21</v>
      </c>
      <c r="C72" s="11" t="n">
        <f aca="false">(ABS(C25-E25)/C25)*100</f>
        <v>93.708585159834</v>
      </c>
      <c r="D72" s="25" t="n">
        <f aca="false">(ABS(D25-F25)/D25)*100</f>
        <v>8.79829353169204</v>
      </c>
      <c r="E72" s="23"/>
      <c r="F72" s="25" t="n">
        <f aca="false">(ABS(C25-G25)/C25)*100</f>
        <v>0</v>
      </c>
      <c r="G72" s="25" t="n">
        <f aca="false">(ABS(D25-H25)/D25)*100</f>
        <v>0</v>
      </c>
      <c r="H72" s="23"/>
    </row>
    <row r="73" customFormat="false" ht="15" hidden="false" customHeight="false" outlineLevel="0" collapsed="false">
      <c r="A73" s="7"/>
      <c r="B73" s="25" t="n">
        <v>22</v>
      </c>
      <c r="C73" s="11" t="n">
        <f aca="false">(ABS(C26-E26)/C26)*100</f>
        <v>99.3344547648651</v>
      </c>
      <c r="D73" s="25" t="n">
        <f aca="false">(ABS(D26-F26)/D26)*100</f>
        <v>9.2819506994608</v>
      </c>
      <c r="E73" s="23"/>
      <c r="F73" s="25" t="n">
        <f aca="false">(ABS(C26-G26)/C26)*100</f>
        <v>0.0292547356103269</v>
      </c>
      <c r="G73" s="25" t="n">
        <f aca="false">(ABS(D26-H26)/D26)*100</f>
        <v>0.00273360350447969</v>
      </c>
      <c r="H73" s="23"/>
    </row>
    <row r="74" customFormat="false" ht="15" hidden="false" customHeight="false" outlineLevel="0" collapsed="false">
      <c r="A74" s="7"/>
      <c r="B74" s="25" t="n">
        <v>23</v>
      </c>
      <c r="C74" s="11" t="n">
        <f aca="false">(ABS(C27-E27)/C27)*100</f>
        <v>100</v>
      </c>
      <c r="D74" s="25" t="n">
        <f aca="false">(ABS(D27-F27)/D27)*100</f>
        <v>9.23440337534306</v>
      </c>
      <c r="E74" s="23"/>
      <c r="F74" s="25" t="n">
        <f aca="false">(ABS(C27-G27)/C27)*100</f>
        <v>0.02217950613633</v>
      </c>
      <c r="G74" s="25" t="n">
        <f aca="false">(ABS(D27-H27)/D27)*100</f>
        <v>0.00204814506328768</v>
      </c>
      <c r="H74" s="23"/>
    </row>
    <row r="75" customFormat="false" ht="15" hidden="false" customHeight="false" outlineLevel="0" collapsed="false">
      <c r="A75" s="7"/>
      <c r="B75" s="25" t="n">
        <v>24</v>
      </c>
      <c r="C75" s="11" t="n">
        <f aca="false">(ABS(C28-E28)/C28)*100</f>
        <v>94.4664031620553</v>
      </c>
      <c r="D75" s="25" t="n">
        <f aca="false">(ABS(D28-F28)/D28)*100</f>
        <v>8.64104890477587</v>
      </c>
      <c r="E75" s="23"/>
      <c r="F75" s="25" t="n">
        <f aca="false">(ABS(C28-G28)/C28)*100</f>
        <v>0.00745767767917071</v>
      </c>
      <c r="G75" s="25" t="n">
        <f aca="false">(ABS(D28-H28)/D28)*100</f>
        <v>0.000682170119584422</v>
      </c>
      <c r="H75" s="23"/>
    </row>
    <row r="76" customFormat="false" ht="15" hidden="false" customHeight="false" outlineLevel="0" collapsed="false">
      <c r="A76" s="7"/>
      <c r="B76" s="25" t="n">
        <v>25</v>
      </c>
      <c r="C76" s="11" t="n">
        <f aca="false">(ABS(C29-E29)/C29)*100</f>
        <v>99.9015226119233</v>
      </c>
      <c r="D76" s="25" t="n">
        <f aca="false">(ABS(D29-F29)/D29)*100</f>
        <v>8.98371242310915</v>
      </c>
      <c r="E76" s="23"/>
      <c r="F76" s="25" t="n">
        <f aca="false">(ABS(C29-G29)/C29)*100</f>
        <v>0.00757518369820468</v>
      </c>
      <c r="G76" s="25" t="n">
        <f aca="false">(ABS(D29-H29)/D29)*100</f>
        <v>0.000681203550432905</v>
      </c>
      <c r="H76" s="23"/>
    </row>
    <row r="77" customFormat="false" ht="15" hidden="false" customHeight="false" outlineLevel="0" collapsed="false">
      <c r="A77" s="7"/>
      <c r="B77" s="25" t="n">
        <v>26</v>
      </c>
      <c r="C77" s="11" t="n">
        <f aca="false">(ABS(C30-E30)/C30)*100</f>
        <v>96.9337979094077</v>
      </c>
      <c r="D77" s="25" t="n">
        <f aca="false">(ABS(D30-F30)/D30)*100</f>
        <v>8.51140496991536</v>
      </c>
      <c r="E77" s="23"/>
      <c r="F77" s="25" t="n">
        <f aca="false">(ABS(C30-G30)/C30)*100</f>
        <v>0.0309717382888115</v>
      </c>
      <c r="G77" s="25" t="n">
        <f aca="false">(ABS(D30-H30)/D30)*100</f>
        <v>0.00271951592616514</v>
      </c>
      <c r="H77" s="23"/>
    </row>
    <row r="78" customFormat="false" ht="15" hidden="false" customHeight="false" outlineLevel="0" collapsed="false">
      <c r="A78" s="7"/>
      <c r="B78" s="25" t="n">
        <v>27</v>
      </c>
      <c r="C78" s="11" t="n">
        <f aca="false">(ABS(C31-E31)/C31)*100</f>
        <v>97.5396262124438</v>
      </c>
      <c r="D78" s="25" t="n">
        <f aca="false">(ABS(D31-F31)/D31)*100</f>
        <v>8.39606568059789</v>
      </c>
      <c r="E78" s="23"/>
      <c r="F78" s="25" t="n">
        <f aca="false">(ABS(C31-G31)/C31)*100</f>
        <v>0</v>
      </c>
      <c r="G78" s="25" t="n">
        <f aca="false">(ABS(D31-H31)/D31)*100</f>
        <v>0</v>
      </c>
      <c r="H78" s="23"/>
    </row>
    <row r="79" customFormat="false" ht="15" hidden="false" customHeight="false" outlineLevel="0" collapsed="false">
      <c r="A79" s="7"/>
      <c r="B79" s="25" t="n">
        <v>28</v>
      </c>
      <c r="C79" s="11" t="n">
        <f aca="false">(ABS(C32-E32)/C32)*100</f>
        <v>100</v>
      </c>
      <c r="D79" s="25" t="n">
        <f aca="false">(ABS(D32-F32)/D32)*100</f>
        <v>8.34309549766724</v>
      </c>
      <c r="E79" s="23"/>
      <c r="F79" s="25" t="n">
        <f aca="false">(ABS(C32-G32)/C32)*100</f>
        <v>0.0730460189919649</v>
      </c>
      <c r="G79" s="25" t="n">
        <f aca="false">(ABS(D32-H32)/D32)*100</f>
        <v>0.00609429912174378</v>
      </c>
      <c r="H79" s="23"/>
    </row>
    <row r="80" customFormat="false" ht="15" hidden="false" customHeight="false" outlineLevel="0" collapsed="false">
      <c r="A80" s="7"/>
      <c r="B80" s="25" t="n">
        <v>29</v>
      </c>
      <c r="C80" s="11" t="n">
        <f aca="false">(ABS(C33-E33)/C33)*100</f>
        <v>98.8058455114823</v>
      </c>
      <c r="D80" s="25" t="n">
        <f aca="false">(ABS(D33-F33)/D33)*100</f>
        <v>7.99324438439453</v>
      </c>
      <c r="E80" s="23"/>
      <c r="F80" s="25" t="n">
        <f aca="false">(ABS(C33-G33)/C33)*100</f>
        <v>0.0167014613778706</v>
      </c>
      <c r="G80" s="25" t="n">
        <f aca="false">(ABS(D33-H33)/D33)*100</f>
        <v>0.00135112312109441</v>
      </c>
      <c r="H80" s="23"/>
    </row>
    <row r="81" customFormat="false" ht="15" hidden="false" customHeight="false" outlineLevel="0" collapsed="false">
      <c r="A81" s="7"/>
      <c r="B81" s="25" t="n">
        <v>30</v>
      </c>
      <c r="C81" s="11" t="n">
        <f aca="false">(ABS(C34-E34)/C34)*100</f>
        <v>100</v>
      </c>
      <c r="D81" s="25" t="n">
        <f aca="false">(ABS(D34-F34)/D34)*100</f>
        <v>7.7847538465684</v>
      </c>
      <c r="E81" s="23"/>
      <c r="F81" s="25" t="n">
        <f aca="false">(ABS(C34-G34)/C34)*100</f>
        <v>0.0346140533056421</v>
      </c>
      <c r="G81" s="25" t="n">
        <f aca="false">(ABS(D34-H34)/D34)*100</f>
        <v>0.00269461884616421</v>
      </c>
      <c r="H81" s="23"/>
    </row>
    <row r="82" customFormat="false" ht="15" hidden="false" customHeight="false" outlineLevel="0" collapsed="false">
      <c r="A82" s="7"/>
      <c r="B82" s="25" t="n">
        <v>31</v>
      </c>
      <c r="C82" s="11" t="n">
        <f aca="false">(ABS(C35-E35)/C35)*100</f>
        <v>94.2359978249048</v>
      </c>
      <c r="D82" s="25" t="n">
        <f aca="false">(ABS(D35-F35)/D35)*100</f>
        <v>6.98011626814173</v>
      </c>
      <c r="E82" s="23"/>
      <c r="F82" s="25" t="n">
        <f aca="false">(ABS(C35-G35)/C35)*100</f>
        <v>0.0181257930034439</v>
      </c>
      <c r="G82" s="25" t="n">
        <f aca="false">(ABS(D35-H35)/D35)*100</f>
        <v>0.00134258824161218</v>
      </c>
      <c r="H82" s="23"/>
    </row>
    <row r="83" customFormat="false" ht="15" hidden="false" customHeight="false" outlineLevel="0" collapsed="false">
      <c r="A83" s="7"/>
      <c r="B83" s="25" t="n">
        <v>32</v>
      </c>
      <c r="C83" s="11" t="n">
        <f aca="false">(ABS(C36-E36)/C36)*100</f>
        <v>97.3944465576265</v>
      </c>
      <c r="D83" s="25" t="n">
        <f aca="false">(ABS(D36-F36)/D36)*100</f>
        <v>6.85156939873164</v>
      </c>
      <c r="E83" s="23"/>
      <c r="F83" s="25" t="n">
        <f aca="false">(ABS(C36-G36)/C36)*100</f>
        <v>0.0475465956637505</v>
      </c>
      <c r="G83" s="25" t="n">
        <f aca="false">(ABS(D36-H36)/D36)*100</f>
        <v>0.00334483958149367</v>
      </c>
      <c r="H83" s="23"/>
    </row>
    <row r="84" customFormat="false" ht="15" hidden="false" customHeight="false" outlineLevel="0" collapsed="false">
      <c r="A84" s="7"/>
      <c r="B84" s="25" t="n">
        <v>33</v>
      </c>
      <c r="C84" s="11" t="n">
        <f aca="false">(ABS(C37-E37)/C37)*100</f>
        <v>90.3758484449397</v>
      </c>
      <c r="D84" s="25" t="n">
        <f aca="false">(ABS(D37-F37)/D37)*100</f>
        <v>5.94222302153481</v>
      </c>
      <c r="E84" s="23"/>
      <c r="F84" s="25" t="n">
        <f aca="false">(ABS(C37-G37)/C37)*100</f>
        <v>0</v>
      </c>
      <c r="G84" s="25" t="n">
        <f aca="false">(ABS(D37-H37)/D37)*100</f>
        <v>0</v>
      </c>
      <c r="H84" s="23"/>
    </row>
    <row r="85" customFormat="false" ht="15" hidden="false" customHeight="false" outlineLevel="0" collapsed="false">
      <c r="A85" s="7"/>
      <c r="B85" s="25" t="n">
        <v>34</v>
      </c>
      <c r="C85" s="11" t="n">
        <f aca="false">(ABS(C38-E38)/C38)*100</f>
        <v>99.1042167358532</v>
      </c>
      <c r="D85" s="25" t="n">
        <f aca="false">(ABS(D38-F38)/D38)*100</f>
        <v>6.01408058549779</v>
      </c>
      <c r="E85" s="23"/>
      <c r="F85" s="25" t="n">
        <f aca="false">(ABS(C38-G38)/C38)*100</f>
        <v>0</v>
      </c>
      <c r="G85" s="25" t="n">
        <f aca="false">(ABS(D38-H38)/D38)*100</f>
        <v>0</v>
      </c>
      <c r="H85" s="23"/>
    </row>
    <row r="86" customFormat="false" ht="15" hidden="false" customHeight="false" outlineLevel="0" collapsed="false">
      <c r="A86" s="7"/>
      <c r="B86" s="25" t="n">
        <v>35</v>
      </c>
      <c r="C86" s="11" t="n">
        <f aca="false">(ABS(C39-E39)/C39)*100</f>
        <v>97.6814394396812</v>
      </c>
      <c r="D86" s="25" t="n">
        <f aca="false">(ABS(D39-F39)/D39)*100</f>
        <v>5.33156690987945</v>
      </c>
      <c r="E86" s="23"/>
      <c r="F86" s="25" t="n">
        <f aca="false">(ABS(C39-G39)/C39)*100</f>
        <v>0.0603791812583021</v>
      </c>
      <c r="G86" s="25" t="n">
        <f aca="false">(ABS(D39-H39)/D39)*100</f>
        <v>0.0032955661453081</v>
      </c>
      <c r="H86" s="23"/>
    </row>
    <row r="87" customFormat="false" ht="15" hidden="false" customHeight="false" outlineLevel="0" collapsed="false">
      <c r="A87" s="7"/>
      <c r="B87" s="25" t="n">
        <v>36</v>
      </c>
      <c r="C87" s="11" t="n">
        <f aca="false">(ABS(C40-E40)/C40)*100</f>
        <v>86.7013984096518</v>
      </c>
      <c r="D87" s="25" t="n">
        <f aca="false">(ABS(D40-F40)/D40)*100</f>
        <v>4.14129110840439</v>
      </c>
      <c r="E87" s="23"/>
      <c r="F87" s="25" t="n">
        <f aca="false">(ABS(C40-G40)/C40)*100</f>
        <v>0.0274197970935015</v>
      </c>
      <c r="G87" s="25" t="n">
        <f aca="false">(ABS(D40-H40)/D40)*100</f>
        <v>0.00130970623289196</v>
      </c>
      <c r="H87" s="23"/>
    </row>
    <row r="88" customFormat="false" ht="15" hidden="false" customHeight="false" outlineLevel="0" collapsed="false">
      <c r="A88" s="7"/>
      <c r="B88" s="25" t="n">
        <v>37</v>
      </c>
      <c r="C88" s="11" t="n">
        <f aca="false">(ABS(C41-E41)/C41)*100</f>
        <v>96.5907201064361</v>
      </c>
      <c r="D88" s="25" t="n">
        <f aca="false">(ABS(D41-F41)/D41)*100</f>
        <v>3.77174696565294</v>
      </c>
      <c r="E88" s="23"/>
      <c r="F88" s="25" t="n">
        <f aca="false">(ABS(C41-G41)/C41)*100</f>
        <v>0.0997838017628472</v>
      </c>
      <c r="G88" s="25" t="n">
        <f aca="false">(ABS(D41-H41)/D41)*100</f>
        <v>0.00389643281575717</v>
      </c>
      <c r="H88" s="23"/>
    </row>
    <row r="89" customFormat="false" ht="15" hidden="false" customHeight="false" outlineLevel="0" collapsed="false">
      <c r="A89" s="7"/>
      <c r="B89" s="25" t="n">
        <v>38</v>
      </c>
      <c r="C89" s="11" t="n">
        <f aca="false">(ABS(C42-E42)/C42)*100</f>
        <v>97.3532796317606</v>
      </c>
      <c r="D89" s="25" t="n">
        <f aca="false">(ABS(D42-F42)/D42)*100</f>
        <v>2.71754842440012</v>
      </c>
      <c r="E89" s="26" t="s">
        <v>11</v>
      </c>
      <c r="F89" s="25" t="n">
        <f aca="false">(ABS(C42-G42)/C42)*100</f>
        <v>0.0230149597238205</v>
      </c>
      <c r="G89" s="25" t="n">
        <f aca="false">(ABS(D42-H42)/D42)*100</f>
        <v>0.000642446436028396</v>
      </c>
      <c r="H89" s="26" t="s">
        <v>11</v>
      </c>
    </row>
    <row r="90" customFormat="false" ht="15" hidden="false" customHeight="false" outlineLevel="0" collapsed="false">
      <c r="A90" s="7"/>
      <c r="B90" s="14" t="s">
        <v>8</v>
      </c>
      <c r="C90" s="15" t="n">
        <f aca="false">(ABS(SUM(C4:C42)-SUM(E4:E42))/SUM(C4:C42))*100</f>
        <v>95.8034615775987</v>
      </c>
      <c r="D90" s="15" t="n">
        <f aca="false">(ABS(SUM(D4:D42)-SUM(F4:F42))/SUM(D4:D42))*100</f>
        <v>7.13303749089985</v>
      </c>
      <c r="E90" s="27" t="n">
        <f aca="false">SUM(C51:D89)/(39*2)</f>
        <v>50.6357223059419</v>
      </c>
      <c r="F90" s="15" t="n">
        <f aca="false">(ABS(SUM(C4:C42)-SUM(G4:G42))/SUM(C4:C42))*100</f>
        <v>0.0208138685118547</v>
      </c>
      <c r="G90" s="15" t="n">
        <f aca="false">(ABS(SUM(D4:D42)-SUM(H4:H42))/SUM(D4:D42))*100</f>
        <v>0.0015496945724186</v>
      </c>
      <c r="H90" s="27" t="n">
        <f aca="false">SUM(F51:G89)/(39*2)</f>
        <v>0.0136119730506793</v>
      </c>
    </row>
  </sheetData>
  <mergeCells count="11">
    <mergeCell ref="B1:B3"/>
    <mergeCell ref="C1:D2"/>
    <mergeCell ref="E1:H1"/>
    <mergeCell ref="E2:F2"/>
    <mergeCell ref="G2:H2"/>
    <mergeCell ref="A3:A43"/>
    <mergeCell ref="B48:B50"/>
    <mergeCell ref="C48:H48"/>
    <mergeCell ref="C49:E49"/>
    <mergeCell ref="F49:H49"/>
    <mergeCell ref="A50:A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H69" colorId="64" zoomScale="100" zoomScaleNormal="100" zoomScalePageLayoutView="100" workbookViewId="0">
      <selection pane="topLeft" activeCell="C51" activeCellId="0" sqref="C51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0.57"/>
    <col collapsed="false" customWidth="true" hidden="false" outlineLevel="0" max="14" min="14" style="0" width="10.15"/>
  </cols>
  <sheetData>
    <row r="1" customFormat="false" ht="15" hidden="false" customHeight="false" outlineLevel="0" collapsed="false">
      <c r="A1" s="2"/>
      <c r="B1" s="19" t="s">
        <v>0</v>
      </c>
      <c r="C1" s="3" t="s">
        <v>14</v>
      </c>
      <c r="D1" s="3"/>
      <c r="E1" s="29" t="s">
        <v>15</v>
      </c>
      <c r="F1" s="29"/>
      <c r="G1" s="29"/>
      <c r="H1" s="29"/>
      <c r="I1" s="20" t="s">
        <v>16</v>
      </c>
      <c r="J1" s="20"/>
      <c r="K1" s="20"/>
      <c r="L1" s="20"/>
    </row>
    <row r="2" customFormat="false" ht="15" hidden="false" customHeight="false" outlineLevel="0" collapsed="false">
      <c r="A2" s="2"/>
      <c r="B2" s="19"/>
      <c r="C2" s="19"/>
      <c r="D2" s="3"/>
      <c r="E2" s="5" t="s">
        <v>3</v>
      </c>
      <c r="F2" s="5"/>
      <c r="G2" s="30" t="s">
        <v>4</v>
      </c>
      <c r="H2" s="30"/>
      <c r="I2" s="31" t="s">
        <v>3</v>
      </c>
      <c r="J2" s="31"/>
      <c r="K2" s="6" t="s">
        <v>4</v>
      </c>
      <c r="L2" s="6"/>
    </row>
    <row r="3" customFormat="false" ht="15" hidden="false" customHeight="false" outlineLevel="0" collapsed="false">
      <c r="A3" s="7" t="s">
        <v>17</v>
      </c>
      <c r="B3" s="19"/>
      <c r="C3" s="32" t="s">
        <v>13</v>
      </c>
      <c r="D3" s="9" t="s">
        <v>7</v>
      </c>
      <c r="E3" s="8" t="s">
        <v>6</v>
      </c>
      <c r="F3" s="10" t="s">
        <v>7</v>
      </c>
      <c r="G3" s="8" t="s">
        <v>6</v>
      </c>
      <c r="H3" s="33" t="s">
        <v>7</v>
      </c>
      <c r="I3" s="32" t="s">
        <v>13</v>
      </c>
      <c r="J3" s="10" t="s">
        <v>7</v>
      </c>
      <c r="K3" s="28" t="s">
        <v>13</v>
      </c>
      <c r="L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4336</v>
      </c>
      <c r="D4" s="12" t="n">
        <v>155664</v>
      </c>
      <c r="E4" s="34" t="n">
        <f aca="false">'Color clustering'!E4</f>
        <v>4336</v>
      </c>
      <c r="F4" s="13" t="n">
        <f aca="false">'Color clustering'!F4</f>
        <v>155664</v>
      </c>
      <c r="G4" s="34" t="n">
        <f aca="false">'Color clustering'!G4</f>
        <v>4336</v>
      </c>
      <c r="H4" s="2" t="n">
        <f aca="false">'Color clustering'!H4</f>
        <v>155664</v>
      </c>
      <c r="I4" s="11" t="n">
        <f aca="false">'Color classification'!E4</f>
        <v>4336</v>
      </c>
      <c r="J4" s="13" t="n">
        <f aca="false">'Color classification'!F4</f>
        <v>155664</v>
      </c>
      <c r="K4" s="2" t="n">
        <f aca="false">'Color classification'!G4</f>
        <v>4336</v>
      </c>
      <c r="L4" s="12" t="n">
        <f aca="false">'Color classification'!H4</f>
        <v>155664</v>
      </c>
    </row>
    <row r="5" customFormat="false" ht="15" hidden="false" customHeight="false" outlineLevel="0" collapsed="false">
      <c r="A5" s="7"/>
      <c r="B5" s="2" t="n">
        <v>1</v>
      </c>
      <c r="C5" s="11" t="n">
        <v>6016</v>
      </c>
      <c r="D5" s="12" t="n">
        <v>153984</v>
      </c>
      <c r="E5" s="34" t="n">
        <f aca="false">'Color clustering'!E5</f>
        <v>6000</v>
      </c>
      <c r="F5" s="13" t="n">
        <f aca="false">'Color clustering'!F5</f>
        <v>154000</v>
      </c>
      <c r="G5" s="34" t="n">
        <f aca="false">'Color clustering'!G5</f>
        <v>6029</v>
      </c>
      <c r="H5" s="2" t="n">
        <f aca="false">'Color clustering'!H5</f>
        <v>153971</v>
      </c>
      <c r="I5" s="11" t="n">
        <f aca="false">'Color classification'!E5</f>
        <v>806</v>
      </c>
      <c r="J5" s="13" t="n">
        <f aca="false">'Color classification'!F5</f>
        <v>159194</v>
      </c>
      <c r="K5" s="2" t="n">
        <f aca="false">'Color classification'!G5</f>
        <v>6025</v>
      </c>
      <c r="L5" s="12" t="n">
        <f aca="false">'Color classification'!H5</f>
        <v>153975</v>
      </c>
    </row>
    <row r="6" customFormat="false" ht="15" hidden="false" customHeight="false" outlineLevel="0" collapsed="false">
      <c r="A6" s="7"/>
      <c r="B6" s="2" t="n">
        <v>2</v>
      </c>
      <c r="C6" s="11" t="n">
        <v>7288</v>
      </c>
      <c r="D6" s="12" t="n">
        <v>152712</v>
      </c>
      <c r="E6" s="34" t="n">
        <f aca="false">'Color clustering'!E6</f>
        <v>7221</v>
      </c>
      <c r="F6" s="13" t="n">
        <f aca="false">'Color clustering'!F6</f>
        <v>152779</v>
      </c>
      <c r="G6" s="34" t="n">
        <f aca="false">'Color clustering'!G6</f>
        <v>7298</v>
      </c>
      <c r="H6" s="2" t="n">
        <f aca="false">'Color clustering'!H6</f>
        <v>152702</v>
      </c>
      <c r="I6" s="11" t="n">
        <f aca="false">'Color classification'!E6</f>
        <v>54</v>
      </c>
      <c r="J6" s="13" t="n">
        <f aca="false">'Color classification'!F6</f>
        <v>159946</v>
      </c>
      <c r="K6" s="2" t="n">
        <f aca="false">'Color classification'!G6</f>
        <v>7301</v>
      </c>
      <c r="L6" s="12" t="n">
        <f aca="false">'Color classification'!H6</f>
        <v>152699</v>
      </c>
    </row>
    <row r="7" customFormat="false" ht="15" hidden="false" customHeight="false" outlineLevel="0" collapsed="false">
      <c r="A7" s="7"/>
      <c r="B7" s="2" t="n">
        <v>3</v>
      </c>
      <c r="C7" s="11" t="n">
        <v>8280</v>
      </c>
      <c r="D7" s="12" t="n">
        <v>151720</v>
      </c>
      <c r="E7" s="34" t="n">
        <f aca="false">'Color clustering'!E7</f>
        <v>8180</v>
      </c>
      <c r="F7" s="13" t="n">
        <f aca="false">'Color clustering'!F7</f>
        <v>151820</v>
      </c>
      <c r="G7" s="34" t="n">
        <f aca="false">'Color clustering'!G7</f>
        <v>8284</v>
      </c>
      <c r="H7" s="2" t="n">
        <f aca="false">'Color clustering'!H7</f>
        <v>151716</v>
      </c>
      <c r="I7" s="11" t="n">
        <f aca="false">'Color classification'!E7</f>
        <v>0</v>
      </c>
      <c r="J7" s="13" t="n">
        <f aca="false">'Color classification'!F7</f>
        <v>160000</v>
      </c>
      <c r="K7" s="2" t="n">
        <f aca="false">'Color classification'!G7</f>
        <v>8277</v>
      </c>
      <c r="L7" s="12" t="n">
        <f aca="false">'Color classification'!H7</f>
        <v>151723</v>
      </c>
    </row>
    <row r="8" customFormat="false" ht="15" hidden="false" customHeight="false" outlineLevel="0" collapsed="false">
      <c r="A8" s="7"/>
      <c r="B8" s="2" t="n">
        <v>4</v>
      </c>
      <c r="C8" s="11" t="n">
        <v>9152</v>
      </c>
      <c r="D8" s="12" t="n">
        <v>150848</v>
      </c>
      <c r="E8" s="34" t="n">
        <f aca="false">'Color clustering'!E8</f>
        <v>9082</v>
      </c>
      <c r="F8" s="13" t="n">
        <f aca="false">'Color clustering'!F8</f>
        <v>150918</v>
      </c>
      <c r="G8" s="34" t="n">
        <f aca="false">'Color clustering'!G8</f>
        <v>9157</v>
      </c>
      <c r="H8" s="2" t="n">
        <f aca="false">'Color clustering'!H8</f>
        <v>150843</v>
      </c>
      <c r="I8" s="11" t="n">
        <f aca="false">'Color classification'!E8</f>
        <v>566</v>
      </c>
      <c r="J8" s="13" t="n">
        <f aca="false">'Color classification'!F8</f>
        <v>159434</v>
      </c>
      <c r="K8" s="2" t="n">
        <f aca="false">'Color classification'!G8</f>
        <v>9158</v>
      </c>
      <c r="L8" s="12" t="n">
        <f aca="false">'Color classification'!H8</f>
        <v>150842</v>
      </c>
    </row>
    <row r="9" customFormat="false" ht="15" hidden="false" customHeight="false" outlineLevel="0" collapsed="false">
      <c r="A9" s="7"/>
      <c r="B9" s="2" t="n">
        <v>5</v>
      </c>
      <c r="C9" s="11" t="n">
        <v>9868</v>
      </c>
      <c r="D9" s="12" t="n">
        <v>150132</v>
      </c>
      <c r="E9" s="34" t="n">
        <f aca="false">'Color clustering'!E9</f>
        <v>9808</v>
      </c>
      <c r="F9" s="13" t="n">
        <f aca="false">'Color clustering'!F9</f>
        <v>150192</v>
      </c>
      <c r="G9" s="34" t="n">
        <f aca="false">'Color clustering'!G9</f>
        <v>9882</v>
      </c>
      <c r="H9" s="2" t="n">
        <f aca="false">'Color clustering'!H9</f>
        <v>150118</v>
      </c>
      <c r="I9" s="11" t="n">
        <f aca="false">'Color classification'!E9</f>
        <v>180</v>
      </c>
      <c r="J9" s="13" t="n">
        <f aca="false">'Color classification'!F9</f>
        <v>159820</v>
      </c>
      <c r="K9" s="2" t="n">
        <f aca="false">'Color classification'!G9</f>
        <v>9874</v>
      </c>
      <c r="L9" s="12" t="n">
        <f aca="false">'Color classification'!H9</f>
        <v>150126</v>
      </c>
    </row>
    <row r="10" customFormat="false" ht="15" hidden="false" customHeight="false" outlineLevel="0" collapsed="false">
      <c r="A10" s="7"/>
      <c r="B10" s="2" t="n">
        <v>6</v>
      </c>
      <c r="C10" s="11" t="n">
        <v>10520</v>
      </c>
      <c r="D10" s="12" t="n">
        <v>149480</v>
      </c>
      <c r="E10" s="34" t="n">
        <f aca="false">'Color clustering'!E10</f>
        <v>10444</v>
      </c>
      <c r="F10" s="13" t="n">
        <f aca="false">'Color clustering'!F10</f>
        <v>149556</v>
      </c>
      <c r="G10" s="34" t="n">
        <f aca="false">'Color clustering'!G10</f>
        <v>10523</v>
      </c>
      <c r="H10" s="2" t="n">
        <f aca="false">'Color clustering'!H10</f>
        <v>149477</v>
      </c>
      <c r="I10" s="11" t="n">
        <f aca="false">'Color classification'!E10</f>
        <v>208</v>
      </c>
      <c r="J10" s="13" t="n">
        <f aca="false">'Color classification'!F10</f>
        <v>159792</v>
      </c>
      <c r="K10" s="2" t="n">
        <f aca="false">'Color classification'!G10</f>
        <v>10525</v>
      </c>
      <c r="L10" s="12" t="n">
        <f aca="false">'Color classification'!H10</f>
        <v>149475</v>
      </c>
    </row>
    <row r="11" customFormat="false" ht="15" hidden="false" customHeight="false" outlineLevel="0" collapsed="false">
      <c r="A11" s="7"/>
      <c r="B11" s="2" t="n">
        <v>7</v>
      </c>
      <c r="C11" s="11" t="n">
        <v>11032</v>
      </c>
      <c r="D11" s="12" t="n">
        <v>148968</v>
      </c>
      <c r="E11" s="34" t="n">
        <f aca="false">'Color clustering'!E11</f>
        <v>10952</v>
      </c>
      <c r="F11" s="13" t="n">
        <f aca="false">'Color clustering'!F11</f>
        <v>149048</v>
      </c>
      <c r="G11" s="34" t="n">
        <f aca="false">'Color clustering'!G11</f>
        <v>11032</v>
      </c>
      <c r="H11" s="2" t="n">
        <f aca="false">'Color clustering'!H11</f>
        <v>148968</v>
      </c>
      <c r="I11" s="11" t="n">
        <f aca="false">'Color classification'!E11</f>
        <v>14</v>
      </c>
      <c r="J11" s="13" t="n">
        <f aca="false">'Color classification'!F11</f>
        <v>159986</v>
      </c>
      <c r="K11" s="2" t="n">
        <f aca="false">'Color classification'!G11</f>
        <v>11032</v>
      </c>
      <c r="L11" s="12" t="n">
        <f aca="false">'Color classification'!H11</f>
        <v>148968</v>
      </c>
    </row>
    <row r="12" customFormat="false" ht="15" hidden="false" customHeight="false" outlineLevel="0" collapsed="false">
      <c r="A12" s="7"/>
      <c r="B12" s="2" t="n">
        <v>8</v>
      </c>
      <c r="C12" s="11" t="n">
        <v>11552</v>
      </c>
      <c r="D12" s="12" t="n">
        <v>148448</v>
      </c>
      <c r="E12" s="34" t="n">
        <f aca="false">'Color clustering'!E12</f>
        <v>11490</v>
      </c>
      <c r="F12" s="13" t="n">
        <f aca="false">'Color clustering'!F12</f>
        <v>148510</v>
      </c>
      <c r="G12" s="34" t="n">
        <f aca="false">'Color clustering'!G12</f>
        <v>11556</v>
      </c>
      <c r="H12" s="2" t="n">
        <f aca="false">'Color clustering'!H12</f>
        <v>148444</v>
      </c>
      <c r="I12" s="11" t="n">
        <f aca="false">'Color classification'!E12</f>
        <v>908</v>
      </c>
      <c r="J12" s="13" t="n">
        <f aca="false">'Color classification'!F12</f>
        <v>159092</v>
      </c>
      <c r="K12" s="2" t="n">
        <f aca="false">'Color classification'!G12</f>
        <v>11553</v>
      </c>
      <c r="L12" s="12" t="n">
        <f aca="false">'Color classification'!H12</f>
        <v>148447</v>
      </c>
    </row>
    <row r="13" customFormat="false" ht="15" hidden="false" customHeight="false" outlineLevel="0" collapsed="false">
      <c r="A13" s="7"/>
      <c r="B13" s="2" t="n">
        <v>9</v>
      </c>
      <c r="C13" s="11" t="n">
        <v>11968</v>
      </c>
      <c r="D13" s="12" t="n">
        <v>148032</v>
      </c>
      <c r="E13" s="34" t="n">
        <f aca="false">'Color clustering'!E13</f>
        <v>11882</v>
      </c>
      <c r="F13" s="13" t="n">
        <f aca="false">'Color clustering'!F13</f>
        <v>148118</v>
      </c>
      <c r="G13" s="34" t="n">
        <f aca="false">'Color clustering'!G13</f>
        <v>11985</v>
      </c>
      <c r="H13" s="2" t="n">
        <f aca="false">'Color clustering'!H13</f>
        <v>148015</v>
      </c>
      <c r="I13" s="11" t="n">
        <f aca="false">'Color classification'!E13</f>
        <v>330</v>
      </c>
      <c r="J13" s="13" t="n">
        <f aca="false">'Color classification'!F13</f>
        <v>159670</v>
      </c>
      <c r="K13" s="2" t="n">
        <f aca="false">'Color classification'!G13</f>
        <v>11977</v>
      </c>
      <c r="L13" s="12" t="n">
        <f aca="false">'Color classification'!H13</f>
        <v>148023</v>
      </c>
    </row>
    <row r="14" customFormat="false" ht="15" hidden="false" customHeight="false" outlineLevel="0" collapsed="false">
      <c r="A14" s="7"/>
      <c r="B14" s="2" t="n">
        <v>10</v>
      </c>
      <c r="C14" s="11" t="n">
        <v>12320</v>
      </c>
      <c r="D14" s="12" t="n">
        <v>147680</v>
      </c>
      <c r="E14" s="34" t="n">
        <f aca="false">'Color clustering'!E14</f>
        <v>12240</v>
      </c>
      <c r="F14" s="13" t="n">
        <f aca="false">'Color clustering'!F14</f>
        <v>147760</v>
      </c>
      <c r="G14" s="34" t="n">
        <f aca="false">'Color clustering'!G14</f>
        <v>12328</v>
      </c>
      <c r="H14" s="2" t="n">
        <f aca="false">'Color clustering'!H14</f>
        <v>147672</v>
      </c>
      <c r="I14" s="11" t="n">
        <f aca="false">'Color classification'!E14</f>
        <v>498</v>
      </c>
      <c r="J14" s="13" t="n">
        <f aca="false">'Color classification'!F14</f>
        <v>159502</v>
      </c>
      <c r="K14" s="2" t="n">
        <f aca="false">'Color classification'!G14</f>
        <v>12322</v>
      </c>
      <c r="L14" s="12" t="n">
        <f aca="false">'Color classification'!H14</f>
        <v>147678</v>
      </c>
    </row>
    <row r="15" customFormat="false" ht="15" hidden="false" customHeight="false" outlineLevel="0" collapsed="false">
      <c r="A15" s="7"/>
      <c r="B15" s="2" t="n">
        <v>11</v>
      </c>
      <c r="C15" s="11" t="n">
        <v>12676</v>
      </c>
      <c r="D15" s="12" t="n">
        <v>147324</v>
      </c>
      <c r="E15" s="34" t="n">
        <f aca="false">'Color clustering'!E15</f>
        <v>12542</v>
      </c>
      <c r="F15" s="13" t="n">
        <f aca="false">'Color clustering'!F15</f>
        <v>147458</v>
      </c>
      <c r="G15" s="34" t="n">
        <f aca="false">'Color clustering'!G15</f>
        <v>12689</v>
      </c>
      <c r="H15" s="2" t="n">
        <f aca="false">'Color clustering'!H15</f>
        <v>147311</v>
      </c>
      <c r="I15" s="11" t="n">
        <f aca="false">'Color classification'!E15</f>
        <v>33</v>
      </c>
      <c r="J15" s="13" t="n">
        <f aca="false">'Color classification'!F15</f>
        <v>159967</v>
      </c>
      <c r="K15" s="2" t="n">
        <f aca="false">'Color classification'!G15</f>
        <v>12684</v>
      </c>
      <c r="L15" s="12" t="n">
        <f aca="false">'Color classification'!H15</f>
        <v>147316</v>
      </c>
    </row>
    <row r="16" customFormat="false" ht="15" hidden="false" customHeight="false" outlineLevel="0" collapsed="false">
      <c r="A16" s="7"/>
      <c r="B16" s="2" t="n">
        <v>12</v>
      </c>
      <c r="C16" s="11" t="n">
        <v>12912</v>
      </c>
      <c r="D16" s="12" t="n">
        <v>147088</v>
      </c>
      <c r="E16" s="34" t="n">
        <f aca="false">'Color clustering'!E16</f>
        <v>12861</v>
      </c>
      <c r="F16" s="13" t="n">
        <f aca="false">'Color clustering'!F16</f>
        <v>147139</v>
      </c>
      <c r="G16" s="34" t="n">
        <f aca="false">'Color clustering'!G16</f>
        <v>12924</v>
      </c>
      <c r="H16" s="2" t="n">
        <f aca="false">'Color clustering'!H16</f>
        <v>147076</v>
      </c>
      <c r="I16" s="11" t="n">
        <f aca="false">'Color classification'!E16</f>
        <v>338</v>
      </c>
      <c r="J16" s="13" t="n">
        <f aca="false">'Color classification'!F16</f>
        <v>159662</v>
      </c>
      <c r="K16" s="2" t="n">
        <f aca="false">'Color classification'!G16</f>
        <v>12920</v>
      </c>
      <c r="L16" s="12" t="n">
        <f aca="false">'Color classification'!H16</f>
        <v>147080</v>
      </c>
    </row>
    <row r="17" customFormat="false" ht="15" hidden="false" customHeight="false" outlineLevel="0" collapsed="false">
      <c r="A17" s="7"/>
      <c r="B17" s="2" t="n">
        <v>13</v>
      </c>
      <c r="C17" s="11" t="n">
        <v>13192</v>
      </c>
      <c r="D17" s="12" t="n">
        <v>146808</v>
      </c>
      <c r="E17" s="34" t="n">
        <f aca="false">'Color clustering'!E17</f>
        <v>13063</v>
      </c>
      <c r="F17" s="13" t="n">
        <f aca="false">'Color clustering'!F17</f>
        <v>146937</v>
      </c>
      <c r="G17" s="34" t="n">
        <f aca="false">'Color clustering'!G17</f>
        <v>13203</v>
      </c>
      <c r="H17" s="2" t="n">
        <f aca="false">'Color clustering'!H17</f>
        <v>146797</v>
      </c>
      <c r="I17" s="11" t="n">
        <f aca="false">'Color classification'!E17</f>
        <v>335</v>
      </c>
      <c r="J17" s="13" t="n">
        <f aca="false">'Color classification'!F17</f>
        <v>159665</v>
      </c>
      <c r="K17" s="2" t="n">
        <f aca="false">'Color classification'!G17</f>
        <v>13200</v>
      </c>
      <c r="L17" s="12" t="n">
        <f aca="false">'Color classification'!H17</f>
        <v>146800</v>
      </c>
    </row>
    <row r="18" customFormat="false" ht="15" hidden="false" customHeight="false" outlineLevel="0" collapsed="false">
      <c r="A18" s="7"/>
      <c r="B18" s="2" t="n">
        <v>14</v>
      </c>
      <c r="C18" s="11" t="n">
        <v>13408</v>
      </c>
      <c r="D18" s="12" t="n">
        <v>146592</v>
      </c>
      <c r="E18" s="34" t="n">
        <f aca="false">'Color clustering'!E18</f>
        <v>13308</v>
      </c>
      <c r="F18" s="13" t="n">
        <f aca="false">'Color clustering'!F18</f>
        <v>146692</v>
      </c>
      <c r="G18" s="34" t="n">
        <f aca="false">'Color clustering'!G18</f>
        <v>13422</v>
      </c>
      <c r="H18" s="2" t="n">
        <f aca="false">'Color clustering'!H18</f>
        <v>146578</v>
      </c>
      <c r="I18" s="11" t="n">
        <f aca="false">'Color classification'!E18</f>
        <v>560</v>
      </c>
      <c r="J18" s="13" t="n">
        <f aca="false">'Color classification'!F18</f>
        <v>159440</v>
      </c>
      <c r="K18" s="2" t="n">
        <f aca="false">'Color classification'!G18</f>
        <v>13420</v>
      </c>
      <c r="L18" s="12" t="n">
        <f aca="false">'Color classification'!H18</f>
        <v>146580</v>
      </c>
    </row>
    <row r="19" customFormat="false" ht="15" hidden="false" customHeight="false" outlineLevel="0" collapsed="false">
      <c r="A19" s="7"/>
      <c r="B19" s="2" t="n">
        <v>15</v>
      </c>
      <c r="C19" s="11" t="n">
        <v>13528</v>
      </c>
      <c r="D19" s="12" t="n">
        <v>146472</v>
      </c>
      <c r="E19" s="34" t="n">
        <f aca="false">'Color clustering'!E19</f>
        <v>13479</v>
      </c>
      <c r="F19" s="13" t="n">
        <f aca="false">'Color clustering'!F19</f>
        <v>146521</v>
      </c>
      <c r="G19" s="34" t="n">
        <f aca="false">'Color clustering'!G19</f>
        <v>13542</v>
      </c>
      <c r="H19" s="2" t="n">
        <f aca="false">'Color clustering'!H19</f>
        <v>146458</v>
      </c>
      <c r="I19" s="11" t="n">
        <f aca="false">'Color classification'!E19</f>
        <v>82</v>
      </c>
      <c r="J19" s="13" t="n">
        <f aca="false">'Color classification'!F19</f>
        <v>159918</v>
      </c>
      <c r="K19" s="2" t="n">
        <f aca="false">'Color classification'!G19</f>
        <v>13539</v>
      </c>
      <c r="L19" s="12" t="n">
        <f aca="false">'Color classification'!H19</f>
        <v>146461</v>
      </c>
    </row>
    <row r="20" customFormat="false" ht="15" hidden="false" customHeight="false" outlineLevel="0" collapsed="false">
      <c r="A20" s="7"/>
      <c r="B20" s="2" t="n">
        <v>16</v>
      </c>
      <c r="C20" s="11" t="n">
        <v>13668</v>
      </c>
      <c r="D20" s="12" t="n">
        <v>146332</v>
      </c>
      <c r="E20" s="34" t="n">
        <f aca="false">'Color clustering'!E20</f>
        <v>13595</v>
      </c>
      <c r="F20" s="13" t="n">
        <f aca="false">'Color clustering'!F20</f>
        <v>146405</v>
      </c>
      <c r="G20" s="34" t="n">
        <f aca="false">'Color clustering'!G20</f>
        <v>13680</v>
      </c>
      <c r="H20" s="2" t="n">
        <f aca="false">'Color clustering'!H20</f>
        <v>146320</v>
      </c>
      <c r="I20" s="11" t="n">
        <f aca="false">'Color classification'!E20</f>
        <v>464</v>
      </c>
      <c r="J20" s="13" t="n">
        <f aca="false">'Color classification'!F20</f>
        <v>159536</v>
      </c>
      <c r="K20" s="2" t="n">
        <f aca="false">'Color classification'!G20</f>
        <v>13676</v>
      </c>
      <c r="L20" s="12" t="n">
        <f aca="false">'Color classification'!H20</f>
        <v>146324</v>
      </c>
    </row>
    <row r="21" customFormat="false" ht="15" hidden="false" customHeight="false" outlineLevel="0" collapsed="false">
      <c r="A21" s="7"/>
      <c r="B21" s="2" t="n">
        <v>17</v>
      </c>
      <c r="C21" s="11" t="n">
        <v>13732</v>
      </c>
      <c r="D21" s="12" t="n">
        <v>146268</v>
      </c>
      <c r="E21" s="34" t="n">
        <f aca="false">'Color clustering'!E21</f>
        <v>13644</v>
      </c>
      <c r="F21" s="13" t="n">
        <f aca="false">'Color clustering'!F21</f>
        <v>146356</v>
      </c>
      <c r="G21" s="34" t="n">
        <f aca="false">'Color clustering'!G21</f>
        <v>13743</v>
      </c>
      <c r="H21" s="2" t="n">
        <f aca="false">'Color clustering'!H21</f>
        <v>146257</v>
      </c>
      <c r="I21" s="11" t="n">
        <f aca="false">'Color classification'!E21</f>
        <v>0</v>
      </c>
      <c r="J21" s="13" t="n">
        <f aca="false">'Color classification'!F21</f>
        <v>160000</v>
      </c>
      <c r="K21" s="2" t="n">
        <f aca="false">'Color classification'!G21</f>
        <v>13740</v>
      </c>
      <c r="L21" s="12" t="n">
        <f aca="false">'Color classification'!H21</f>
        <v>146260</v>
      </c>
    </row>
    <row r="22" customFormat="false" ht="15" hidden="false" customHeight="false" outlineLevel="0" collapsed="false">
      <c r="A22" s="7"/>
      <c r="B22" s="2" t="n">
        <v>18</v>
      </c>
      <c r="C22" s="11" t="n">
        <v>13784</v>
      </c>
      <c r="D22" s="12" t="n">
        <v>146216</v>
      </c>
      <c r="E22" s="34" t="n">
        <f aca="false">'Color clustering'!E22</f>
        <v>13706</v>
      </c>
      <c r="F22" s="13" t="n">
        <f aca="false">'Color clustering'!F22</f>
        <v>146294</v>
      </c>
      <c r="G22" s="34" t="n">
        <f aca="false">'Color clustering'!G22</f>
        <v>13787</v>
      </c>
      <c r="H22" s="2" t="n">
        <f aca="false">'Color clustering'!H22</f>
        <v>146213</v>
      </c>
      <c r="I22" s="11" t="n">
        <f aca="false">'Color classification'!E22</f>
        <v>2231</v>
      </c>
      <c r="J22" s="13" t="n">
        <f aca="false">'Color classification'!F22</f>
        <v>157769</v>
      </c>
      <c r="K22" s="2" t="n">
        <f aca="false">'Color classification'!G22</f>
        <v>13791</v>
      </c>
      <c r="L22" s="12" t="n">
        <f aca="false">'Color classification'!H22</f>
        <v>146209</v>
      </c>
    </row>
    <row r="23" customFormat="false" ht="15" hidden="false" customHeight="false" outlineLevel="0" collapsed="false">
      <c r="A23" s="7"/>
      <c r="B23" s="2" t="n">
        <v>19</v>
      </c>
      <c r="C23" s="11" t="n">
        <v>13792</v>
      </c>
      <c r="D23" s="12" t="n">
        <v>146208</v>
      </c>
      <c r="E23" s="34" t="n">
        <f aca="false">'Color clustering'!E23</f>
        <v>13706</v>
      </c>
      <c r="F23" s="13" t="n">
        <f aca="false">'Color clustering'!F23</f>
        <v>146294</v>
      </c>
      <c r="G23" s="34" t="n">
        <f aca="false">'Color clustering'!G23</f>
        <v>13811</v>
      </c>
      <c r="H23" s="2" t="n">
        <f aca="false">'Color clustering'!H23</f>
        <v>146189</v>
      </c>
      <c r="I23" s="11" t="n">
        <f aca="false">'Color classification'!E23</f>
        <v>112</v>
      </c>
      <c r="J23" s="13" t="n">
        <f aca="false">'Color classification'!F23</f>
        <v>159888</v>
      </c>
      <c r="K23" s="2" t="n">
        <f aca="false">'Color classification'!G23</f>
        <v>13808</v>
      </c>
      <c r="L23" s="12" t="n">
        <f aca="false">'Color classification'!H23</f>
        <v>146192</v>
      </c>
    </row>
    <row r="24" customFormat="false" ht="15" hidden="false" customHeight="false" outlineLevel="0" collapsed="false">
      <c r="A24" s="7"/>
      <c r="B24" s="2" t="n">
        <v>20</v>
      </c>
      <c r="C24" s="11" t="n">
        <v>13784</v>
      </c>
      <c r="D24" s="12" t="n">
        <v>146216</v>
      </c>
      <c r="E24" s="34" t="n">
        <f aca="false">'Color clustering'!E24</f>
        <v>13704</v>
      </c>
      <c r="F24" s="13" t="n">
        <f aca="false">'Color clustering'!F24</f>
        <v>146296</v>
      </c>
      <c r="G24" s="34" t="n">
        <f aca="false">'Color clustering'!G24</f>
        <v>13800</v>
      </c>
      <c r="H24" s="2" t="n">
        <f aca="false">'Color clustering'!H24</f>
        <v>146200</v>
      </c>
      <c r="I24" s="11" t="n">
        <f aca="false">'Color classification'!E24</f>
        <v>106</v>
      </c>
      <c r="J24" s="13" t="n">
        <f aca="false">'Color classification'!F24</f>
        <v>159894</v>
      </c>
      <c r="K24" s="2" t="n">
        <f aca="false">'Color classification'!G24</f>
        <v>13795</v>
      </c>
      <c r="L24" s="12" t="n">
        <f aca="false">'Color classification'!H24</f>
        <v>146205</v>
      </c>
    </row>
    <row r="25" customFormat="false" ht="15" hidden="false" customHeight="false" outlineLevel="0" collapsed="false">
      <c r="A25" s="7"/>
      <c r="B25" s="2" t="n">
        <v>21</v>
      </c>
      <c r="C25" s="11" t="n">
        <v>13732</v>
      </c>
      <c r="D25" s="12" t="n">
        <v>146268</v>
      </c>
      <c r="E25" s="34" t="n">
        <f aca="false">'Color clustering'!E25</f>
        <v>13633</v>
      </c>
      <c r="F25" s="13" t="n">
        <f aca="false">'Color clustering'!F25</f>
        <v>146367</v>
      </c>
      <c r="G25" s="34" t="n">
        <f aca="false">'Color clustering'!G25</f>
        <v>13731</v>
      </c>
      <c r="H25" s="2" t="n">
        <f aca="false">'Color clustering'!H25</f>
        <v>146269</v>
      </c>
      <c r="I25" s="11" t="n">
        <f aca="false">'Color classification'!E25</f>
        <v>864</v>
      </c>
      <c r="J25" s="13" t="n">
        <f aca="false">'Color classification'!F25</f>
        <v>159136</v>
      </c>
      <c r="K25" s="2" t="n">
        <f aca="false">'Color classification'!G25</f>
        <v>13733</v>
      </c>
      <c r="L25" s="12" t="n">
        <f aca="false">'Color classification'!H25</f>
        <v>146267</v>
      </c>
    </row>
    <row r="26" customFormat="false" ht="15" hidden="false" customHeight="false" outlineLevel="0" collapsed="false">
      <c r="A26" s="7"/>
      <c r="B26" s="2" t="n">
        <v>22</v>
      </c>
      <c r="C26" s="11" t="n">
        <v>13668</v>
      </c>
      <c r="D26" s="12" t="n">
        <v>146332</v>
      </c>
      <c r="E26" s="34" t="n">
        <f aca="false">'Color clustering'!E26</f>
        <v>13609</v>
      </c>
      <c r="F26" s="13" t="n">
        <f aca="false">'Color clustering'!F26</f>
        <v>146391</v>
      </c>
      <c r="G26" s="34" t="n">
        <f aca="false">'Color clustering'!G26</f>
        <v>13683</v>
      </c>
      <c r="H26" s="2" t="n">
        <f aca="false">'Color clustering'!H26</f>
        <v>146317</v>
      </c>
      <c r="I26" s="11" t="n">
        <f aca="false">'Color classification'!E26</f>
        <v>91</v>
      </c>
      <c r="J26" s="13" t="n">
        <f aca="false">'Color classification'!F26</f>
        <v>159909</v>
      </c>
      <c r="K26" s="2" t="n">
        <f aca="false">'Color classification'!G26</f>
        <v>13677</v>
      </c>
      <c r="L26" s="12" t="n">
        <f aca="false">'Color classification'!H26</f>
        <v>146323</v>
      </c>
    </row>
    <row r="27" customFormat="false" ht="15" hidden="false" customHeight="false" outlineLevel="0" collapsed="false">
      <c r="A27" s="7"/>
      <c r="B27" s="2" t="n">
        <v>23</v>
      </c>
      <c r="C27" s="11" t="n">
        <v>13528</v>
      </c>
      <c r="D27" s="12" t="n">
        <v>146472</v>
      </c>
      <c r="E27" s="34" t="n">
        <f aca="false">'Color clustering'!E27</f>
        <v>13379</v>
      </c>
      <c r="F27" s="13" t="n">
        <f aca="false">'Color clustering'!F27</f>
        <v>146621</v>
      </c>
      <c r="G27" s="34" t="n">
        <f aca="false">'Color clustering'!G27</f>
        <v>13533</v>
      </c>
      <c r="H27" s="2" t="n">
        <f aca="false">'Color clustering'!H27</f>
        <v>146467</v>
      </c>
      <c r="I27" s="11" t="n">
        <f aca="false">'Color classification'!E27</f>
        <v>0</v>
      </c>
      <c r="J27" s="13" t="n">
        <f aca="false">'Color classification'!F27</f>
        <v>160000</v>
      </c>
      <c r="K27" s="2" t="n">
        <f aca="false">'Color classification'!G27</f>
        <v>13529</v>
      </c>
      <c r="L27" s="12" t="n">
        <f aca="false">'Color classification'!H27</f>
        <v>146471</v>
      </c>
    </row>
    <row r="28" customFormat="false" ht="15" hidden="false" customHeight="false" outlineLevel="0" collapsed="false">
      <c r="A28" s="7"/>
      <c r="B28" s="2" t="n">
        <v>24</v>
      </c>
      <c r="C28" s="11" t="n">
        <v>13408</v>
      </c>
      <c r="D28" s="12" t="n">
        <v>146592</v>
      </c>
      <c r="E28" s="34" t="n">
        <f aca="false">'Color clustering'!E28</f>
        <v>13283</v>
      </c>
      <c r="F28" s="13" t="n">
        <f aca="false">'Color clustering'!F28</f>
        <v>146717</v>
      </c>
      <c r="G28" s="34" t="n">
        <f aca="false">'Color clustering'!G28</f>
        <v>13417</v>
      </c>
      <c r="H28" s="2" t="n">
        <f aca="false">'Color clustering'!H28</f>
        <v>146583</v>
      </c>
      <c r="I28" s="11" t="n">
        <f aca="false">'Color classification'!E28</f>
        <v>742</v>
      </c>
      <c r="J28" s="13" t="n">
        <f aca="false">'Color classification'!F28</f>
        <v>159258</v>
      </c>
      <c r="K28" s="2" t="n">
        <f aca="false">'Color classification'!G28</f>
        <v>13410</v>
      </c>
      <c r="L28" s="12" t="n">
        <f aca="false">'Color classification'!H28</f>
        <v>146590</v>
      </c>
    </row>
    <row r="29" customFormat="false" ht="15" hidden="false" customHeight="false" outlineLevel="0" collapsed="false">
      <c r="A29" s="7"/>
      <c r="B29" s="2" t="n">
        <v>25</v>
      </c>
      <c r="C29" s="11" t="n">
        <v>13192</v>
      </c>
      <c r="D29" s="12" t="n">
        <v>146808</v>
      </c>
      <c r="E29" s="34" t="n">
        <f aca="false">'Color clustering'!E29</f>
        <v>13139</v>
      </c>
      <c r="F29" s="13" t="n">
        <f aca="false">'Color clustering'!F29</f>
        <v>146861</v>
      </c>
      <c r="G29" s="34" t="n">
        <f aca="false">'Color clustering'!G29</f>
        <v>13206</v>
      </c>
      <c r="H29" s="2" t="n">
        <f aca="false">'Color clustering'!H29</f>
        <v>146794</v>
      </c>
      <c r="I29" s="11" t="n">
        <f aca="false">'Color classification'!E29</f>
        <v>13</v>
      </c>
      <c r="J29" s="13" t="n">
        <f aca="false">'Color classification'!F29</f>
        <v>159987</v>
      </c>
      <c r="K29" s="2" t="n">
        <f aca="false">'Color classification'!G29</f>
        <v>13200</v>
      </c>
      <c r="L29" s="12" t="n">
        <f aca="false">'Color classification'!H29</f>
        <v>146800</v>
      </c>
    </row>
    <row r="30" customFormat="false" ht="15" hidden="false" customHeight="false" outlineLevel="0" collapsed="false">
      <c r="A30" s="7"/>
      <c r="B30" s="2" t="n">
        <v>26</v>
      </c>
      <c r="C30" s="11" t="n">
        <v>12912</v>
      </c>
      <c r="D30" s="12" t="n">
        <v>147088</v>
      </c>
      <c r="E30" s="34" t="n">
        <f aca="false">'Color clustering'!E30</f>
        <v>12851</v>
      </c>
      <c r="F30" s="13" t="n">
        <f aca="false">'Color clustering'!F30</f>
        <v>147149</v>
      </c>
      <c r="G30" s="34" t="n">
        <f aca="false">'Color clustering'!G30</f>
        <v>12926</v>
      </c>
      <c r="H30" s="2" t="n">
        <f aca="false">'Color clustering'!H30</f>
        <v>147074</v>
      </c>
      <c r="I30" s="11" t="n">
        <f aca="false">'Color classification'!E30</f>
        <v>396</v>
      </c>
      <c r="J30" s="13" t="n">
        <f aca="false">'Color classification'!F30</f>
        <v>159604</v>
      </c>
      <c r="K30" s="2" t="n">
        <f aca="false">'Color classification'!G30</f>
        <v>12919</v>
      </c>
      <c r="L30" s="12" t="n">
        <f aca="false">'Color classification'!H30</f>
        <v>147081</v>
      </c>
    </row>
    <row r="31" customFormat="false" ht="15" hidden="false" customHeight="false" outlineLevel="0" collapsed="false">
      <c r="A31" s="7"/>
      <c r="B31" s="2" t="n">
        <v>27</v>
      </c>
      <c r="C31" s="11" t="n">
        <v>12676</v>
      </c>
      <c r="D31" s="12" t="n">
        <v>147324</v>
      </c>
      <c r="E31" s="34" t="n">
        <f aca="false">'Color clustering'!E31</f>
        <v>12585</v>
      </c>
      <c r="F31" s="13" t="n">
        <f aca="false">'Color clustering'!F31</f>
        <v>147415</v>
      </c>
      <c r="G31" s="34" t="n">
        <f aca="false">'Color clustering'!G31</f>
        <v>12693</v>
      </c>
      <c r="H31" s="2" t="n">
        <f aca="false">'Color clustering'!H31</f>
        <v>147307</v>
      </c>
      <c r="I31" s="11" t="n">
        <f aca="false">'Color classification'!E31</f>
        <v>312</v>
      </c>
      <c r="J31" s="13" t="n">
        <f aca="false">'Color classification'!F31</f>
        <v>159688</v>
      </c>
      <c r="K31" s="2" t="n">
        <f aca="false">'Color classification'!G31</f>
        <v>12681</v>
      </c>
      <c r="L31" s="12" t="n">
        <f aca="false">'Color classification'!H31</f>
        <v>147319</v>
      </c>
    </row>
    <row r="32" customFormat="false" ht="15" hidden="false" customHeight="false" outlineLevel="0" collapsed="false">
      <c r="A32" s="7"/>
      <c r="B32" s="2" t="n">
        <v>28</v>
      </c>
      <c r="C32" s="11" t="n">
        <v>12320</v>
      </c>
      <c r="D32" s="12" t="n">
        <v>147680</v>
      </c>
      <c r="E32" s="34" t="n">
        <f aca="false">'Color clustering'!E32</f>
        <v>12266</v>
      </c>
      <c r="F32" s="13" t="n">
        <f aca="false">'Color clustering'!F32</f>
        <v>147734</v>
      </c>
      <c r="G32" s="34" t="n">
        <f aca="false">'Color clustering'!G32</f>
        <v>12328</v>
      </c>
      <c r="H32" s="2" t="n">
        <f aca="false">'Color clustering'!H32</f>
        <v>147672</v>
      </c>
      <c r="I32" s="11" t="n">
        <f aca="false">'Color classification'!E32</f>
        <v>0</v>
      </c>
      <c r="J32" s="13" t="n">
        <f aca="false">'Color classification'!F32</f>
        <v>160000</v>
      </c>
      <c r="K32" s="2" t="n">
        <f aca="false">'Color classification'!G32</f>
        <v>12330</v>
      </c>
      <c r="L32" s="12" t="n">
        <f aca="false">'Color classification'!H32</f>
        <v>147670</v>
      </c>
    </row>
    <row r="33" customFormat="false" ht="15" hidden="false" customHeight="false" outlineLevel="0" collapsed="false">
      <c r="A33" s="7"/>
      <c r="B33" s="2" t="n">
        <v>29</v>
      </c>
      <c r="C33" s="11" t="n">
        <v>11968</v>
      </c>
      <c r="D33" s="12" t="n">
        <v>148032</v>
      </c>
      <c r="E33" s="34" t="n">
        <f aca="false">'Color clustering'!E33</f>
        <v>11905</v>
      </c>
      <c r="F33" s="13" t="n">
        <f aca="false">'Color clustering'!F33</f>
        <v>148095</v>
      </c>
      <c r="G33" s="34" t="n">
        <f aca="false">'Color clustering'!G33</f>
        <v>11981</v>
      </c>
      <c r="H33" s="2" t="n">
        <f aca="false">'Color clustering'!H33</f>
        <v>148019</v>
      </c>
      <c r="I33" s="11" t="n">
        <f aca="false">'Color classification'!E33</f>
        <v>143</v>
      </c>
      <c r="J33" s="13" t="n">
        <f aca="false">'Color classification'!F33</f>
        <v>159857</v>
      </c>
      <c r="K33" s="2" t="n">
        <f aca="false">'Color classification'!G33</f>
        <v>11977</v>
      </c>
      <c r="L33" s="12" t="n">
        <f aca="false">'Color classification'!H33</f>
        <v>148023</v>
      </c>
    </row>
    <row r="34" customFormat="false" ht="15" hidden="false" customHeight="false" outlineLevel="0" collapsed="false">
      <c r="A34" s="7"/>
      <c r="B34" s="2" t="n">
        <v>30</v>
      </c>
      <c r="C34" s="11" t="n">
        <v>11552</v>
      </c>
      <c r="D34" s="12" t="n">
        <v>148448</v>
      </c>
      <c r="E34" s="34" t="n">
        <f aca="false">'Color clustering'!E34</f>
        <v>11465</v>
      </c>
      <c r="F34" s="13" t="n">
        <f aca="false">'Color clustering'!F34</f>
        <v>148535</v>
      </c>
      <c r="G34" s="34" t="n">
        <f aca="false">'Color clustering'!G34</f>
        <v>11564</v>
      </c>
      <c r="H34" s="2" t="n">
        <f aca="false">'Color clustering'!H34</f>
        <v>148436</v>
      </c>
      <c r="I34" s="11" t="n">
        <f aca="false">'Color classification'!E34</f>
        <v>0</v>
      </c>
      <c r="J34" s="13" t="n">
        <f aca="false">'Color classification'!F34</f>
        <v>160000</v>
      </c>
      <c r="K34" s="2" t="n">
        <f aca="false">'Color classification'!G34</f>
        <v>11560</v>
      </c>
      <c r="L34" s="12" t="n">
        <f aca="false">'Color classification'!H34</f>
        <v>148440</v>
      </c>
    </row>
    <row r="35" customFormat="false" ht="15" hidden="false" customHeight="false" outlineLevel="0" collapsed="false">
      <c r="A35" s="7"/>
      <c r="B35" s="2" t="n">
        <v>31</v>
      </c>
      <c r="C35" s="11" t="n">
        <v>11032</v>
      </c>
      <c r="D35" s="12" t="n">
        <v>148968</v>
      </c>
      <c r="E35" s="34" t="n">
        <f aca="false">'Color clustering'!E35</f>
        <v>10953</v>
      </c>
      <c r="F35" s="13" t="n">
        <f aca="false">'Color clustering'!F35</f>
        <v>149047</v>
      </c>
      <c r="G35" s="34" t="n">
        <f aca="false">'Color clustering'!G35</f>
        <v>11038</v>
      </c>
      <c r="H35" s="2" t="n">
        <f aca="false">'Color clustering'!H35</f>
        <v>148962</v>
      </c>
      <c r="I35" s="11" t="n">
        <f aca="false">'Color classification'!E35</f>
        <v>636</v>
      </c>
      <c r="J35" s="13" t="n">
        <f aca="false">'Color classification'!F35</f>
        <v>159364</v>
      </c>
      <c r="K35" s="2" t="n">
        <f aca="false">'Color classification'!G35</f>
        <v>11036</v>
      </c>
      <c r="L35" s="12" t="n">
        <f aca="false">'Color classification'!H35</f>
        <v>148964</v>
      </c>
    </row>
    <row r="36" customFormat="false" ht="15" hidden="false" customHeight="false" outlineLevel="0" collapsed="false">
      <c r="A36" s="7"/>
      <c r="B36" s="2" t="n">
        <v>32</v>
      </c>
      <c r="C36" s="11" t="n">
        <v>10520</v>
      </c>
      <c r="D36" s="12" t="n">
        <v>149480</v>
      </c>
      <c r="E36" s="34" t="n">
        <f aca="false">'Color clustering'!E36</f>
        <v>10442</v>
      </c>
      <c r="F36" s="13" t="n">
        <f aca="false">'Color clustering'!F36</f>
        <v>149558</v>
      </c>
      <c r="G36" s="34" t="n">
        <f aca="false">'Color clustering'!G36</f>
        <v>10520</v>
      </c>
      <c r="H36" s="2" t="n">
        <f aca="false">'Color clustering'!H36</f>
        <v>149480</v>
      </c>
      <c r="I36" s="11" t="n">
        <f aca="false">'Color classification'!E36</f>
        <v>274</v>
      </c>
      <c r="J36" s="13" t="n">
        <f aca="false">'Color classification'!F36</f>
        <v>159726</v>
      </c>
      <c r="K36" s="2" t="n">
        <f aca="false">'Color classification'!G36</f>
        <v>10521</v>
      </c>
      <c r="L36" s="12" t="n">
        <f aca="false">'Color classification'!H36</f>
        <v>149479</v>
      </c>
    </row>
    <row r="37" customFormat="false" ht="15" hidden="false" customHeight="false" outlineLevel="0" collapsed="false">
      <c r="A37" s="7"/>
      <c r="B37" s="2" t="n">
        <v>33</v>
      </c>
      <c r="C37" s="11" t="n">
        <v>9868</v>
      </c>
      <c r="D37" s="12" t="n">
        <v>150132</v>
      </c>
      <c r="E37" s="34" t="n">
        <f aca="false">'Color clustering'!E37</f>
        <v>9725</v>
      </c>
      <c r="F37" s="13" t="n">
        <f aca="false">'Color clustering'!F37</f>
        <v>150275</v>
      </c>
      <c r="G37" s="34" t="n">
        <f aca="false">'Color clustering'!G37</f>
        <v>9871</v>
      </c>
      <c r="H37" s="2" t="n">
        <f aca="false">'Color clustering'!H37</f>
        <v>150129</v>
      </c>
      <c r="I37" s="11" t="n">
        <f aca="false">'Color classification'!E37</f>
        <v>950</v>
      </c>
      <c r="J37" s="13" t="n">
        <f aca="false">'Color classification'!F37</f>
        <v>159050</v>
      </c>
      <c r="K37" s="2" t="n">
        <f aca="false">'Color classification'!G37</f>
        <v>9871</v>
      </c>
      <c r="L37" s="12" t="n">
        <f aca="false">'Color classification'!H37</f>
        <v>150129</v>
      </c>
    </row>
    <row r="38" customFormat="false" ht="15" hidden="false" customHeight="false" outlineLevel="0" collapsed="false">
      <c r="A38" s="7"/>
      <c r="B38" s="2" t="n">
        <v>34</v>
      </c>
      <c r="C38" s="11" t="n">
        <v>9152</v>
      </c>
      <c r="D38" s="12" t="n">
        <v>150848</v>
      </c>
      <c r="E38" s="34" t="n">
        <f aca="false">'Color clustering'!E38</f>
        <v>9093</v>
      </c>
      <c r="F38" s="13" t="n">
        <f aca="false">'Color clustering'!F38</f>
        <v>150907</v>
      </c>
      <c r="G38" s="34" t="n">
        <f aca="false">'Color clustering'!G38</f>
        <v>9160</v>
      </c>
      <c r="H38" s="2" t="n">
        <f aca="false">'Color clustering'!H38</f>
        <v>150840</v>
      </c>
      <c r="I38" s="11" t="n">
        <f aca="false">'Color classification'!E38</f>
        <v>82</v>
      </c>
      <c r="J38" s="13" t="n">
        <f aca="false">'Color classification'!F38</f>
        <v>159918</v>
      </c>
      <c r="K38" s="2" t="n">
        <f aca="false">'Color classification'!G38</f>
        <v>9154</v>
      </c>
      <c r="L38" s="12" t="n">
        <f aca="false">'Color classification'!H38</f>
        <v>150846</v>
      </c>
    </row>
    <row r="39" customFormat="false" ht="15" hidden="false" customHeight="false" outlineLevel="0" collapsed="false">
      <c r="A39" s="7"/>
      <c r="B39" s="2" t="n">
        <v>35</v>
      </c>
      <c r="C39" s="11" t="n">
        <v>8280</v>
      </c>
      <c r="D39" s="12" t="n">
        <v>151720</v>
      </c>
      <c r="E39" s="34" t="n">
        <f aca="false">'Color clustering'!E39</f>
        <v>8189</v>
      </c>
      <c r="F39" s="13" t="n">
        <f aca="false">'Color clustering'!F39</f>
        <v>151811</v>
      </c>
      <c r="G39" s="34" t="n">
        <f aca="false">'Color clustering'!G39</f>
        <v>8285</v>
      </c>
      <c r="H39" s="2" t="n">
        <f aca="false">'Color clustering'!H39</f>
        <v>151715</v>
      </c>
      <c r="I39" s="11" t="n">
        <f aca="false">'Color classification'!E39</f>
        <v>192</v>
      </c>
      <c r="J39" s="13" t="n">
        <f aca="false">'Color classification'!F39</f>
        <v>159808</v>
      </c>
      <c r="K39" s="2" t="n">
        <f aca="false">'Color classification'!G39</f>
        <v>8286</v>
      </c>
      <c r="L39" s="12" t="n">
        <f aca="false">'Color classification'!H39</f>
        <v>151714</v>
      </c>
    </row>
    <row r="40" customFormat="false" ht="15" hidden="false" customHeight="false" outlineLevel="0" collapsed="false">
      <c r="A40" s="7"/>
      <c r="B40" s="2" t="n">
        <v>36</v>
      </c>
      <c r="C40" s="11" t="n">
        <v>7288</v>
      </c>
      <c r="D40" s="12" t="n">
        <v>152712</v>
      </c>
      <c r="E40" s="34" t="n">
        <f aca="false">'Color clustering'!E40</f>
        <v>7189</v>
      </c>
      <c r="F40" s="13" t="n">
        <f aca="false">'Color clustering'!F40</f>
        <v>152811</v>
      </c>
      <c r="G40" s="34" t="n">
        <f aca="false">'Color clustering'!G40</f>
        <v>7299</v>
      </c>
      <c r="H40" s="2" t="n">
        <f aca="false">'Color clustering'!H40</f>
        <v>152701</v>
      </c>
      <c r="I40" s="11" t="n">
        <f aca="false">'Color classification'!E40</f>
        <v>970</v>
      </c>
      <c r="J40" s="13" t="n">
        <f aca="false">'Color classification'!F40</f>
        <v>159030</v>
      </c>
      <c r="K40" s="2" t="n">
        <f aca="false">'Color classification'!G40</f>
        <v>7292</v>
      </c>
      <c r="L40" s="12" t="n">
        <f aca="false">'Color classification'!H40</f>
        <v>152708</v>
      </c>
    </row>
    <row r="41" customFormat="false" ht="15" hidden="false" customHeight="false" outlineLevel="0" collapsed="false">
      <c r="A41" s="7"/>
      <c r="B41" s="2" t="n">
        <v>37</v>
      </c>
      <c r="C41" s="11" t="n">
        <v>6016</v>
      </c>
      <c r="D41" s="12" t="n">
        <v>153984</v>
      </c>
      <c r="E41" s="34" t="n">
        <f aca="false">'Color clustering'!E41</f>
        <v>5937</v>
      </c>
      <c r="F41" s="13" t="n">
        <f aca="false">'Color clustering'!F41</f>
        <v>154063</v>
      </c>
      <c r="G41" s="34" t="n">
        <f aca="false">'Color clustering'!G41</f>
        <v>6028</v>
      </c>
      <c r="H41" s="2" t="n">
        <f aca="false">'Color clustering'!H41</f>
        <v>153972</v>
      </c>
      <c r="I41" s="11" t="n">
        <f aca="false">'Color classification'!E41</f>
        <v>205</v>
      </c>
      <c r="J41" s="13" t="n">
        <f aca="false">'Color classification'!F41</f>
        <v>159795</v>
      </c>
      <c r="K41" s="2" t="n">
        <f aca="false">'Color classification'!G41</f>
        <v>6019</v>
      </c>
      <c r="L41" s="12" t="n">
        <f aca="false">'Color classification'!H41</f>
        <v>153981</v>
      </c>
    </row>
    <row r="42" customFormat="false" ht="15" hidden="false" customHeight="false" outlineLevel="0" collapsed="false">
      <c r="A42" s="7"/>
      <c r="B42" s="2" t="n">
        <v>38</v>
      </c>
      <c r="C42" s="11" t="n">
        <v>4336</v>
      </c>
      <c r="D42" s="12" t="n">
        <v>155664</v>
      </c>
      <c r="E42" s="34" t="n">
        <f aca="false">'Color clustering'!E42</f>
        <v>4273</v>
      </c>
      <c r="F42" s="13" t="n">
        <f aca="false">'Color clustering'!F42</f>
        <v>155727</v>
      </c>
      <c r="G42" s="34" t="n">
        <f aca="false">'Color clustering'!G42</f>
        <v>4354</v>
      </c>
      <c r="H42" s="2" t="n">
        <f aca="false">'Color clustering'!H42</f>
        <v>155646</v>
      </c>
      <c r="I42" s="11" t="n">
        <f aca="false">'Color classification'!E42</f>
        <v>115</v>
      </c>
      <c r="J42" s="13" t="n">
        <f aca="false">'Color classification'!F42</f>
        <v>159885</v>
      </c>
      <c r="K42" s="2" t="n">
        <f aca="false">'Color classification'!G42</f>
        <v>4346</v>
      </c>
      <c r="L42" s="12" t="n">
        <f aca="false">'Color classification'!H42</f>
        <v>155654</v>
      </c>
    </row>
    <row r="43" customFormat="false" ht="15" hidden="false" customHeight="false" outlineLevel="0" collapsed="false">
      <c r="A43" s="7"/>
      <c r="B43" s="35" t="s">
        <v>8</v>
      </c>
      <c r="C43" s="15" t="n">
        <f aca="false">SUM(C4:C42)</f>
        <v>432256</v>
      </c>
      <c r="D43" s="16" t="n">
        <f aca="false">SUM(D4:D42)</f>
        <v>5807744</v>
      </c>
      <c r="E43" s="36" t="n">
        <f aca="false">SUM(E4:E42)</f>
        <v>429159</v>
      </c>
      <c r="F43" s="18" t="n">
        <f aca="false">SUM(F4:F42)</f>
        <v>5810841</v>
      </c>
      <c r="G43" s="36" t="n">
        <f aca="false">SUM(G4:G42)</f>
        <v>432628</v>
      </c>
      <c r="H43" s="17" t="n">
        <f aca="false">SUM(H4:H42)</f>
        <v>5807372</v>
      </c>
      <c r="I43" s="15" t="n">
        <f aca="false">SUM(I4:I42)</f>
        <v>18146</v>
      </c>
      <c r="J43" s="18" t="n">
        <f aca="false">SUM(J4:J42)</f>
        <v>6221854</v>
      </c>
      <c r="K43" s="17" t="n">
        <f aca="false">SUM(K4:K42)</f>
        <v>432494</v>
      </c>
      <c r="L43" s="16" t="n">
        <f aca="false">SUM(L4:L42)</f>
        <v>5807506</v>
      </c>
    </row>
    <row r="44" customFormat="false" ht="15" hidden="false" customHeight="false" outlineLevel="0" collapsed="false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2"/>
      <c r="B48" s="19" t="s">
        <v>0</v>
      </c>
      <c r="C48" s="37" t="s">
        <v>18</v>
      </c>
      <c r="D48" s="37"/>
      <c r="E48" s="37"/>
      <c r="F48" s="37"/>
      <c r="G48" s="37"/>
      <c r="H48" s="37"/>
      <c r="I48" s="38" t="s">
        <v>19</v>
      </c>
      <c r="J48" s="38"/>
      <c r="K48" s="38"/>
      <c r="L48" s="38"/>
      <c r="M48" s="38"/>
      <c r="N48" s="38"/>
    </row>
    <row r="49" customFormat="false" ht="15" hidden="false" customHeight="false" outlineLevel="0" collapsed="false">
      <c r="A49" s="2"/>
      <c r="B49" s="19"/>
      <c r="C49" s="39" t="s">
        <v>3</v>
      </c>
      <c r="D49" s="39"/>
      <c r="E49" s="39"/>
      <c r="F49" s="40" t="s">
        <v>4</v>
      </c>
      <c r="G49" s="40"/>
      <c r="H49" s="40"/>
      <c r="I49" s="39" t="s">
        <v>3</v>
      </c>
      <c r="J49" s="39"/>
      <c r="K49" s="39"/>
      <c r="L49" s="41" t="s">
        <v>4</v>
      </c>
      <c r="M49" s="41"/>
      <c r="N49" s="41"/>
    </row>
    <row r="50" customFormat="false" ht="15" hidden="false" customHeight="false" outlineLevel="0" collapsed="false">
      <c r="A50" s="7" t="s">
        <v>20</v>
      </c>
      <c r="B50" s="19"/>
      <c r="C50" s="42" t="str">
        <f aca="false">E3</f>
        <v>#e65b4b</v>
      </c>
      <c r="D50" s="43" t="str">
        <f aca="false">F3</f>
        <v>#ffffff</v>
      </c>
      <c r="E50" s="44"/>
      <c r="F50" s="45" t="str">
        <f aca="false">G3</f>
        <v>#e65b4b</v>
      </c>
      <c r="G50" s="43" t="str">
        <f aca="false">H3</f>
        <v>#ffffff</v>
      </c>
      <c r="H50" s="46"/>
      <c r="I50" s="42" t="str">
        <f aca="false">I3</f>
        <v>#e65a49</v>
      </c>
      <c r="J50" s="43" t="str">
        <f aca="false">J3</f>
        <v>#ffffff</v>
      </c>
      <c r="K50" s="44"/>
      <c r="L50" s="45" t="str">
        <f aca="false">K3</f>
        <v>#e65a49</v>
      </c>
      <c r="M50" s="43" t="str">
        <f aca="false">L3</f>
        <v>#ffffff</v>
      </c>
      <c r="N50" s="44"/>
    </row>
    <row r="51" customFormat="false" ht="15" hidden="false" customHeight="false" outlineLevel="0" collapsed="false">
      <c r="A51" s="7"/>
      <c r="B51" s="25" t="n">
        <v>0</v>
      </c>
      <c r="C51" s="47" t="n">
        <f aca="false">(ABS(C4-E4)/C4)*100</f>
        <v>0</v>
      </c>
      <c r="D51" s="48" t="n">
        <f aca="false">(ABS(D4-F4)/D4)*100</f>
        <v>0</v>
      </c>
      <c r="E51" s="44"/>
      <c r="F51" s="49" t="n">
        <f aca="false">(ABS(C4-G4)/C4)*100</f>
        <v>0</v>
      </c>
      <c r="G51" s="48" t="n">
        <f aca="false">(ABS(D4-H4)/D4)*100</f>
        <v>0</v>
      </c>
      <c r="H51" s="46"/>
      <c r="I51" s="48" t="n">
        <f aca="false">(ABS(C4-I4)/C4)*100</f>
        <v>0</v>
      </c>
      <c r="J51" s="48" t="n">
        <f aca="false">(ABS(D4-J4)/D4)*100</f>
        <v>0</v>
      </c>
      <c r="K51" s="44"/>
      <c r="L51" s="48" t="n">
        <f aca="false">(ABS(C4-K4)/C4)*100</f>
        <v>0</v>
      </c>
      <c r="M51" s="48" t="n">
        <f aca="false">(ABS(D4-L4)/D4)*100</f>
        <v>0</v>
      </c>
      <c r="N51" s="44"/>
    </row>
    <row r="52" customFormat="false" ht="15" hidden="false" customHeight="false" outlineLevel="0" collapsed="false">
      <c r="A52" s="7"/>
      <c r="B52" s="25" t="n">
        <v>1</v>
      </c>
      <c r="C52" s="47" t="n">
        <f aca="false">(ABS(C5-E5)/C5)*100</f>
        <v>0.265957446808511</v>
      </c>
      <c r="D52" s="48" t="n">
        <f aca="false">(ABS(D5-F5)/D5)*100</f>
        <v>0.0103906899418121</v>
      </c>
      <c r="E52" s="44"/>
      <c r="F52" s="49" t="n">
        <f aca="false">(ABS(C5-G5)/C5)*100</f>
        <v>0.216090425531915</v>
      </c>
      <c r="G52" s="48" t="n">
        <f aca="false">(ABS(D5-H5)/D5)*100</f>
        <v>0.00844243557772236</v>
      </c>
      <c r="H52" s="46"/>
      <c r="I52" s="48" t="n">
        <f aca="false">(ABS(C5-I5)/C5)*100</f>
        <v>86.6023936170213</v>
      </c>
      <c r="J52" s="48" t="n">
        <f aca="false">(ABS(D5-J5)/D5)*100</f>
        <v>3.38346841230258</v>
      </c>
      <c r="K52" s="44"/>
      <c r="L52" s="48" t="n">
        <f aca="false">(ABS(C5-K5)/C5)*100</f>
        <v>0.149601063829787</v>
      </c>
      <c r="M52" s="48" t="n">
        <f aca="false">(ABS(D5-L5)/D5)*100</f>
        <v>0.00584476309226933</v>
      </c>
      <c r="N52" s="44"/>
    </row>
    <row r="53" customFormat="false" ht="15" hidden="false" customHeight="false" outlineLevel="0" collapsed="false">
      <c r="A53" s="7"/>
      <c r="B53" s="25" t="n">
        <v>2</v>
      </c>
      <c r="C53" s="47" t="n">
        <f aca="false">(ABS(C6-E6)/C6)*100</f>
        <v>0.919319429198683</v>
      </c>
      <c r="D53" s="48" t="n">
        <f aca="false">(ABS(D6-F6)/D6)*100</f>
        <v>0.0438734349625439</v>
      </c>
      <c r="E53" s="44"/>
      <c r="F53" s="49" t="n">
        <f aca="false">(ABS(C6-G6)/C6)*100</f>
        <v>0.137211855104281</v>
      </c>
      <c r="G53" s="48" t="n">
        <f aca="false">(ABS(D6-H6)/D6)*100</f>
        <v>0.00654827387500655</v>
      </c>
      <c r="H53" s="46"/>
      <c r="I53" s="48" t="n">
        <f aca="false">(ABS(C6-I6)/C6)*100</f>
        <v>99.2590559824369</v>
      </c>
      <c r="J53" s="48" t="n">
        <f aca="false">(ABS(D6-J6)/D6)*100</f>
        <v>4.73702132117974</v>
      </c>
      <c r="K53" s="44"/>
      <c r="L53" s="48" t="n">
        <f aca="false">(ABS(C6-K6)/C6)*100</f>
        <v>0.178375411635565</v>
      </c>
      <c r="M53" s="48" t="n">
        <f aca="false">(ABS(D6-L6)/D6)*100</f>
        <v>0.00851275603750851</v>
      </c>
      <c r="N53" s="44"/>
    </row>
    <row r="54" customFormat="false" ht="15" hidden="false" customHeight="false" outlineLevel="0" collapsed="false">
      <c r="A54" s="7"/>
      <c r="B54" s="25" t="n">
        <v>3</v>
      </c>
      <c r="C54" s="47" t="n">
        <f aca="false">(ABS(C7-E7)/C7)*100</f>
        <v>1.20772946859903</v>
      </c>
      <c r="D54" s="48" t="n">
        <f aca="false">(ABS(D7-F7)/D7)*100</f>
        <v>0.0659108884787767</v>
      </c>
      <c r="E54" s="44"/>
      <c r="F54" s="49" t="n">
        <f aca="false">(ABS(C7-G7)/C7)*100</f>
        <v>0.0483091787439614</v>
      </c>
      <c r="G54" s="48" t="n">
        <f aca="false">(ABS(D7-H7)/D7)*100</f>
        <v>0.00263643553915107</v>
      </c>
      <c r="H54" s="46"/>
      <c r="I54" s="48" t="n">
        <f aca="false">(ABS(C7-I7)/C7)*100</f>
        <v>100</v>
      </c>
      <c r="J54" s="48" t="n">
        <f aca="false">(ABS(D7-J7)/D7)*100</f>
        <v>5.45742156604271</v>
      </c>
      <c r="K54" s="44"/>
      <c r="L54" s="48" t="n">
        <f aca="false">(ABS(C7-K7)/C7)*100</f>
        <v>0.036231884057971</v>
      </c>
      <c r="M54" s="48" t="n">
        <f aca="false">(ABS(D7-L7)/D7)*100</f>
        <v>0.0019773266543633</v>
      </c>
      <c r="N54" s="44"/>
    </row>
    <row r="55" customFormat="false" ht="15" hidden="false" customHeight="false" outlineLevel="0" collapsed="false">
      <c r="A55" s="7"/>
      <c r="B55" s="25" t="n">
        <v>4</v>
      </c>
      <c r="C55" s="47" t="n">
        <f aca="false">(ABS(C8-E8)/C8)*100</f>
        <v>0.76486013986014</v>
      </c>
      <c r="D55" s="48" t="n">
        <f aca="false">(ABS(D8-F8)/D8)*100</f>
        <v>0.0464043275350021</v>
      </c>
      <c r="E55" s="44"/>
      <c r="F55" s="49" t="n">
        <f aca="false">(ABS(C8-G8)/C8)*100</f>
        <v>0.0546328671328671</v>
      </c>
      <c r="G55" s="48" t="n">
        <f aca="false">(ABS(D8-H8)/D8)*100</f>
        <v>0.00331459482392872</v>
      </c>
      <c r="H55" s="46"/>
      <c r="I55" s="48" t="n">
        <f aca="false">(ABS(C8-I8)/C8)*100</f>
        <v>93.8155594405594</v>
      </c>
      <c r="J55" s="48" t="n">
        <f aca="false">(ABS(D8-J8)/D8)*100</f>
        <v>5.6918222316504</v>
      </c>
      <c r="K55" s="44"/>
      <c r="L55" s="48" t="n">
        <f aca="false">(ABS(C8-K8)/C8)*100</f>
        <v>0.0655594405594406</v>
      </c>
      <c r="M55" s="48" t="n">
        <f aca="false">(ABS(D8-L8)/D8)*100</f>
        <v>0.00397751378871447</v>
      </c>
      <c r="N55" s="44"/>
    </row>
    <row r="56" customFormat="false" ht="15" hidden="false" customHeight="false" outlineLevel="0" collapsed="false">
      <c r="A56" s="7"/>
      <c r="B56" s="25" t="n">
        <v>5</v>
      </c>
      <c r="C56" s="47" t="n">
        <f aca="false">(ABS(C9-E9)/C9)*100</f>
        <v>0.608025942440211</v>
      </c>
      <c r="D56" s="48" t="n">
        <f aca="false">(ABS(D9-F9)/D9)*100</f>
        <v>0.0399648309487651</v>
      </c>
      <c r="E56" s="44"/>
      <c r="F56" s="49" t="n">
        <f aca="false">(ABS(C9-G9)/C9)*100</f>
        <v>0.141872719902716</v>
      </c>
      <c r="G56" s="48" t="n">
        <f aca="false">(ABS(D9-H9)/D9)*100</f>
        <v>0.00932512722137852</v>
      </c>
      <c r="H56" s="46"/>
      <c r="I56" s="48" t="n">
        <f aca="false">(ABS(C9-I9)/C9)*100</f>
        <v>98.1759221726794</v>
      </c>
      <c r="J56" s="48" t="n">
        <f aca="false">(ABS(D9-J9)/D9)*100</f>
        <v>6.45298803719394</v>
      </c>
      <c r="K56" s="44"/>
      <c r="L56" s="48" t="n">
        <f aca="false">(ABS(C9-K9)/C9)*100</f>
        <v>0.0608025942440211</v>
      </c>
      <c r="M56" s="48" t="n">
        <f aca="false">(ABS(D9-L9)/D9)*100</f>
        <v>0.00399648309487651</v>
      </c>
      <c r="N56" s="44"/>
    </row>
    <row r="57" customFormat="false" ht="15" hidden="false" customHeight="false" outlineLevel="0" collapsed="false">
      <c r="A57" s="7"/>
      <c r="B57" s="25" t="n">
        <v>6</v>
      </c>
      <c r="C57" s="47" t="n">
        <f aca="false">(ABS(C10-E10)/C10)*100</f>
        <v>0.722433460076046</v>
      </c>
      <c r="D57" s="48" t="n">
        <f aca="false">(ABS(D10-F10)/D10)*100</f>
        <v>0.0508429221300508</v>
      </c>
      <c r="E57" s="44"/>
      <c r="F57" s="49" t="n">
        <f aca="false">(ABS(C10-G10)/C10)*100</f>
        <v>0.0285171102661597</v>
      </c>
      <c r="G57" s="48" t="n">
        <f aca="false">(ABS(D10-H10)/D10)*100</f>
        <v>0.00200695745250201</v>
      </c>
      <c r="H57" s="46"/>
      <c r="I57" s="48" t="n">
        <f aca="false">(ABS(C10-I10)/C10)*100</f>
        <v>98.0228136882129</v>
      </c>
      <c r="J57" s="48" t="n">
        <f aca="false">(ABS(D10-J10)/D10)*100</f>
        <v>6.8985817500669</v>
      </c>
      <c r="K57" s="44"/>
      <c r="L57" s="48" t="n">
        <f aca="false">(ABS(C10-K10)/C10)*100</f>
        <v>0.0475285171102662</v>
      </c>
      <c r="M57" s="48" t="n">
        <f aca="false">(ABS(D10-L10)/D10)*100</f>
        <v>0.00334492908750335</v>
      </c>
      <c r="N57" s="44"/>
    </row>
    <row r="58" customFormat="false" ht="15" hidden="false" customHeight="false" outlineLevel="0" collapsed="false">
      <c r="A58" s="7"/>
      <c r="B58" s="25" t="n">
        <v>7</v>
      </c>
      <c r="C58" s="47" t="n">
        <f aca="false">(ABS(C11-E11)/C11)*100</f>
        <v>0.725163161711385</v>
      </c>
      <c r="D58" s="48" t="n">
        <f aca="false">(ABS(D11-F11)/D11)*100</f>
        <v>0.0537028086568928</v>
      </c>
      <c r="E58" s="44"/>
      <c r="F58" s="49" t="n">
        <f aca="false">(ABS(C11-G11)/C11)*100</f>
        <v>0</v>
      </c>
      <c r="G58" s="48" t="n">
        <f aca="false">(ABS(D11-H11)/D11)*100</f>
        <v>0</v>
      </c>
      <c r="H58" s="46"/>
      <c r="I58" s="48" t="n">
        <f aca="false">(ABS(C11-I11)/C11)*100</f>
        <v>99.8730964467005</v>
      </c>
      <c r="J58" s="48" t="n">
        <f aca="false">(ABS(D11-J11)/D11)*100</f>
        <v>7.39621932227056</v>
      </c>
      <c r="K58" s="44"/>
      <c r="L58" s="48" t="n">
        <f aca="false">(ABS(C11-K11)/C11)*100</f>
        <v>0</v>
      </c>
      <c r="M58" s="48" t="n">
        <f aca="false">(ABS(D11-L11)/D11)*100</f>
        <v>0</v>
      </c>
      <c r="N58" s="44"/>
    </row>
    <row r="59" customFormat="false" ht="15" hidden="false" customHeight="false" outlineLevel="0" collapsed="false">
      <c r="A59" s="7"/>
      <c r="B59" s="25" t="n">
        <v>8</v>
      </c>
      <c r="C59" s="47" t="n">
        <f aca="false">(ABS(C12-E12)/C12)*100</f>
        <v>0.536703601108033</v>
      </c>
      <c r="D59" s="48" t="n">
        <f aca="false">(ABS(D12-F12)/D12)*100</f>
        <v>0.0417654666954085</v>
      </c>
      <c r="E59" s="44"/>
      <c r="F59" s="49" t="n">
        <f aca="false">(ABS(C12-G12)/C12)*100</f>
        <v>0.0346260387811634</v>
      </c>
      <c r="G59" s="48" t="n">
        <f aca="false">(ABS(D12-H12)/D12)*100</f>
        <v>0.00269454623841345</v>
      </c>
      <c r="H59" s="46"/>
      <c r="I59" s="48" t="n">
        <f aca="false">(ABS(C12-I12)/C12)*100</f>
        <v>92.1398891966759</v>
      </c>
      <c r="J59" s="48" t="n">
        <f aca="false">(ABS(D12-J12)/D12)*100</f>
        <v>7.17018754041819</v>
      </c>
      <c r="K59" s="44"/>
      <c r="L59" s="48" t="n">
        <f aca="false">(ABS(C12-K12)/C12)*100</f>
        <v>0.00865650969529086</v>
      </c>
      <c r="M59" s="48" t="n">
        <f aca="false">(ABS(D12-L12)/D12)*100</f>
        <v>0.000673636559603363</v>
      </c>
      <c r="N59" s="44"/>
    </row>
    <row r="60" customFormat="false" ht="15" hidden="false" customHeight="false" outlineLevel="0" collapsed="false">
      <c r="A60" s="7"/>
      <c r="B60" s="25" t="n">
        <v>9</v>
      </c>
      <c r="C60" s="47" t="n">
        <f aca="false">(ABS(C13-E13)/C13)*100</f>
        <v>0.718582887700535</v>
      </c>
      <c r="D60" s="48" t="n">
        <f aca="false">(ABS(D13-F13)/D13)*100</f>
        <v>0.0580955469087765</v>
      </c>
      <c r="E60" s="44"/>
      <c r="F60" s="49" t="n">
        <f aca="false">(ABS(C13-G13)/C13)*100</f>
        <v>0.142045454545455</v>
      </c>
      <c r="G60" s="48" t="n">
        <f aca="false">(ABS(D13-H13)/D13)*100</f>
        <v>0.0114840034587116</v>
      </c>
      <c r="H60" s="46"/>
      <c r="I60" s="48" t="n">
        <f aca="false">(ABS(C13-I13)/C13)*100</f>
        <v>97.2426470588235</v>
      </c>
      <c r="J60" s="48" t="n">
        <f aca="false">(ABS(D13-J13)/D13)*100</f>
        <v>7.86181366191094</v>
      </c>
      <c r="K60" s="44"/>
      <c r="L60" s="48" t="n">
        <f aca="false">(ABS(C13-K13)/C13)*100</f>
        <v>0.0752005347593583</v>
      </c>
      <c r="M60" s="48" t="n">
        <f aca="false">(ABS(D13-L13)/D13)*100</f>
        <v>0.00607976653696498</v>
      </c>
      <c r="N60" s="44"/>
    </row>
    <row r="61" customFormat="false" ht="15" hidden="false" customHeight="false" outlineLevel="0" collapsed="false">
      <c r="A61" s="7"/>
      <c r="B61" s="25" t="n">
        <v>10</v>
      </c>
      <c r="C61" s="47" t="n">
        <f aca="false">(ABS(C14-E14)/C14)*100</f>
        <v>0.649350649350649</v>
      </c>
      <c r="D61" s="48" t="n">
        <f aca="false">(ABS(D14-F14)/D14)*100</f>
        <v>0.0541711809317443</v>
      </c>
      <c r="E61" s="44"/>
      <c r="F61" s="49" t="n">
        <f aca="false">(ABS(C14-G14)/C14)*100</f>
        <v>0.0649350649350649</v>
      </c>
      <c r="G61" s="48" t="n">
        <f aca="false">(ABS(D14-H14)/D14)*100</f>
        <v>0.00541711809317443</v>
      </c>
      <c r="H61" s="46"/>
      <c r="I61" s="48" t="n">
        <f aca="false">(ABS(C14-I14)/C14)*100</f>
        <v>95.9577922077922</v>
      </c>
      <c r="J61" s="48" t="n">
        <f aca="false">(ABS(D14-J14)/D14)*100</f>
        <v>8.00514626218852</v>
      </c>
      <c r="K61" s="44"/>
      <c r="L61" s="48" t="n">
        <f aca="false">(ABS(C14-K14)/C14)*100</f>
        <v>0.0162337662337662</v>
      </c>
      <c r="M61" s="48" t="n">
        <f aca="false">(ABS(D14-L14)/D14)*100</f>
        <v>0.00135427952329361</v>
      </c>
      <c r="N61" s="44"/>
    </row>
    <row r="62" customFormat="false" ht="15" hidden="false" customHeight="false" outlineLevel="0" collapsed="false">
      <c r="A62" s="7"/>
      <c r="B62" s="25" t="n">
        <v>11</v>
      </c>
      <c r="C62" s="47" t="n">
        <f aca="false">(ABS(C15-E15)/C15)*100</f>
        <v>1.0571158094036</v>
      </c>
      <c r="D62" s="48" t="n">
        <f aca="false">(ABS(D15-F15)/D15)*100</f>
        <v>0.090955988162146</v>
      </c>
      <c r="E62" s="44"/>
      <c r="F62" s="49" t="n">
        <f aca="false">(ABS(C15-G15)/C15)*100</f>
        <v>0.10255601136005</v>
      </c>
      <c r="G62" s="48" t="n">
        <f aca="false">(ABS(D15-H15)/D15)*100</f>
        <v>0.00882408840379029</v>
      </c>
      <c r="H62" s="46"/>
      <c r="I62" s="48" t="n">
        <f aca="false">(ABS(C15-I15)/C15)*100</f>
        <v>99.7396655096245</v>
      </c>
      <c r="J62" s="48" t="n">
        <f aca="false">(ABS(D15-J15)/D15)*100</f>
        <v>8.58176536070158</v>
      </c>
      <c r="K62" s="44"/>
      <c r="L62" s="48" t="n">
        <f aca="false">(ABS(C15-K15)/C15)*100</f>
        <v>0.0631113916061849</v>
      </c>
      <c r="M62" s="48" t="n">
        <f aca="false">(ABS(D15-L15)/D15)*100</f>
        <v>0.00543020824848633</v>
      </c>
      <c r="N62" s="44"/>
    </row>
    <row r="63" customFormat="false" ht="15" hidden="false" customHeight="false" outlineLevel="0" collapsed="false">
      <c r="A63" s="7"/>
      <c r="B63" s="25" t="n">
        <v>12</v>
      </c>
      <c r="C63" s="47" t="n">
        <f aca="false">(ABS(C16-E16)/C16)*100</f>
        <v>0.394981412639405</v>
      </c>
      <c r="D63" s="48" t="n">
        <f aca="false">(ABS(D16-F16)/D16)*100</f>
        <v>0.0346731208528228</v>
      </c>
      <c r="E63" s="44"/>
      <c r="F63" s="49" t="n">
        <f aca="false">(ABS(C16-G16)/C16)*100</f>
        <v>0.0929368029739777</v>
      </c>
      <c r="G63" s="48" t="n">
        <f aca="false">(ABS(D16-H16)/D16)*100</f>
        <v>0.00815838137713478</v>
      </c>
      <c r="H63" s="46"/>
      <c r="I63" s="48" t="n">
        <f aca="false">(ABS(C16-I16)/C16)*100</f>
        <v>97.3822800495663</v>
      </c>
      <c r="J63" s="48" t="n">
        <f aca="false">(ABS(D16-J16)/D16)*100</f>
        <v>8.54862395300772</v>
      </c>
      <c r="K63" s="44"/>
      <c r="L63" s="48" t="n">
        <f aca="false">(ABS(C16-K16)/C16)*100</f>
        <v>0.0619578686493185</v>
      </c>
      <c r="M63" s="48" t="n">
        <f aca="false">(ABS(D16-L16)/D16)*100</f>
        <v>0.00543892091808985</v>
      </c>
      <c r="N63" s="44"/>
    </row>
    <row r="64" customFormat="false" ht="15" hidden="false" customHeight="false" outlineLevel="0" collapsed="false">
      <c r="A64" s="7"/>
      <c r="B64" s="25" t="n">
        <v>13</v>
      </c>
      <c r="C64" s="47" t="n">
        <f aca="false">(ABS(C17-E17)/C17)*100</f>
        <v>0.977865372953305</v>
      </c>
      <c r="D64" s="48" t="n">
        <f aca="false">(ABS(D17-F17)/D17)*100</f>
        <v>0.0878698708517247</v>
      </c>
      <c r="E64" s="44"/>
      <c r="F64" s="49" t="n">
        <f aca="false">(ABS(C17-G17)/C17)*100</f>
        <v>0.0833838690115221</v>
      </c>
      <c r="G64" s="48" t="n">
        <f aca="false">(ABS(D17-H17)/D17)*100</f>
        <v>0.00749277968503079</v>
      </c>
      <c r="H64" s="46"/>
      <c r="I64" s="48" t="n">
        <f aca="false">(ABS(C17-I17)/C17)*100</f>
        <v>97.4605821710127</v>
      </c>
      <c r="J64" s="48" t="n">
        <f aca="false">(ABS(D17-J17)/D17)*100</f>
        <v>8.75769712822189</v>
      </c>
      <c r="K64" s="44"/>
      <c r="L64" s="48" t="n">
        <f aca="false">(ABS(C17-K17)/C17)*100</f>
        <v>0.0606428138265616</v>
      </c>
      <c r="M64" s="48" t="n">
        <f aca="false">(ABS(D17-L17)/D17)*100</f>
        <v>0.00544929431638603</v>
      </c>
      <c r="N64" s="44"/>
    </row>
    <row r="65" customFormat="false" ht="15" hidden="false" customHeight="false" outlineLevel="0" collapsed="false">
      <c r="A65" s="7"/>
      <c r="B65" s="25" t="n">
        <v>14</v>
      </c>
      <c r="C65" s="47" t="n">
        <f aca="false">(ABS(C18-E18)/C18)*100</f>
        <v>0.74582338902148</v>
      </c>
      <c r="D65" s="48" t="n">
        <f aca="false">(ABS(D18-F18)/D18)*100</f>
        <v>0.0682165466055447</v>
      </c>
      <c r="E65" s="44"/>
      <c r="F65" s="49" t="n">
        <f aca="false">(ABS(C18-G18)/C18)*100</f>
        <v>0.104415274463007</v>
      </c>
      <c r="G65" s="48" t="n">
        <f aca="false">(ABS(D18-H18)/D18)*100</f>
        <v>0.00955031652477625</v>
      </c>
      <c r="H65" s="46"/>
      <c r="I65" s="48" t="n">
        <f aca="false">(ABS(C18-I18)/C18)*100</f>
        <v>95.8233890214797</v>
      </c>
      <c r="J65" s="48" t="n">
        <f aca="false">(ABS(D18-J18)/D18)*100</f>
        <v>8.76446190788037</v>
      </c>
      <c r="K65" s="44"/>
      <c r="L65" s="48" t="n">
        <f aca="false">(ABS(C18-K18)/C18)*100</f>
        <v>0.0894988066825776</v>
      </c>
      <c r="M65" s="48" t="n">
        <f aca="false">(ABS(D18-L18)/D18)*100</f>
        <v>0.00818598559266536</v>
      </c>
      <c r="N65" s="44"/>
    </row>
    <row r="66" customFormat="false" ht="15" hidden="false" customHeight="false" outlineLevel="0" collapsed="false">
      <c r="A66" s="7"/>
      <c r="B66" s="25" t="n">
        <v>15</v>
      </c>
      <c r="C66" s="47" t="n">
        <f aca="false">(ABS(C19-E19)/C19)*100</f>
        <v>0.362211709047901</v>
      </c>
      <c r="D66" s="48" t="n">
        <f aca="false">(ABS(D19-F19)/D19)*100</f>
        <v>0.0334534928177399</v>
      </c>
      <c r="E66" s="44"/>
      <c r="F66" s="49" t="n">
        <f aca="false">(ABS(C19-G19)/C19)*100</f>
        <v>0.103489059727972</v>
      </c>
      <c r="G66" s="48" t="n">
        <f aca="false">(ABS(D19-H19)/D19)*100</f>
        <v>0.00955814080506855</v>
      </c>
      <c r="H66" s="46"/>
      <c r="I66" s="48" t="n">
        <f aca="false">(ABS(C19-I19)/C19)*100</f>
        <v>99.3938497930219</v>
      </c>
      <c r="J66" s="48" t="n">
        <f aca="false">(ABS(D19-J19)/D19)*100</f>
        <v>9.17991151892512</v>
      </c>
      <c r="K66" s="44"/>
      <c r="L66" s="48" t="n">
        <f aca="false">(ABS(C19-K19)/C19)*100</f>
        <v>0.0813128326434063</v>
      </c>
      <c r="M66" s="48" t="n">
        <f aca="false">(ABS(D19-L19)/D19)*100</f>
        <v>0.007509967775411</v>
      </c>
      <c r="N66" s="44"/>
    </row>
    <row r="67" customFormat="false" ht="15" hidden="false" customHeight="false" outlineLevel="0" collapsed="false">
      <c r="A67" s="7"/>
      <c r="B67" s="25" t="n">
        <v>16</v>
      </c>
      <c r="C67" s="47" t="n">
        <f aca="false">(ABS(C20-E20)/C20)*100</f>
        <v>0.534094234708809</v>
      </c>
      <c r="D67" s="48" t="n">
        <f aca="false">(ABS(D20-F20)/D20)*100</f>
        <v>0.0498865593308367</v>
      </c>
      <c r="E67" s="44"/>
      <c r="F67" s="49" t="n">
        <f aca="false">(ABS(C20-G20)/C20)*100</f>
        <v>0.0877963125548727</v>
      </c>
      <c r="G67" s="48" t="n">
        <f aca="false">(ABS(D20-H20)/D20)*100</f>
        <v>0.00820053030095946</v>
      </c>
      <c r="H67" s="46"/>
      <c r="I67" s="48" t="n">
        <f aca="false">(ABS(C20-I20)/C20)*100</f>
        <v>96.6052092478783</v>
      </c>
      <c r="J67" s="48" t="n">
        <f aca="false">(ABS(D20-J20)/D20)*100</f>
        <v>9.02331684115573</v>
      </c>
      <c r="K67" s="44"/>
      <c r="L67" s="48" t="n">
        <f aca="false">(ABS(C20-K20)/C20)*100</f>
        <v>0.0585308750365818</v>
      </c>
      <c r="M67" s="48" t="n">
        <f aca="false">(ABS(D20-L20)/D20)*100</f>
        <v>0.00546702020063964</v>
      </c>
      <c r="N67" s="44"/>
    </row>
    <row r="68" customFormat="false" ht="15" hidden="false" customHeight="false" outlineLevel="0" collapsed="false">
      <c r="A68" s="7"/>
      <c r="B68" s="25" t="n">
        <v>17</v>
      </c>
      <c r="C68" s="47" t="n">
        <f aca="false">(ABS(C21-E21)/C21)*100</f>
        <v>0.64083891639965</v>
      </c>
      <c r="D68" s="48" t="n">
        <f aca="false">(ABS(D21-F21)/D21)*100</f>
        <v>0.0601635354281183</v>
      </c>
      <c r="E68" s="44"/>
      <c r="F68" s="49" t="n">
        <f aca="false">(ABS(C21-G21)/C21)*100</f>
        <v>0.0801048645499563</v>
      </c>
      <c r="G68" s="48" t="n">
        <f aca="false">(ABS(D21-H21)/D21)*100</f>
        <v>0.00752044192851478</v>
      </c>
      <c r="H68" s="46"/>
      <c r="I68" s="48" t="n">
        <f aca="false">(ABS(C21-I21)/C21)*100</f>
        <v>100</v>
      </c>
      <c r="J68" s="48" t="n">
        <f aca="false">(ABS(D21-J21)/D21)*100</f>
        <v>9.38824623294227</v>
      </c>
      <c r="K68" s="44"/>
      <c r="L68" s="48" t="n">
        <f aca="false">(ABS(C21-K21)/C21)*100</f>
        <v>0.0582580833090591</v>
      </c>
      <c r="M68" s="48" t="n">
        <f aca="false">(ABS(D21-L21)/D21)*100</f>
        <v>0.00546941231164711</v>
      </c>
      <c r="N68" s="44"/>
    </row>
    <row r="69" customFormat="false" ht="15" hidden="false" customHeight="false" outlineLevel="0" collapsed="false">
      <c r="A69" s="7"/>
      <c r="B69" s="25" t="n">
        <v>18</v>
      </c>
      <c r="C69" s="47" t="n">
        <f aca="false">(ABS(C22-E22)/C22)*100</f>
        <v>0.565873476494486</v>
      </c>
      <c r="D69" s="48" t="n">
        <f aca="false">(ABS(D22-F22)/D22)*100</f>
        <v>0.0533457350768726</v>
      </c>
      <c r="E69" s="44"/>
      <c r="F69" s="49" t="n">
        <f aca="false">(ABS(C22-G22)/C22)*100</f>
        <v>0.0217643644805572</v>
      </c>
      <c r="G69" s="48" t="n">
        <f aca="false">(ABS(D22-H22)/D22)*100</f>
        <v>0.00205175904141818</v>
      </c>
      <c r="H69" s="46"/>
      <c r="I69" s="48" t="n">
        <f aca="false">(ABS(C22-I22)/C22)*100</f>
        <v>83.8145676146257</v>
      </c>
      <c r="J69" s="48" t="n">
        <f aca="false">(ABS(D22-J22)/D22)*100</f>
        <v>7.9013240685014</v>
      </c>
      <c r="K69" s="44"/>
      <c r="L69" s="48" t="n">
        <f aca="false">(ABS(C22-K22)/C22)*100</f>
        <v>0.0507835171213001</v>
      </c>
      <c r="M69" s="48" t="n">
        <f aca="false">(ABS(D22-L22)/D22)*100</f>
        <v>0.00478743776330908</v>
      </c>
      <c r="N69" s="44"/>
    </row>
    <row r="70" customFormat="false" ht="15" hidden="false" customHeight="false" outlineLevel="0" collapsed="false">
      <c r="A70" s="7"/>
      <c r="B70" s="25" t="n">
        <v>19</v>
      </c>
      <c r="C70" s="47" t="n">
        <f aca="false">(ABS(C23-E23)/C23)*100</f>
        <v>0.623549883990719</v>
      </c>
      <c r="D70" s="48" t="n">
        <f aca="false">(ABS(D23-F23)/D23)*100</f>
        <v>0.0588203107901072</v>
      </c>
      <c r="E70" s="44"/>
      <c r="F70" s="49" t="n">
        <f aca="false">(ABS(C23-G23)/C23)*100</f>
        <v>0.137761020881671</v>
      </c>
      <c r="G70" s="48" t="n">
        <f aca="false">(ABS(D23-H23)/D23)*100</f>
        <v>0.0129951849420004</v>
      </c>
      <c r="H70" s="46"/>
      <c r="I70" s="48" t="n">
        <f aca="false">(ABS(C23-I23)/C23)*100</f>
        <v>99.1879350348028</v>
      </c>
      <c r="J70" s="48" t="n">
        <f aca="false">(ABS(D23-J23)/D23)*100</f>
        <v>9.35653315824032</v>
      </c>
      <c r="K70" s="44"/>
      <c r="L70" s="48" t="n">
        <f aca="false">(ABS(C23-K23)/C23)*100</f>
        <v>0.116009280742459</v>
      </c>
      <c r="M70" s="48" t="n">
        <f aca="false">(ABS(D23-L23)/D23)*100</f>
        <v>0.0109433136353688</v>
      </c>
      <c r="N70" s="44"/>
    </row>
    <row r="71" customFormat="false" ht="15" hidden="false" customHeight="false" outlineLevel="0" collapsed="false">
      <c r="A71" s="7"/>
      <c r="B71" s="25" t="n">
        <v>20</v>
      </c>
      <c r="C71" s="47" t="n">
        <f aca="false">(ABS(C24-E24)/C24)*100</f>
        <v>0.580383052814858</v>
      </c>
      <c r="D71" s="48" t="n">
        <f aca="false">(ABS(D24-F24)/D24)*100</f>
        <v>0.054713574437818</v>
      </c>
      <c r="E71" s="44"/>
      <c r="F71" s="49" t="n">
        <f aca="false">(ABS(C24-G24)/C24)*100</f>
        <v>0.116076610562972</v>
      </c>
      <c r="G71" s="48" t="n">
        <f aca="false">(ABS(D24-H24)/D24)*100</f>
        <v>0.0109427148875636</v>
      </c>
      <c r="H71" s="46"/>
      <c r="I71" s="48" t="n">
        <f aca="false">(ABS(C24-I24)/C24)*100</f>
        <v>99.2309924550203</v>
      </c>
      <c r="J71" s="48" t="n">
        <f aca="false">(ABS(D24-J24)/D24)*100</f>
        <v>9.35465338950594</v>
      </c>
      <c r="K71" s="44"/>
      <c r="L71" s="48" t="n">
        <f aca="false">(ABS(C24-K24)/C24)*100</f>
        <v>0.079802669762043</v>
      </c>
      <c r="M71" s="48" t="n">
        <f aca="false">(ABS(D24-L24)/D24)*100</f>
        <v>0.00752311648519998</v>
      </c>
      <c r="N71" s="44"/>
    </row>
    <row r="72" customFormat="false" ht="15" hidden="false" customHeight="false" outlineLevel="0" collapsed="false">
      <c r="A72" s="7"/>
      <c r="B72" s="25" t="n">
        <v>21</v>
      </c>
      <c r="C72" s="47" t="n">
        <f aca="false">(ABS(C25-E25)/C25)*100</f>
        <v>0.720943780949607</v>
      </c>
      <c r="D72" s="48" t="n">
        <f aca="false">(ABS(D25-F25)/D25)*100</f>
        <v>0.067683977356633</v>
      </c>
      <c r="E72" s="44"/>
      <c r="F72" s="49" t="n">
        <f aca="false">(ABS(C25-G25)/C25)*100</f>
        <v>0.00728226041363239</v>
      </c>
      <c r="G72" s="48" t="n">
        <f aca="false">(ABS(D25-H25)/D25)*100</f>
        <v>0.000683676538955889</v>
      </c>
      <c r="H72" s="46"/>
      <c r="I72" s="48" t="n">
        <f aca="false">(ABS(C25-I25)/C25)*100</f>
        <v>93.7081270026216</v>
      </c>
      <c r="J72" s="48" t="n">
        <f aca="false">(ABS(D25-J25)/D25)*100</f>
        <v>8.79754970328438</v>
      </c>
      <c r="K72" s="44"/>
      <c r="L72" s="48" t="n">
        <f aca="false">(ABS(C25-K25)/C25)*100</f>
        <v>0.00728226041363239</v>
      </c>
      <c r="M72" s="48" t="n">
        <f aca="false">(ABS(D25-L25)/D25)*100</f>
        <v>0.000683676538955889</v>
      </c>
      <c r="N72" s="44"/>
    </row>
    <row r="73" customFormat="false" ht="15" hidden="false" customHeight="false" outlineLevel="0" collapsed="false">
      <c r="A73" s="7"/>
      <c r="B73" s="25" t="n">
        <v>22</v>
      </c>
      <c r="C73" s="47" t="n">
        <f aca="false">(ABS(C26-E26)/C26)*100</f>
        <v>0.431665203394791</v>
      </c>
      <c r="D73" s="48" t="n">
        <f aca="false">(ABS(D26-F26)/D26)*100</f>
        <v>0.0403192739797174</v>
      </c>
      <c r="E73" s="44"/>
      <c r="F73" s="49" t="n">
        <f aca="false">(ABS(C26-G26)/C26)*100</f>
        <v>0.109745390693591</v>
      </c>
      <c r="G73" s="48" t="n">
        <f aca="false">(ABS(D26-H26)/D26)*100</f>
        <v>0.0102506628761993</v>
      </c>
      <c r="H73" s="46"/>
      <c r="I73" s="48" t="n">
        <f aca="false">(ABS(C26-I26)/C26)*100</f>
        <v>99.3342112964589</v>
      </c>
      <c r="J73" s="48" t="n">
        <f aca="false">(ABS(D26-J26)/D26)*100</f>
        <v>9.27821665801055</v>
      </c>
      <c r="K73" s="44"/>
      <c r="L73" s="48" t="n">
        <f aca="false">(ABS(C26-K26)/C26)*100</f>
        <v>0.0658472344161545</v>
      </c>
      <c r="M73" s="48" t="n">
        <f aca="false">(ABS(D26-L26)/D26)*100</f>
        <v>0.0061503977257196</v>
      </c>
      <c r="N73" s="44"/>
    </row>
    <row r="74" customFormat="false" ht="15" hidden="false" customHeight="false" outlineLevel="0" collapsed="false">
      <c r="A74" s="7"/>
      <c r="B74" s="25" t="n">
        <v>23</v>
      </c>
      <c r="C74" s="47" t="n">
        <f aca="false">(ABS(C27-E27)/C27)*100</f>
        <v>1.10141927853341</v>
      </c>
      <c r="D74" s="48" t="n">
        <f aca="false">(ABS(D27-F27)/D27)*100</f>
        <v>0.101725927139658</v>
      </c>
      <c r="E74" s="44"/>
      <c r="F74" s="49" t="n">
        <f aca="false">(ABS(C27-G27)/C27)*100</f>
        <v>0.0369603784742756</v>
      </c>
      <c r="G74" s="48" t="n">
        <f aca="false">(ABS(D27-H27)/D27)*100</f>
        <v>0.00341362171609591</v>
      </c>
      <c r="H74" s="46"/>
      <c r="I74" s="48" t="n">
        <f aca="false">(ABS(C27-I27)/C27)*100</f>
        <v>100</v>
      </c>
      <c r="J74" s="48" t="n">
        <f aca="false">(ABS(D27-J27)/D27)*100</f>
        <v>9.23589491506909</v>
      </c>
      <c r="K74" s="44"/>
      <c r="L74" s="48" t="n">
        <f aca="false">(ABS(C27-K27)/C27)*100</f>
        <v>0.00739207569485512</v>
      </c>
      <c r="M74" s="48" t="n">
        <f aca="false">(ABS(D27-L27)/D27)*100</f>
        <v>0.000682724343219182</v>
      </c>
      <c r="N74" s="44"/>
    </row>
    <row r="75" customFormat="false" ht="15" hidden="false" customHeight="false" outlineLevel="0" collapsed="false">
      <c r="A75" s="7"/>
      <c r="B75" s="25" t="n">
        <v>24</v>
      </c>
      <c r="C75" s="47" t="n">
        <f aca="false">(ABS(C28-E28)/C28)*100</f>
        <v>0.93227923627685</v>
      </c>
      <c r="D75" s="48" t="n">
        <f aca="false">(ABS(D28-F28)/D28)*100</f>
        <v>0.0852706832569308</v>
      </c>
      <c r="E75" s="44"/>
      <c r="F75" s="49" t="n">
        <f aca="false">(ABS(C28-G28)/C28)*100</f>
        <v>0.0671241050119332</v>
      </c>
      <c r="G75" s="48" t="n">
        <f aca="false">(ABS(D28-H28)/D28)*100</f>
        <v>0.00613948919449902</v>
      </c>
      <c r="H75" s="46"/>
      <c r="I75" s="48" t="n">
        <f aca="false">(ABS(C28-I28)/C28)*100</f>
        <v>94.4659904534606</v>
      </c>
      <c r="J75" s="48" t="n">
        <f aca="false">(ABS(D28-J28)/D28)*100</f>
        <v>8.64030779305828</v>
      </c>
      <c r="K75" s="44"/>
      <c r="L75" s="48" t="n">
        <f aca="false">(ABS(C28-K28)/C28)*100</f>
        <v>0.0149164677804296</v>
      </c>
      <c r="M75" s="48" t="n">
        <f aca="false">(ABS(D28-L28)/D28)*100</f>
        <v>0.00136433093211089</v>
      </c>
      <c r="N75" s="44"/>
    </row>
    <row r="76" customFormat="false" ht="15" hidden="false" customHeight="false" outlineLevel="0" collapsed="false">
      <c r="A76" s="7"/>
      <c r="B76" s="25" t="n">
        <v>25</v>
      </c>
      <c r="C76" s="47" t="n">
        <f aca="false">(ABS(C29-E29)/C29)*100</f>
        <v>0.40175864160097</v>
      </c>
      <c r="D76" s="48" t="n">
        <f aca="false">(ABS(D29-F29)/D29)*100</f>
        <v>0.0361015748460574</v>
      </c>
      <c r="E76" s="44"/>
      <c r="F76" s="49" t="n">
        <f aca="false">(ABS(C29-G29)/C29)*100</f>
        <v>0.106124924196483</v>
      </c>
      <c r="G76" s="48" t="n">
        <f aca="false">(ABS(D29-H29)/D29)*100</f>
        <v>0.00953626505367555</v>
      </c>
      <c r="H76" s="46"/>
      <c r="I76" s="48" t="n">
        <f aca="false">(ABS(C29-I29)/C29)*100</f>
        <v>99.9014554275318</v>
      </c>
      <c r="J76" s="48" t="n">
        <f aca="false">(ABS(D29-J29)/D29)*100</f>
        <v>8.97703122445643</v>
      </c>
      <c r="K76" s="44"/>
      <c r="L76" s="48" t="n">
        <f aca="false">(ABS(C29-K29)/C29)*100</f>
        <v>0.0606428138265616</v>
      </c>
      <c r="M76" s="48" t="n">
        <f aca="false">(ABS(D29-L29)/D29)*100</f>
        <v>0.00544929431638603</v>
      </c>
      <c r="N76" s="44"/>
    </row>
    <row r="77" customFormat="false" ht="15" hidden="false" customHeight="false" outlineLevel="0" collapsed="false">
      <c r="A77" s="7"/>
      <c r="B77" s="25" t="n">
        <v>26</v>
      </c>
      <c r="C77" s="47" t="n">
        <f aca="false">(ABS(C30-E30)/C30)*100</f>
        <v>0.472428748451053</v>
      </c>
      <c r="D77" s="48" t="n">
        <f aca="false">(ABS(D30-F30)/D30)*100</f>
        <v>0.0414717720004351</v>
      </c>
      <c r="E77" s="44"/>
      <c r="F77" s="49" t="n">
        <f aca="false">(ABS(C30-G30)/C30)*100</f>
        <v>0.108426270136307</v>
      </c>
      <c r="G77" s="48" t="n">
        <f aca="false">(ABS(D30-H30)/D30)*100</f>
        <v>0.00951811160665724</v>
      </c>
      <c r="H77" s="46"/>
      <c r="I77" s="48" t="n">
        <f aca="false">(ABS(C30-I30)/C30)*100</f>
        <v>96.9330855018587</v>
      </c>
      <c r="J77" s="48" t="n">
        <f aca="false">(ABS(D30-J30)/D30)*100</f>
        <v>8.50919177635157</v>
      </c>
      <c r="K77" s="44"/>
      <c r="L77" s="48" t="n">
        <f aca="false">(ABS(C30-K30)/C30)*100</f>
        <v>0.0542131350681537</v>
      </c>
      <c r="M77" s="48" t="n">
        <f aca="false">(ABS(D30-L30)/D30)*100</f>
        <v>0.00475905580332862</v>
      </c>
      <c r="N77" s="44"/>
    </row>
    <row r="78" customFormat="false" ht="15" hidden="false" customHeight="false" outlineLevel="0" collapsed="false">
      <c r="A78" s="7"/>
      <c r="B78" s="25" t="n">
        <v>27</v>
      </c>
      <c r="C78" s="47" t="n">
        <f aca="false">(ABS(C31-E31)/C31)*100</f>
        <v>0.717892079520353</v>
      </c>
      <c r="D78" s="48" t="n">
        <f aca="false">(ABS(D31-F31)/D31)*100</f>
        <v>0.061768618826532</v>
      </c>
      <c r="E78" s="44"/>
      <c r="F78" s="49" t="n">
        <f aca="false">(ABS(C31-G31)/C31)*100</f>
        <v>0.134111707163143</v>
      </c>
      <c r="G78" s="48" t="n">
        <f aca="false">(ABS(D31-H31)/D31)*100</f>
        <v>0.0115391925280334</v>
      </c>
      <c r="H78" s="46"/>
      <c r="I78" s="48" t="n">
        <f aca="false">(ABS(C31-I31)/C31)*100</f>
        <v>97.5386557273588</v>
      </c>
      <c r="J78" s="48" t="n">
        <f aca="false">(ABS(D31-J31)/D31)*100</f>
        <v>8.39238684803562</v>
      </c>
      <c r="K78" s="44"/>
      <c r="L78" s="48" t="n">
        <f aca="false">(ABS(C31-K31)/C31)*100</f>
        <v>0.0394446197538656</v>
      </c>
      <c r="M78" s="48" t="n">
        <f aca="false">(ABS(D31-L31)/D31)*100</f>
        <v>0.00339388015530396</v>
      </c>
      <c r="N78" s="44"/>
    </row>
    <row r="79" customFormat="false" ht="15" hidden="false" customHeight="false" outlineLevel="0" collapsed="false">
      <c r="A79" s="7"/>
      <c r="B79" s="25" t="n">
        <v>28</v>
      </c>
      <c r="C79" s="47" t="n">
        <f aca="false">(ABS(C32-E32)/C32)*100</f>
        <v>0.438311688311688</v>
      </c>
      <c r="D79" s="48" t="n">
        <f aca="false">(ABS(D32-F32)/D32)*100</f>
        <v>0.0365655471289274</v>
      </c>
      <c r="E79" s="44"/>
      <c r="F79" s="49" t="n">
        <f aca="false">(ABS(C32-G32)/C32)*100</f>
        <v>0.0649350649350649</v>
      </c>
      <c r="G79" s="48" t="n">
        <f aca="false">(ABS(D32-H32)/D32)*100</f>
        <v>0.00541711809317443</v>
      </c>
      <c r="H79" s="46"/>
      <c r="I79" s="48" t="n">
        <f aca="false">(ABS(C32-I32)/C32)*100</f>
        <v>100</v>
      </c>
      <c r="J79" s="48" t="n">
        <f aca="false">(ABS(D32-J32)/D32)*100</f>
        <v>8.34236186348863</v>
      </c>
      <c r="K79" s="44"/>
      <c r="L79" s="48" t="n">
        <f aca="false">(ABS(C32-K32)/C32)*100</f>
        <v>0.0811688311688312</v>
      </c>
      <c r="M79" s="48" t="n">
        <f aca="false">(ABS(D32-L32)/D32)*100</f>
        <v>0.00677139761646804</v>
      </c>
      <c r="N79" s="44"/>
    </row>
    <row r="80" customFormat="false" ht="15" hidden="false" customHeight="false" outlineLevel="0" collapsed="false">
      <c r="A80" s="7"/>
      <c r="B80" s="25" t="n">
        <v>29</v>
      </c>
      <c r="C80" s="47" t="n">
        <f aca="false">(ABS(C33-E33)/C33)*100</f>
        <v>0.526403743315508</v>
      </c>
      <c r="D80" s="48" t="n">
        <f aca="false">(ABS(D33-F33)/D33)*100</f>
        <v>0.0425583657587549</v>
      </c>
      <c r="E80" s="44"/>
      <c r="F80" s="49" t="n">
        <f aca="false">(ABS(C33-G33)/C33)*100</f>
        <v>0.108622994652406</v>
      </c>
      <c r="G80" s="48" t="n">
        <f aca="false">(ABS(D33-H33)/D33)*100</f>
        <v>0.00878188499783831</v>
      </c>
      <c r="H80" s="46"/>
      <c r="I80" s="48" t="n">
        <f aca="false">(ABS(C33-I33)/C33)*100</f>
        <v>98.8051470588235</v>
      </c>
      <c r="J80" s="48" t="n">
        <f aca="false">(ABS(D33-J33)/D33)*100</f>
        <v>7.98813769995677</v>
      </c>
      <c r="K80" s="44"/>
      <c r="L80" s="48" t="n">
        <f aca="false">(ABS(C33-K33)/C33)*100</f>
        <v>0.0752005347593583</v>
      </c>
      <c r="M80" s="48" t="n">
        <f aca="false">(ABS(D33-L33)/D33)*100</f>
        <v>0.00607976653696498</v>
      </c>
      <c r="N80" s="44"/>
    </row>
    <row r="81" customFormat="false" ht="15" hidden="false" customHeight="false" outlineLevel="0" collapsed="false">
      <c r="A81" s="7"/>
      <c r="B81" s="25" t="n">
        <v>30</v>
      </c>
      <c r="C81" s="47" t="n">
        <f aca="false">(ABS(C34-E34)/C34)*100</f>
        <v>0.753116343490305</v>
      </c>
      <c r="D81" s="48" t="n">
        <f aca="false">(ABS(D34-F34)/D34)*100</f>
        <v>0.0586063806854926</v>
      </c>
      <c r="E81" s="44"/>
      <c r="F81" s="49" t="n">
        <f aca="false">(ABS(C34-G34)/C34)*100</f>
        <v>0.10387811634349</v>
      </c>
      <c r="G81" s="48" t="n">
        <f aca="false">(ABS(D34-H34)/D34)*100</f>
        <v>0.00808363871524035</v>
      </c>
      <c r="H81" s="46"/>
      <c r="I81" s="48" t="n">
        <f aca="false">(ABS(C34-I34)/C34)*100</f>
        <v>100</v>
      </c>
      <c r="J81" s="48" t="n">
        <f aca="false">(ABS(D34-J34)/D34)*100</f>
        <v>7.78184953653805</v>
      </c>
      <c r="K81" s="44"/>
      <c r="L81" s="48" t="n">
        <f aca="false">(ABS(C34-K34)/C34)*100</f>
        <v>0.0692520775623269</v>
      </c>
      <c r="M81" s="48" t="n">
        <f aca="false">(ABS(D34-L34)/D34)*100</f>
        <v>0.0053890924768269</v>
      </c>
      <c r="N81" s="44"/>
    </row>
    <row r="82" customFormat="false" ht="15" hidden="false" customHeight="false" outlineLevel="0" collapsed="false">
      <c r="A82" s="7"/>
      <c r="B82" s="25" t="n">
        <v>31</v>
      </c>
      <c r="C82" s="47" t="n">
        <f aca="false">(ABS(C35-E35)/C35)*100</f>
        <v>0.716098622189993</v>
      </c>
      <c r="D82" s="48" t="n">
        <f aca="false">(ABS(D35-F35)/D35)*100</f>
        <v>0.0530315235486816</v>
      </c>
      <c r="E82" s="44"/>
      <c r="F82" s="49" t="n">
        <f aca="false">(ABS(C35-G35)/C35)*100</f>
        <v>0.0543872371283539</v>
      </c>
      <c r="G82" s="48" t="n">
        <f aca="false">(ABS(D35-H35)/D35)*100</f>
        <v>0.00402771064926696</v>
      </c>
      <c r="H82" s="46"/>
      <c r="I82" s="48" t="n">
        <f aca="false">(ABS(C35-I35)/C35)*100</f>
        <v>94.2349528643945</v>
      </c>
      <c r="J82" s="48" t="n">
        <f aca="false">(ABS(D35-J35)/D35)*100</f>
        <v>6.97867998496321</v>
      </c>
      <c r="K82" s="44"/>
      <c r="L82" s="48" t="n">
        <f aca="false">(ABS(C35-K35)/C35)*100</f>
        <v>0.0362581580855693</v>
      </c>
      <c r="M82" s="48" t="n">
        <f aca="false">(ABS(D35-L35)/D35)*100</f>
        <v>0.00268514043284464</v>
      </c>
      <c r="N82" s="44"/>
    </row>
    <row r="83" customFormat="false" ht="15" hidden="false" customHeight="false" outlineLevel="0" collapsed="false">
      <c r="A83" s="7"/>
      <c r="B83" s="25" t="n">
        <v>32</v>
      </c>
      <c r="C83" s="47" t="n">
        <f aca="false">(ABS(C36-E36)/C36)*100</f>
        <v>0.741444866920152</v>
      </c>
      <c r="D83" s="48" t="n">
        <f aca="false">(ABS(D36-F36)/D36)*100</f>
        <v>0.0521808937650522</v>
      </c>
      <c r="E83" s="44"/>
      <c r="F83" s="49" t="n">
        <f aca="false">(ABS(C36-G36)/C36)*100</f>
        <v>0</v>
      </c>
      <c r="G83" s="48" t="n">
        <f aca="false">(ABS(D36-H36)/D36)*100</f>
        <v>0</v>
      </c>
      <c r="H83" s="46"/>
      <c r="I83" s="48" t="n">
        <f aca="false">(ABS(C36-I36)/C36)*100</f>
        <v>97.3954372623574</v>
      </c>
      <c r="J83" s="48" t="n">
        <f aca="false">(ABS(D36-J36)/D36)*100</f>
        <v>6.85442868611186</v>
      </c>
      <c r="K83" s="44"/>
      <c r="L83" s="48" t="n">
        <f aca="false">(ABS(C36-K36)/C36)*100</f>
        <v>0.00950570342205323</v>
      </c>
      <c r="M83" s="48" t="n">
        <f aca="false">(ABS(D36-L36)/D36)*100</f>
        <v>0.000668985817500669</v>
      </c>
      <c r="N83" s="44"/>
    </row>
    <row r="84" customFormat="false" ht="15" hidden="false" customHeight="false" outlineLevel="0" collapsed="false">
      <c r="A84" s="7"/>
      <c r="B84" s="25" t="n">
        <v>33</v>
      </c>
      <c r="C84" s="47" t="n">
        <f aca="false">(ABS(C37-E37)/C37)*100</f>
        <v>1.44912849614917</v>
      </c>
      <c r="D84" s="48" t="n">
        <f aca="false">(ABS(D37-F37)/D37)*100</f>
        <v>0.0952495137612235</v>
      </c>
      <c r="E84" s="44"/>
      <c r="F84" s="49" t="n">
        <f aca="false">(ABS(C37-G37)/C37)*100</f>
        <v>0.0304012971220105</v>
      </c>
      <c r="G84" s="48" t="n">
        <f aca="false">(ABS(D37-H37)/D37)*100</f>
        <v>0.00199824154743825</v>
      </c>
      <c r="H84" s="46"/>
      <c r="I84" s="48" t="n">
        <f aca="false">(ABS(C37-I37)/C37)*100</f>
        <v>90.37292257803</v>
      </c>
      <c r="J84" s="48" t="n">
        <f aca="false">(ABS(D37-J37)/D37)*100</f>
        <v>5.94010604001812</v>
      </c>
      <c r="K84" s="44"/>
      <c r="L84" s="48" t="n">
        <f aca="false">(ABS(C37-K37)/C37)*100</f>
        <v>0.0304012971220105</v>
      </c>
      <c r="M84" s="48" t="n">
        <f aca="false">(ABS(D37-L37)/D37)*100</f>
        <v>0.00199824154743825</v>
      </c>
      <c r="N84" s="44"/>
    </row>
    <row r="85" customFormat="false" ht="15" hidden="false" customHeight="false" outlineLevel="0" collapsed="false">
      <c r="A85" s="7"/>
      <c r="B85" s="25" t="n">
        <v>34</v>
      </c>
      <c r="C85" s="47" t="n">
        <f aca="false">(ABS(C38-E38)/C38)*100</f>
        <v>0.644667832167832</v>
      </c>
      <c r="D85" s="48" t="n">
        <f aca="false">(ABS(D38-F38)/D38)*100</f>
        <v>0.0391122189223589</v>
      </c>
      <c r="E85" s="44"/>
      <c r="F85" s="49" t="n">
        <f aca="false">(ABS(C38-G38)/C38)*100</f>
        <v>0.0874125874125874</v>
      </c>
      <c r="G85" s="48" t="n">
        <f aca="false">(ABS(D38-H38)/D38)*100</f>
        <v>0.00530335171828596</v>
      </c>
      <c r="H85" s="46"/>
      <c r="I85" s="48" t="n">
        <f aca="false">(ABS(C38-I38)/C38)*100</f>
        <v>99.104020979021</v>
      </c>
      <c r="J85" s="48" t="n">
        <f aca="false">(ABS(D38-J38)/D38)*100</f>
        <v>6.0126750106067</v>
      </c>
      <c r="K85" s="44"/>
      <c r="L85" s="48" t="n">
        <f aca="false">(ABS(C38-K38)/C38)*100</f>
        <v>0.0218531468531469</v>
      </c>
      <c r="M85" s="48" t="n">
        <f aca="false">(ABS(D38-L38)/D38)*100</f>
        <v>0.00132583792957149</v>
      </c>
      <c r="N85" s="44"/>
    </row>
    <row r="86" customFormat="false" ht="15" hidden="false" customHeight="false" outlineLevel="0" collapsed="false">
      <c r="A86" s="7"/>
      <c r="B86" s="25" t="n">
        <v>35</v>
      </c>
      <c r="C86" s="47" t="n">
        <f aca="false">(ABS(C39-E39)/C39)*100</f>
        <v>1.09903381642512</v>
      </c>
      <c r="D86" s="48" t="n">
        <f aca="false">(ABS(D39-F39)/D39)*100</f>
        <v>0.0599789085156868</v>
      </c>
      <c r="E86" s="44"/>
      <c r="F86" s="49" t="n">
        <f aca="false">(ABS(C39-G39)/C39)*100</f>
        <v>0.0603864734299517</v>
      </c>
      <c r="G86" s="48" t="n">
        <f aca="false">(ABS(D39-H39)/D39)*100</f>
        <v>0.00329554442393884</v>
      </c>
      <c r="H86" s="46"/>
      <c r="I86" s="48" t="n">
        <f aca="false">(ABS(C39-I39)/C39)*100</f>
        <v>97.6811594202899</v>
      </c>
      <c r="J86" s="48" t="n">
        <f aca="false">(ABS(D39-J39)/D39)*100</f>
        <v>5.33087266016346</v>
      </c>
      <c r="K86" s="44"/>
      <c r="L86" s="48" t="n">
        <f aca="false">(ABS(C39-K39)/C39)*100</f>
        <v>0.072463768115942</v>
      </c>
      <c r="M86" s="48" t="n">
        <f aca="false">(ABS(D39-L39)/D39)*100</f>
        <v>0.0039546533087266</v>
      </c>
      <c r="N86" s="44"/>
    </row>
    <row r="87" customFormat="false" ht="15" hidden="false" customHeight="false" outlineLevel="0" collapsed="false">
      <c r="A87" s="7"/>
      <c r="B87" s="25" t="n">
        <v>36</v>
      </c>
      <c r="C87" s="47" t="n">
        <f aca="false">(ABS(C40-E40)/C40)*100</f>
        <v>1.35839736553238</v>
      </c>
      <c r="D87" s="48" t="n">
        <f aca="false">(ABS(D40-F40)/D40)*100</f>
        <v>0.0648279113625648</v>
      </c>
      <c r="E87" s="44"/>
      <c r="F87" s="49" t="n">
        <f aca="false">(ABS(C40-G40)/C40)*100</f>
        <v>0.150933040614709</v>
      </c>
      <c r="G87" s="48" t="n">
        <f aca="false">(ABS(D40-H40)/D40)*100</f>
        <v>0.0072031012625072</v>
      </c>
      <c r="H87" s="46"/>
      <c r="I87" s="48" t="n">
        <f aca="false">(ABS(C40-I40)/C40)*100</f>
        <v>86.6904500548847</v>
      </c>
      <c r="J87" s="48" t="n">
        <f aca="false">(ABS(D40-J40)/D40)*100</f>
        <v>4.13719943422914</v>
      </c>
      <c r="K87" s="44"/>
      <c r="L87" s="48" t="n">
        <f aca="false">(ABS(C40-K40)/C40)*100</f>
        <v>0.0548847420417124</v>
      </c>
      <c r="M87" s="48" t="n">
        <f aca="false">(ABS(D40-L40)/D40)*100</f>
        <v>0.00261930955000262</v>
      </c>
      <c r="N87" s="44"/>
    </row>
    <row r="88" customFormat="false" ht="15" hidden="false" customHeight="false" outlineLevel="0" collapsed="false">
      <c r="A88" s="7"/>
      <c r="B88" s="25" t="n">
        <v>37</v>
      </c>
      <c r="C88" s="47" t="n">
        <f aca="false">(ABS(C41-E41)/C41)*100</f>
        <v>1.31316489361702</v>
      </c>
      <c r="D88" s="48" t="n">
        <f aca="false">(ABS(D41-F41)/D41)*100</f>
        <v>0.0513040315876974</v>
      </c>
      <c r="E88" s="44"/>
      <c r="F88" s="49" t="n">
        <f aca="false">(ABS(C41-G41)/C41)*100</f>
        <v>0.199468085106383</v>
      </c>
      <c r="G88" s="48" t="n">
        <f aca="false">(ABS(D41-H41)/D41)*100</f>
        <v>0.0077930174563591</v>
      </c>
      <c r="H88" s="46"/>
      <c r="I88" s="48" t="n">
        <f aca="false">(ABS(C41-I41)/C41)*100</f>
        <v>96.592420212766</v>
      </c>
      <c r="J88" s="48" t="n">
        <f aca="false">(ABS(D41-J41)/D41)*100</f>
        <v>3.7737687032419</v>
      </c>
      <c r="K88" s="44"/>
      <c r="L88" s="48" t="n">
        <f aca="false">(ABS(C41-K41)/C41)*100</f>
        <v>0.0498670212765957</v>
      </c>
      <c r="M88" s="48" t="n">
        <f aca="false">(ABS(D41-L41)/D41)*100</f>
        <v>0.00194825436408978</v>
      </c>
      <c r="N88" s="44"/>
    </row>
    <row r="89" customFormat="false" ht="15" hidden="false" customHeight="false" outlineLevel="0" collapsed="false">
      <c r="A89" s="7"/>
      <c r="B89" s="25" t="n">
        <v>38</v>
      </c>
      <c r="C89" s="47" t="n">
        <f aca="false">(ABS(C42-E42)/C42)*100</f>
        <v>1.4529520295203</v>
      </c>
      <c r="D89" s="48" t="n">
        <f aca="false">(ABS(D42-F42)/D42)*100</f>
        <v>0.0404717853839038</v>
      </c>
      <c r="E89" s="50" t="s">
        <v>11</v>
      </c>
      <c r="F89" s="49" t="n">
        <f aca="false">(ABS(C42-G42)/C42)*100</f>
        <v>0.415129151291513</v>
      </c>
      <c r="G89" s="48" t="n">
        <f aca="false">(ABS(D42-H42)/D42)*100</f>
        <v>0.0115633672525439</v>
      </c>
      <c r="H89" s="50" t="s">
        <v>11</v>
      </c>
      <c r="I89" s="48" t="n">
        <f aca="false">(ABS(C42-I42)/C42)*100</f>
        <v>97.3477859778598</v>
      </c>
      <c r="J89" s="48" t="n">
        <f aca="false">(ABS(D42-J42)/D42)*100</f>
        <v>2.71160962072155</v>
      </c>
      <c r="K89" s="50" t="s">
        <v>11</v>
      </c>
      <c r="L89" s="48" t="n">
        <f aca="false">(ABS(C42-K42)/C42)*100</f>
        <v>0.230627306273063</v>
      </c>
      <c r="M89" s="48" t="n">
        <f aca="false">(ABS(D42-L42)/D42)*100</f>
        <v>0.00642409291807997</v>
      </c>
      <c r="N89" s="50" t="s">
        <v>11</v>
      </c>
    </row>
    <row r="90" customFormat="false" ht="15" hidden="false" customHeight="false" outlineLevel="0" collapsed="false">
      <c r="A90" s="7"/>
      <c r="B90" s="14" t="s">
        <v>8</v>
      </c>
      <c r="C90" s="51" t="n">
        <f aca="false">(ABS(SUM(C4:C42)-SUM(E4:E42))/SUM(C4:C42))*100</f>
        <v>0.716473571217057</v>
      </c>
      <c r="D90" s="52" t="n">
        <f aca="false">(ABS(SUM(D4:D42)-SUM(F4:F42))/SUM(D4:D42))*100</f>
        <v>0.0533253531836114</v>
      </c>
      <c r="E90" s="53" t="n">
        <f aca="false">SUM(C51:D89)/(39*2)</f>
        <v>0.39688999807774</v>
      </c>
      <c r="F90" s="54" t="n">
        <f aca="false">(ABS(SUM(C4:C42)-SUM(G4:G42))/SUM(C4:C42))*100</f>
        <v>0.0860601125259106</v>
      </c>
      <c r="G90" s="55" t="n">
        <f aca="false">(ABS(SUM(D4:D42)-SUM(H4:H42))/SUM(D4:D42))*100</f>
        <v>0.00640524100235823</v>
      </c>
      <c r="H90" s="53" t="n">
        <f aca="false">SUM(F51:G89)/(39*2)</f>
        <v>0.0499431514800376</v>
      </c>
      <c r="I90" s="55" t="n">
        <f aca="false">(ABS(SUM(C4:C42)-SUM(I4:I42))/SUM(C4:C42))*100</f>
        <v>95.8020247260883</v>
      </c>
      <c r="J90" s="55" t="n">
        <f aca="false">(ABS(SUM(D4:D42)-SUM(J4:J42))/SUM(D4:D42))*100</f>
        <v>7.13030739646927</v>
      </c>
      <c r="K90" s="56" t="n">
        <f aca="false">SUM(I51:J89)/(39*2)</f>
        <v>50.6336786454906</v>
      </c>
      <c r="L90" s="55" t="n">
        <f aca="false">(ABS(SUM(C4:C42)-SUM(K4:K42))/SUM(C4:C42))*100</f>
        <v>0.0550599644655019</v>
      </c>
      <c r="M90" s="55" t="n">
        <f aca="false">(ABS(SUM(D4:D42)-SUM(L4:L42))/SUM(D4:D42))*100</f>
        <v>0.00409797677032597</v>
      </c>
      <c r="N90" s="56" t="n">
        <f aca="false">SUM(L51:M89)/(39*2)</f>
        <v>0.0320978630650649</v>
      </c>
    </row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43"/>
    <mergeCell ref="B48:B50"/>
    <mergeCell ref="C48:H48"/>
    <mergeCell ref="I48:N48"/>
    <mergeCell ref="C49:E49"/>
    <mergeCell ref="F49:H49"/>
    <mergeCell ref="I49:K49"/>
    <mergeCell ref="L49:N49"/>
    <mergeCell ref="A50:A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2026-03-13T20:10:15Z</dcterms:created>
  <dc:creator>openpyxl</dc:creator>
  <dc:description/>
  <dc:language>fr-FR</dc:language>
  <cp:lastModifiedBy/>
  <dcterms:modified xsi:type="dcterms:W3CDTF">2026-08-29T12:22:09Z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