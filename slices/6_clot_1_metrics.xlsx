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l objects (voxels 1x1x1)" sheetId="1" state="visible" r:id="rId3"/>
    <sheet name="volume distribution" sheetId="2" state="visible" r:id="rId4"/>
    <sheet name="most interest. (voxels real siz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<sst xmlns="http://schemas.openxmlformats.org/spreadsheetml/2006/main" count="82" uniqueCount="43">
  <si>
    <t xml:space="preserve">Object</t>
  </si>
  <si>
    <t xml:space="preserve">#fabeb3</t>
  </si>
  <si>
    <t xml:space="preserve">#f6b354</t>
  </si>
  <si>
    <t xml:space="preserve">#d76c3a</t>
  </si>
  <si>
    <t xml:space="preserve">Shape of the voxel arra</t>
  </si>
  <si>
    <t xml:space="preserve">Volume of the voxel array</t>
  </si>
  <si>
    <t xml:space="preserve">6_clot_1/Col_class</t>
  </si>
  <si>
    <t xml:space="preserve">Volume</t>
  </si>
  <si>
    <t xml:space="preserve">Surface</t>
  </si>
  <si>
    <t xml:space="preserve">V/S</t>
  </si>
  <si>
    <t xml:space="preserve">33 x 2588 x 2948</t>
  </si>
  <si>
    <t xml:space="preserve">interesting objects</t>
  </si>
  <si>
    <t xml:space="preserve">Total</t>
  </si>
  <si>
    <t xml:space="preserve">[10, 20]</t>
  </si>
  <si>
    <t xml:space="preserve">]20, 100[</t>
  </si>
  <si>
    <t xml:space="preserve">&gt;= 100</t>
  </si>
  <si>
    <t xml:space="preserve">cumul. volume</t>
  </si>
  <si>
    <t xml:space="preserve">% of glob. volume</t>
  </si>
  <si>
    <t xml:space="preserve">Volume in voxels</t>
  </si>
  <si>
    <t xml:space="preserve">Sum of volumes</t>
  </si>
  <si>
    <t xml:space="preserve">Mean</t>
  </si>
  <si>
    <t xml:space="preserve">categories</t>
  </si>
  <si>
    <t xml:space="preserve">Categories</t>
  </si>
  <si>
    <t xml:space="preserve">[1, 100[</t>
  </si>
  <si>
    <t xml:space="preserve">[1, 10[</t>
  </si>
  <si>
    <t xml:space="preserve">[100, 200[</t>
  </si>
  <si>
    <t xml:space="preserve">[10, 20[</t>
  </si>
  <si>
    <t xml:space="preserve">[200, 300[</t>
  </si>
  <si>
    <t xml:space="preserve">[20, 30[</t>
  </si>
  <si>
    <t xml:space="preserve">[30, 40[</t>
  </si>
  <si>
    <t xml:space="preserve">[40, 50[</t>
  </si>
  <si>
    <t xml:space="preserve">[50, 60[</t>
  </si>
  <si>
    <t xml:space="preserve">[60, 70[</t>
  </si>
  <si>
    <t xml:space="preserve">[70, 80[</t>
  </si>
  <si>
    <t xml:space="preserve">[80, 90[</t>
  </si>
  <si>
    <t xml:space="preserve">[90, 100]</t>
  </si>
  <si>
    <t xml:space="preserve">Volume (μm³)</t>
  </si>
  <si>
    <t xml:space="preserve">Surface (μm²)</t>
  </si>
  <si>
    <t xml:space="preserve">SA/V</t>
  </si>
  <si>
    <t xml:space="preserve">Bounding box</t>
  </si>
  <si>
    <t xml:space="preserve">% of the bbox occupied by the object</t>
  </si>
  <si>
    <t xml:space="preserve">dimentions</t>
  </si>
  <si>
    <t xml:space="preserve">volume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</si>
</sst>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&quot; €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Calibri"/>
      <family val="0"/>
      <charset val="1"/>
    </font>
    <font>
      <b val="true"/>
      <sz val="11"/>
      <color rgb="FF242424"/>
      <name val="Aptos Narrow"/>
      <family val="0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  <fill>
      <patternFill patternType="solid">
        <fgColor rgb="FFFABEB3"/>
        <bgColor rgb="FFE0C2CD"/>
      </patternFill>
    </fill>
    <fill>
      <patternFill patternType="solid">
        <fgColor rgb="FFF6B354"/>
        <bgColor rgb="FFFABEB3"/>
      </patternFill>
    </fill>
    <fill>
      <patternFill patternType="solid">
        <fgColor rgb="FFD76C3A"/>
        <bgColor rgb="FFFF8080"/>
      </patternFill>
    </fill>
    <fill>
      <patternFill patternType="solid">
        <fgColor theme="3" tint="0.7999"/>
        <bgColor rgb="FFD9D9D9"/>
      </patternFill>
    </fill>
    <fill>
      <patternFill patternType="solid">
        <fgColor theme="6" tint="0.3999"/>
        <bgColor rgb="FFD7E4BD"/>
      </patternFill>
    </fill>
    <fill>
      <patternFill patternType="solid">
        <fgColor theme="0" tint="-0.15"/>
        <bgColor rgb="FFD7E4BD"/>
      </patternFill>
    </fill>
    <fill>
      <patternFill patternType="solid">
        <fgColor theme="6" tint="0.5999"/>
        <bgColor rgb="FFD9D9D9"/>
      </patternFill>
    </fill>
    <fill>
      <patternFill patternType="solid">
        <fgColor rgb="FFE0C2CD"/>
        <bgColor rgb="FFFABEB3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/>
      <right style="thin"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8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1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1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C3D69B"/>
      <rgbColor rgb="FFE0C2CD"/>
      <rgbColor rgb="FFCC99FF"/>
      <rgbColor rgb="FFFABEB3"/>
      <rgbColor rgb="FF3366FF"/>
      <rgbColor rgb="FF33CCCC"/>
      <rgbColor rgb="FF99CC00"/>
      <rgbColor rgb="FFF6B354"/>
      <rgbColor rgb="FFFF9900"/>
      <rgbColor rgb="FFD76C3A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Volume distribution fibrin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4696174044"/>
          <c:y val="0.166851934192975"/>
          <c:w val="0.704801200300075"/>
          <c:h val="0.5440195642507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distribution'!$K$2:$K$11</c:f>
              <c:numCache>
                <c:formatCode>General</c:formatCode>
                <c:ptCount val="10"/>
                <c:pt idx="0">
                  <c:v>112</c:v>
                </c:pt>
                <c:pt idx="1">
                  <c:v>13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</c:ser>
        <c:gapWidth val="100"/>
        <c:overlap val="0"/>
        <c:axId val="9999609"/>
        <c:axId val="46892829"/>
      </c:barChart>
      <c:catAx>
        <c:axId val="99996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voxels of the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6892829"/>
        <c:crosses val="autoZero"/>
        <c:auto val="1"/>
        <c:lblAlgn val="ctr"/>
        <c:lblOffset val="100"/>
        <c:noMultiLvlLbl val="0"/>
      </c:catAx>
      <c:valAx>
        <c:axId val="468928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99960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Volume distribution RBCs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distribution'!$L$2:$L$11</c:f>
              <c:numCache>
                <c:formatCode>General</c:formatCode>
                <c:ptCount val="10"/>
                <c:pt idx="0">
                  <c:v>104</c:v>
                </c:pt>
                <c:pt idx="1">
                  <c:v>13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00"/>
        <c:overlap val="0"/>
        <c:axId val="99034479"/>
        <c:axId val="64945611"/>
      </c:barChart>
      <c:catAx>
        <c:axId val="990344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voxels of the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4945611"/>
        <c:crosses val="autoZero"/>
        <c:auto val="1"/>
        <c:lblAlgn val="ctr"/>
        <c:lblOffset val="100"/>
        <c:noMultiLvlLbl val="0"/>
      </c:catAx>
      <c:valAx>
        <c:axId val="649456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903447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Volume distribution undetermined color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distribution'!$M$2:$M$11</c:f>
              <c:numCache>
                <c:formatCode>General</c:formatCode>
                <c:ptCount val="10"/>
                <c:pt idx="0">
                  <c:v>88</c:v>
                </c:pt>
                <c:pt idx="1">
                  <c:v>11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00"/>
        <c:overlap val="0"/>
        <c:axId val="7545167"/>
        <c:axId val="49087214"/>
      </c:barChart>
      <c:catAx>
        <c:axId val="7545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voxels of the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9087214"/>
        <c:crosses val="autoZero"/>
        <c:auto val="1"/>
        <c:lblAlgn val="ctr"/>
        <c:lblOffset val="100"/>
        <c:noMultiLvlLbl val="0"/>
      </c:catAx>
      <c:valAx>
        <c:axId val="490872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4516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210960</xdr:colOff>
      <xdr:row>6</xdr:row>
      <xdr:rowOff>64800</xdr:rowOff>
    </xdr:from>
    <xdr:to>
      <xdr:col>7</xdr:col>
      <xdr:colOff>279720</xdr:colOff>
      <xdr:row>24</xdr:row>
      <xdr:rowOff>148320</xdr:rowOff>
    </xdr:to>
    <xdr:graphicFrame>
      <xdr:nvGraphicFramePr>
        <xdr:cNvPr id="0" name=""/>
        <xdr:cNvGraphicFramePr/>
      </xdr:nvGraphicFramePr>
      <xdr:xfrm>
        <a:off x="210960" y="111636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227880</xdr:colOff>
      <xdr:row>46</xdr:row>
      <xdr:rowOff>165240</xdr:rowOff>
    </xdr:from>
    <xdr:to>
      <xdr:col>7</xdr:col>
      <xdr:colOff>295920</xdr:colOff>
      <xdr:row>65</xdr:row>
      <xdr:rowOff>66240</xdr:rowOff>
    </xdr:to>
    <xdr:graphicFrame>
      <xdr:nvGraphicFramePr>
        <xdr:cNvPr id="1" name=""/>
        <xdr:cNvGraphicFramePr/>
      </xdr:nvGraphicFramePr>
      <xdr:xfrm>
        <a:off x="227880" y="8227080"/>
        <a:ext cx="5757480" cy="323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200880</xdr:colOff>
      <xdr:row>26</xdr:row>
      <xdr:rowOff>113400</xdr:rowOff>
    </xdr:from>
    <xdr:to>
      <xdr:col>7</xdr:col>
      <xdr:colOff>269640</xdr:colOff>
      <xdr:row>45</xdr:row>
      <xdr:rowOff>21600</xdr:rowOff>
    </xdr:to>
    <xdr:graphicFrame>
      <xdr:nvGraphicFramePr>
        <xdr:cNvPr id="2" name=""/>
        <xdr:cNvGraphicFramePr/>
      </xdr:nvGraphicFramePr>
      <xdr:xfrm>
        <a:off x="200880" y="467028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9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I3" activeCellId="0" sqref="I3"/>
    </sheetView>
  </sheetViews>
  <sheetFormatPr defaultColWidth="8.71484375" defaultRowHeight="15" zeroHeight="false" outlineLevelRow="0" outlineLevelCol="0"/>
  <cols>
    <col collapsed="false" customWidth="true" hidden="false" outlineLevel="0" max="3" min="3" style="1" width="10.29"/>
    <col collapsed="false" customWidth="true" hidden="false" outlineLevel="0" max="4" min="4" style="1" width="10.71"/>
    <col collapsed="false" customWidth="true" hidden="false" outlineLevel="0" max="5" min="5" style="1" width="10.29"/>
    <col collapsed="false" customWidth="true" hidden="false" outlineLevel="0" max="6" min="6" style="1" width="10.42"/>
    <col collapsed="false" customWidth="true" hidden="false" outlineLevel="0" max="7" min="7" style="1" width="10.57"/>
    <col collapsed="false" customWidth="true" hidden="false" outlineLevel="0" max="8" min="8" style="1" width="13.29"/>
    <col collapsed="false" customWidth="true" hidden="false" outlineLevel="0" max="9" min="9" style="1" width="10"/>
    <col collapsed="false" customWidth="true" hidden="false" outlineLevel="0" max="10" min="10" style="1" width="10.85"/>
    <col collapsed="false" customWidth="true" hidden="false" outlineLevel="0" max="11" min="11" style="1" width="11.14"/>
    <col collapsed="false" customWidth="true" hidden="false" outlineLevel="0" max="12" min="12" style="1" width="13.15"/>
    <col collapsed="false" customWidth="true" hidden="false" outlineLevel="0" max="13" min="13" style="1" width="13.71"/>
    <col collapsed="false" customWidth="true" hidden="false" outlineLevel="0" max="14" min="14" style="1" width="9.71"/>
    <col collapsed="false" customWidth="true" hidden="false" outlineLevel="0" max="17" min="17" style="1" width="10.29"/>
  </cols>
  <sheetData>
    <row r="1" customFormat="false" ht="15" hidden="false" customHeight="true" outlineLevel="0" collapsed="false">
      <c r="A1" s="2"/>
      <c r="B1" s="3" t="s">
        <v>0</v>
      </c>
      <c r="C1" s="4" t="s">
        <v>1</v>
      </c>
      <c r="D1" s="4"/>
      <c r="E1" s="4"/>
      <c r="F1" s="5" t="s">
        <v>2</v>
      </c>
      <c r="G1" s="5"/>
      <c r="H1" s="5"/>
      <c r="I1" s="6" t="s">
        <v>3</v>
      </c>
      <c r="J1" s="6"/>
      <c r="K1" s="6"/>
      <c r="L1" s="7" t="s">
        <v>4</v>
      </c>
      <c r="M1" s="8" t="s">
        <v>5</v>
      </c>
    </row>
    <row r="2" customFormat="false" ht="15" hidden="false" customHeight="true" outlineLevel="0" collapsed="false">
      <c r="A2" s="9" t="s">
        <v>6</v>
      </c>
      <c r="B2" s="3"/>
      <c r="C2" s="10" t="s">
        <v>7</v>
      </c>
      <c r="D2" s="11" t="s">
        <v>8</v>
      </c>
      <c r="E2" s="10" t="s">
        <v>9</v>
      </c>
      <c r="F2" s="12" t="s">
        <v>7</v>
      </c>
      <c r="G2" s="11" t="s">
        <v>8</v>
      </c>
      <c r="H2" s="10" t="s">
        <v>9</v>
      </c>
      <c r="I2" s="12" t="s">
        <v>7</v>
      </c>
      <c r="J2" s="11" t="s">
        <v>8</v>
      </c>
      <c r="K2" s="13" t="s">
        <v>9</v>
      </c>
      <c r="L2" s="7"/>
      <c r="M2" s="8"/>
    </row>
    <row r="3" customFormat="false" ht="15" hidden="false" customHeight="true" outlineLevel="0" collapsed="false">
      <c r="A3" s="9"/>
      <c r="B3" s="14" t="n">
        <v>1</v>
      </c>
      <c r="C3" s="15" t="n">
        <v>9</v>
      </c>
      <c r="D3" s="16" t="n">
        <v>44</v>
      </c>
      <c r="E3" s="15" t="n">
        <v>0.204545454545455</v>
      </c>
      <c r="F3" s="17" t="n">
        <v>1</v>
      </c>
      <c r="G3" s="16" t="n">
        <v>6</v>
      </c>
      <c r="H3" s="18" t="n">
        <v>0.166666666666667</v>
      </c>
      <c r="I3" s="17" t="n">
        <v>2</v>
      </c>
      <c r="J3" s="16" t="n">
        <v>10</v>
      </c>
      <c r="K3" s="14" t="n">
        <v>0.2</v>
      </c>
      <c r="L3" s="7"/>
      <c r="M3" s="8"/>
      <c r="N3" s="2"/>
    </row>
    <row r="4" customFormat="false" ht="15" hidden="false" customHeight="true" outlineLevel="0" collapsed="false">
      <c r="A4" s="9"/>
      <c r="B4" s="14" t="n">
        <v>2</v>
      </c>
      <c r="C4" s="15" t="n">
        <v>2</v>
      </c>
      <c r="D4" s="16" t="n">
        <v>10</v>
      </c>
      <c r="E4" s="15" t="n">
        <v>0.2</v>
      </c>
      <c r="F4" s="17" t="n">
        <v>6</v>
      </c>
      <c r="G4" s="16" t="n">
        <v>24</v>
      </c>
      <c r="H4" s="18" t="n">
        <v>0.25</v>
      </c>
      <c r="I4" s="17" t="n">
        <v>2</v>
      </c>
      <c r="J4" s="16" t="n">
        <v>10</v>
      </c>
      <c r="K4" s="14" t="n">
        <v>0.2</v>
      </c>
      <c r="L4" s="19" t="s">
        <v>10</v>
      </c>
      <c r="M4" s="20" t="n">
        <f aca="false">33*2588*2948</f>
        <v>251770992</v>
      </c>
      <c r="N4" s="2"/>
    </row>
    <row r="5" customFormat="false" ht="15" hidden="false" customHeight="true" outlineLevel="0" collapsed="false">
      <c r="A5" s="9"/>
      <c r="B5" s="14" t="n">
        <v>3</v>
      </c>
      <c r="C5" s="15" t="n">
        <v>2</v>
      </c>
      <c r="D5" s="16" t="n">
        <v>10</v>
      </c>
      <c r="E5" s="15" t="n">
        <v>0.2</v>
      </c>
      <c r="F5" s="17" t="n">
        <v>5</v>
      </c>
      <c r="G5" s="16" t="n">
        <v>20</v>
      </c>
      <c r="H5" s="18" t="n">
        <v>0.25</v>
      </c>
      <c r="I5" s="17" t="n">
        <v>1</v>
      </c>
      <c r="J5" s="16" t="n">
        <v>6</v>
      </c>
      <c r="K5" s="14" t="n">
        <v>0.166666666666667</v>
      </c>
      <c r="L5" s="19"/>
      <c r="M5" s="20"/>
      <c r="N5" s="2"/>
    </row>
    <row r="6" customFormat="false" ht="15" hidden="false" customHeight="true" outlineLevel="0" collapsed="false">
      <c r="A6" s="9"/>
      <c r="B6" s="14" t="n">
        <v>4</v>
      </c>
      <c r="C6" s="21" t="n">
        <v>30</v>
      </c>
      <c r="D6" s="22" t="n">
        <v>88</v>
      </c>
      <c r="E6" s="21" t="n">
        <v>0.340909090909091</v>
      </c>
      <c r="F6" s="17" t="n">
        <v>4</v>
      </c>
      <c r="G6" s="16" t="n">
        <v>18</v>
      </c>
      <c r="H6" s="18" t="n">
        <v>0.222222222222222</v>
      </c>
      <c r="I6" s="17" t="n">
        <v>1</v>
      </c>
      <c r="J6" s="16" t="n">
        <v>6</v>
      </c>
      <c r="K6" s="14" t="n">
        <v>0.166666666666667</v>
      </c>
      <c r="L6" s="15"/>
      <c r="M6" s="2"/>
      <c r="N6" s="2"/>
    </row>
    <row r="7" customFormat="false" ht="15" hidden="false" customHeight="true" outlineLevel="0" collapsed="false">
      <c r="A7" s="9"/>
      <c r="B7" s="14" t="n">
        <v>5</v>
      </c>
      <c r="C7" s="23" t="n">
        <v>27081606</v>
      </c>
      <c r="D7" s="24" t="n">
        <v>40779588</v>
      </c>
      <c r="E7" s="23" t="n">
        <v>0.664097096812258</v>
      </c>
      <c r="F7" s="17" t="n">
        <v>4</v>
      </c>
      <c r="G7" s="16" t="n">
        <v>18</v>
      </c>
      <c r="H7" s="18" t="n">
        <v>0.222222222222222</v>
      </c>
      <c r="I7" s="17" t="n">
        <v>2</v>
      </c>
      <c r="J7" s="16" t="n">
        <v>10</v>
      </c>
      <c r="K7" s="14" t="n">
        <v>0.2</v>
      </c>
      <c r="L7" s="15"/>
      <c r="M7" s="2"/>
      <c r="N7" s="2"/>
    </row>
    <row r="8" customFormat="false" ht="15" hidden="false" customHeight="false" outlineLevel="0" collapsed="false">
      <c r="A8" s="9"/>
      <c r="B8" s="14" t="n">
        <v>6</v>
      </c>
      <c r="C8" s="21" t="n">
        <v>31</v>
      </c>
      <c r="D8" s="22" t="n">
        <v>116</v>
      </c>
      <c r="E8" s="21" t="n">
        <v>0.267241379310345</v>
      </c>
      <c r="F8" s="17" t="n">
        <v>1</v>
      </c>
      <c r="G8" s="16" t="n">
        <v>6</v>
      </c>
      <c r="H8" s="18" t="n">
        <v>0.166666666666667</v>
      </c>
      <c r="I8" s="17" t="n">
        <v>2</v>
      </c>
      <c r="J8" s="16" t="n">
        <v>10</v>
      </c>
      <c r="K8" s="14" t="n">
        <v>0.2</v>
      </c>
      <c r="L8" s="15"/>
      <c r="M8" s="25" t="s">
        <v>11</v>
      </c>
      <c r="N8" s="25"/>
      <c r="O8" s="25"/>
      <c r="P8" s="25"/>
      <c r="Q8" s="25"/>
    </row>
    <row r="9" customFormat="false" ht="15" hidden="false" customHeight="false" outlineLevel="0" collapsed="false">
      <c r="A9" s="9"/>
      <c r="B9" s="14" t="n">
        <v>7</v>
      </c>
      <c r="C9" s="15" t="n">
        <v>1</v>
      </c>
      <c r="D9" s="16" t="n">
        <v>6</v>
      </c>
      <c r="E9" s="15" t="n">
        <v>0.166666666666667</v>
      </c>
      <c r="F9" s="17" t="n">
        <v>1</v>
      </c>
      <c r="G9" s="16" t="n">
        <v>6</v>
      </c>
      <c r="H9" s="18" t="n">
        <v>0.166666666666667</v>
      </c>
      <c r="I9" s="17" t="n">
        <v>1</v>
      </c>
      <c r="J9" s="16" t="n">
        <v>6</v>
      </c>
      <c r="K9" s="14" t="n">
        <v>0.166666666666667</v>
      </c>
      <c r="L9" s="15"/>
      <c r="M9" s="26" t="s">
        <v>7</v>
      </c>
      <c r="N9" s="27" t="s">
        <v>1</v>
      </c>
      <c r="O9" s="28" t="s">
        <v>2</v>
      </c>
      <c r="P9" s="29" t="s">
        <v>3</v>
      </c>
      <c r="Q9" s="3" t="s">
        <v>12</v>
      </c>
    </row>
    <row r="10" customFormat="false" ht="15" hidden="false" customHeight="true" outlineLevel="0" collapsed="false">
      <c r="A10" s="9"/>
      <c r="B10" s="14" t="n">
        <v>8</v>
      </c>
      <c r="C10" s="30" t="n">
        <v>17</v>
      </c>
      <c r="D10" s="31" t="n">
        <v>58</v>
      </c>
      <c r="E10" s="30" t="n">
        <v>0.293103448275862</v>
      </c>
      <c r="F10" s="17" t="n">
        <v>5</v>
      </c>
      <c r="G10" s="16" t="n">
        <v>22</v>
      </c>
      <c r="H10" s="18" t="n">
        <v>0.227272727272727</v>
      </c>
      <c r="I10" s="17" t="n">
        <v>5</v>
      </c>
      <c r="J10" s="16" t="n">
        <v>24</v>
      </c>
      <c r="K10" s="14" t="n">
        <v>0.208333333333333</v>
      </c>
      <c r="L10" s="15"/>
      <c r="M10" s="32" t="s">
        <v>13</v>
      </c>
      <c r="N10" s="2" t="n">
        <v>13</v>
      </c>
      <c r="O10" s="33" t="n">
        <v>13</v>
      </c>
      <c r="P10" s="2" t="n">
        <v>12</v>
      </c>
      <c r="Q10" s="34" t="n">
        <f aca="false">SUM(N10:P10)</f>
        <v>38</v>
      </c>
    </row>
    <row r="11" customFormat="false" ht="15" hidden="false" customHeight="true" outlineLevel="0" collapsed="false">
      <c r="A11" s="9"/>
      <c r="B11" s="14" t="n">
        <v>9</v>
      </c>
      <c r="C11" s="30" t="n">
        <v>10</v>
      </c>
      <c r="D11" s="31" t="n">
        <v>46</v>
      </c>
      <c r="E11" s="30" t="n">
        <v>0.217391304347826</v>
      </c>
      <c r="F11" s="17" t="n">
        <v>2</v>
      </c>
      <c r="G11" s="16" t="n">
        <v>10</v>
      </c>
      <c r="H11" s="18" t="n">
        <v>0.2</v>
      </c>
      <c r="I11" s="17" t="n">
        <v>2</v>
      </c>
      <c r="J11" s="16" t="n">
        <v>10</v>
      </c>
      <c r="K11" s="14" t="n">
        <v>0.2</v>
      </c>
      <c r="L11" s="15"/>
      <c r="M11" s="35" t="s">
        <v>14</v>
      </c>
      <c r="N11" s="2" t="n">
        <v>9</v>
      </c>
      <c r="O11" s="33" t="n">
        <v>1</v>
      </c>
      <c r="P11" s="2" t="n">
        <v>5</v>
      </c>
      <c r="Q11" s="34" t="n">
        <f aca="false">SUM(N11:P11)</f>
        <v>15</v>
      </c>
    </row>
    <row r="12" customFormat="false" ht="15" hidden="false" customHeight="true" outlineLevel="0" collapsed="false">
      <c r="A12" s="9"/>
      <c r="B12" s="14" t="n">
        <v>10</v>
      </c>
      <c r="C12" s="15" t="n">
        <v>1</v>
      </c>
      <c r="D12" s="16" t="n">
        <v>6</v>
      </c>
      <c r="E12" s="15" t="n">
        <v>0.166666666666667</v>
      </c>
      <c r="F12" s="17" t="n">
        <v>5</v>
      </c>
      <c r="G12" s="16" t="n">
        <v>22</v>
      </c>
      <c r="H12" s="18" t="n">
        <v>0.227272727272727</v>
      </c>
      <c r="I12" s="17" t="n">
        <v>3</v>
      </c>
      <c r="J12" s="16" t="n">
        <v>16</v>
      </c>
      <c r="K12" s="14" t="n">
        <v>0.1875</v>
      </c>
      <c r="L12" s="15"/>
      <c r="M12" s="36" t="s">
        <v>15</v>
      </c>
      <c r="N12" s="2" t="n">
        <v>1</v>
      </c>
      <c r="O12" s="33" t="n">
        <v>3</v>
      </c>
      <c r="P12" s="2" t="n">
        <v>0</v>
      </c>
      <c r="Q12" s="34" t="n">
        <f aca="false">SUM(N12:P12)</f>
        <v>4</v>
      </c>
    </row>
    <row r="13" customFormat="false" ht="15" hidden="false" customHeight="true" outlineLevel="0" collapsed="false">
      <c r="A13" s="9"/>
      <c r="B13" s="14" t="n">
        <v>11</v>
      </c>
      <c r="C13" s="15" t="n">
        <v>3</v>
      </c>
      <c r="D13" s="16" t="n">
        <v>14</v>
      </c>
      <c r="E13" s="15" t="n">
        <v>0.214285714285714</v>
      </c>
      <c r="F13" s="17" t="n">
        <v>3</v>
      </c>
      <c r="G13" s="16" t="n">
        <v>14</v>
      </c>
      <c r="H13" s="18" t="n">
        <v>0.214285714285714</v>
      </c>
      <c r="I13" s="17" t="n">
        <v>2</v>
      </c>
      <c r="J13" s="16" t="n">
        <v>10</v>
      </c>
      <c r="K13" s="14" t="n">
        <v>0.2</v>
      </c>
      <c r="L13" s="15"/>
      <c r="M13" s="25" t="s">
        <v>12</v>
      </c>
      <c r="N13" s="37" t="n">
        <f aca="false">SUM(N10:N12)</f>
        <v>23</v>
      </c>
      <c r="O13" s="38" t="n">
        <f aca="false">SUM(O10:O12)</f>
        <v>17</v>
      </c>
      <c r="P13" s="37" t="n">
        <f aca="false">SUM(P10:P12)</f>
        <v>17</v>
      </c>
      <c r="Q13" s="39" t="n">
        <f aca="false">SUM(Q10:Q12)</f>
        <v>57</v>
      </c>
    </row>
    <row r="14" customFormat="false" ht="15" hidden="false" customHeight="true" outlineLevel="0" collapsed="false">
      <c r="A14" s="9"/>
      <c r="B14" s="14" t="n">
        <v>12</v>
      </c>
      <c r="C14" s="15" t="n">
        <v>1</v>
      </c>
      <c r="D14" s="16" t="n">
        <v>6</v>
      </c>
      <c r="E14" s="15" t="n">
        <v>0.166666666666667</v>
      </c>
      <c r="F14" s="17" t="n">
        <v>2</v>
      </c>
      <c r="G14" s="16" t="n">
        <v>10</v>
      </c>
      <c r="H14" s="18" t="n">
        <v>0.2</v>
      </c>
      <c r="I14" s="40" t="n">
        <v>11</v>
      </c>
      <c r="J14" s="31" t="n">
        <v>44</v>
      </c>
      <c r="K14" s="41" t="n">
        <v>0.25</v>
      </c>
      <c r="L14" s="15"/>
      <c r="M14" s="42" t="s">
        <v>16</v>
      </c>
      <c r="N14" s="37" t="n">
        <f aca="false">C6+C7+C8+C10+C11+C15+C16+C21+C22+C26+C27+C28+C29+C31+C45+C48+C53+C60+C63+C77+C96+C101+C134</f>
        <v>27082117</v>
      </c>
      <c r="O14" s="38" t="n">
        <f aca="false">F16+F23+F34+F35+F36+F38+F42+F48+F56+F59+F61+F74+F76+F90+F99+F100+F104</f>
        <v>6861582</v>
      </c>
      <c r="P14" s="37" t="n">
        <f aca="false">I14+I17+I21+I26+I29+I33+I37+I46+I48+I58+I61+I63+I67+I80+I83+I86+I97</f>
        <v>380</v>
      </c>
      <c r="Q14" s="39" t="n">
        <f aca="false">SUM(N14:P14)</f>
        <v>33944079</v>
      </c>
    </row>
    <row r="15" customFormat="false" ht="15" hidden="false" customHeight="true" outlineLevel="0" collapsed="false">
      <c r="A15" s="9"/>
      <c r="B15" s="14" t="n">
        <v>13</v>
      </c>
      <c r="C15" s="21" t="n">
        <v>49</v>
      </c>
      <c r="D15" s="22" t="n">
        <v>136</v>
      </c>
      <c r="E15" s="21" t="n">
        <v>0.360294117647059</v>
      </c>
      <c r="F15" s="17" t="n">
        <v>1</v>
      </c>
      <c r="G15" s="16" t="n">
        <v>6</v>
      </c>
      <c r="H15" s="18" t="n">
        <v>0.166666666666667</v>
      </c>
      <c r="I15" s="17" t="n">
        <v>1</v>
      </c>
      <c r="J15" s="16" t="n">
        <v>6</v>
      </c>
      <c r="K15" s="14" t="n">
        <v>0.166666666666667</v>
      </c>
      <c r="L15" s="15"/>
      <c r="M15" s="43" t="s">
        <v>17</v>
      </c>
      <c r="N15" s="44" t="n">
        <f aca="false">(N14*100)/C138</f>
        <v>99.9990288888938</v>
      </c>
      <c r="O15" s="45" t="n">
        <f aca="false">(O14*100)/F138</f>
        <v>99.9952637073047</v>
      </c>
      <c r="P15" s="44" t="n">
        <f aca="false">(P14*100)/I138</f>
        <v>66.0869565217391</v>
      </c>
      <c r="Q15" s="46" t="n">
        <f aca="false">(Q14*100)/L138</f>
        <v>99.9976933180639</v>
      </c>
    </row>
    <row r="16" customFormat="false" ht="15" hidden="false" customHeight="true" outlineLevel="0" collapsed="false">
      <c r="A16" s="9"/>
      <c r="B16" s="14" t="n">
        <v>14</v>
      </c>
      <c r="C16" s="21" t="n">
        <v>86</v>
      </c>
      <c r="D16" s="22" t="n">
        <v>232</v>
      </c>
      <c r="E16" s="21" t="n">
        <v>0.370689655172414</v>
      </c>
      <c r="F16" s="40" t="n">
        <v>11</v>
      </c>
      <c r="G16" s="31" t="n">
        <v>48</v>
      </c>
      <c r="H16" s="47" t="n">
        <v>0.229166666666667</v>
      </c>
      <c r="I16" s="17" t="n">
        <v>1</v>
      </c>
      <c r="J16" s="16" t="n">
        <v>6</v>
      </c>
      <c r="K16" s="14" t="n">
        <v>0.166666666666667</v>
      </c>
      <c r="L16" s="15"/>
      <c r="M16" s="43"/>
      <c r="N16" s="44"/>
      <c r="O16" s="45"/>
      <c r="P16" s="44"/>
      <c r="Q16" s="46"/>
    </row>
    <row r="17" customFormat="false" ht="15" hidden="false" customHeight="true" outlineLevel="0" collapsed="false">
      <c r="A17" s="9"/>
      <c r="B17" s="14" t="n">
        <v>15</v>
      </c>
      <c r="C17" s="15" t="n">
        <v>9</v>
      </c>
      <c r="D17" s="16" t="n">
        <v>36</v>
      </c>
      <c r="E17" s="15" t="n">
        <v>0.25</v>
      </c>
      <c r="F17" s="17" t="n">
        <v>2</v>
      </c>
      <c r="G17" s="16" t="n">
        <v>10</v>
      </c>
      <c r="H17" s="18" t="n">
        <v>0.2</v>
      </c>
      <c r="I17" s="40" t="n">
        <v>14</v>
      </c>
      <c r="J17" s="31" t="n">
        <v>60</v>
      </c>
      <c r="K17" s="41" t="n">
        <v>0.233333333333333</v>
      </c>
      <c r="L17" s="15"/>
      <c r="M17" s="2"/>
      <c r="N17" s="2"/>
    </row>
    <row r="18" customFormat="false" ht="15" hidden="false" customHeight="true" outlineLevel="0" collapsed="false">
      <c r="A18" s="9"/>
      <c r="B18" s="14" t="n">
        <v>16</v>
      </c>
      <c r="C18" s="15" t="n">
        <v>1</v>
      </c>
      <c r="D18" s="16" t="n">
        <v>6</v>
      </c>
      <c r="E18" s="15" t="n">
        <v>0.166666666666667</v>
      </c>
      <c r="F18" s="17" t="n">
        <v>7</v>
      </c>
      <c r="G18" s="16" t="n">
        <v>32</v>
      </c>
      <c r="H18" s="18" t="n">
        <v>0.21875</v>
      </c>
      <c r="I18" s="17" t="n">
        <v>1</v>
      </c>
      <c r="J18" s="16" t="n">
        <v>6</v>
      </c>
      <c r="K18" s="14" t="n">
        <v>0.166666666666667</v>
      </c>
      <c r="L18" s="15"/>
      <c r="M18" s="2"/>
      <c r="N18" s="2"/>
    </row>
    <row r="19" customFormat="false" ht="15" hidden="false" customHeight="true" outlineLevel="0" collapsed="false">
      <c r="A19" s="9"/>
      <c r="B19" s="14" t="n">
        <v>17</v>
      </c>
      <c r="C19" s="15" t="n">
        <v>3</v>
      </c>
      <c r="D19" s="16" t="n">
        <v>14</v>
      </c>
      <c r="E19" s="15" t="n">
        <v>0.214285714285714</v>
      </c>
      <c r="F19" s="17" t="n">
        <v>1</v>
      </c>
      <c r="G19" s="16" t="n">
        <v>6</v>
      </c>
      <c r="H19" s="18" t="n">
        <v>0.166666666666667</v>
      </c>
      <c r="I19" s="17" t="n">
        <v>3</v>
      </c>
      <c r="J19" s="16" t="n">
        <v>14</v>
      </c>
      <c r="K19" s="14" t="n">
        <v>0.214285714285714</v>
      </c>
      <c r="L19" s="15"/>
      <c r="M19" s="2" t="s">
        <v>18</v>
      </c>
      <c r="N19" s="2"/>
    </row>
    <row r="20" customFormat="false" ht="15" hidden="false" customHeight="true" outlineLevel="0" collapsed="false">
      <c r="A20" s="9"/>
      <c r="B20" s="14" t="n">
        <v>18</v>
      </c>
      <c r="C20" s="15" t="n">
        <v>2</v>
      </c>
      <c r="D20" s="16" t="n">
        <v>10</v>
      </c>
      <c r="E20" s="15" t="n">
        <v>0.2</v>
      </c>
      <c r="F20" s="17" t="n">
        <v>4</v>
      </c>
      <c r="G20" s="16" t="n">
        <v>18</v>
      </c>
      <c r="H20" s="18" t="n">
        <v>0.222222222222222</v>
      </c>
      <c r="I20" s="17" t="n">
        <v>4</v>
      </c>
      <c r="J20" s="16" t="n">
        <v>20</v>
      </c>
      <c r="K20" s="14" t="n">
        <v>0.2</v>
      </c>
      <c r="L20" s="15"/>
      <c r="M20" s="2"/>
      <c r="N20" s="2"/>
    </row>
    <row r="21" customFormat="false" ht="15" hidden="false" customHeight="true" outlineLevel="0" collapsed="false">
      <c r="A21" s="9"/>
      <c r="B21" s="14" t="n">
        <v>19</v>
      </c>
      <c r="C21" s="30" t="n">
        <v>15</v>
      </c>
      <c r="D21" s="31" t="n">
        <v>52</v>
      </c>
      <c r="E21" s="30" t="n">
        <v>0.288461538461538</v>
      </c>
      <c r="F21" s="17" t="n">
        <v>6</v>
      </c>
      <c r="G21" s="16" t="n">
        <v>24</v>
      </c>
      <c r="H21" s="18" t="n">
        <v>0.25</v>
      </c>
      <c r="I21" s="40" t="n">
        <v>17</v>
      </c>
      <c r="J21" s="31" t="n">
        <v>66</v>
      </c>
      <c r="K21" s="41" t="n">
        <v>0.257575757575758</v>
      </c>
      <c r="L21" s="15"/>
      <c r="M21" s="2"/>
      <c r="N21" s="2"/>
    </row>
    <row r="22" customFormat="false" ht="15" hidden="false" customHeight="true" outlineLevel="0" collapsed="false">
      <c r="A22" s="9"/>
      <c r="B22" s="14" t="n">
        <v>20</v>
      </c>
      <c r="C22" s="30" t="n">
        <v>13</v>
      </c>
      <c r="D22" s="31" t="n">
        <v>42</v>
      </c>
      <c r="E22" s="30" t="n">
        <v>0.30952380952381</v>
      </c>
      <c r="F22" s="17" t="n">
        <v>3</v>
      </c>
      <c r="G22" s="16" t="n">
        <v>14</v>
      </c>
      <c r="H22" s="18" t="n">
        <v>0.214285714285714</v>
      </c>
      <c r="I22" s="17" t="n">
        <v>4</v>
      </c>
      <c r="J22" s="16" t="n">
        <v>18</v>
      </c>
      <c r="K22" s="14" t="n">
        <v>0.222222222222222</v>
      </c>
      <c r="L22" s="15"/>
      <c r="M22" s="2"/>
      <c r="N22" s="2"/>
    </row>
    <row r="23" customFormat="false" ht="15" hidden="false" customHeight="true" outlineLevel="0" collapsed="false">
      <c r="A23" s="9"/>
      <c r="B23" s="14" t="n">
        <v>21</v>
      </c>
      <c r="C23" s="15" t="n">
        <v>2</v>
      </c>
      <c r="D23" s="16" t="n">
        <v>10</v>
      </c>
      <c r="E23" s="15" t="n">
        <v>0.2</v>
      </c>
      <c r="F23" s="40" t="n">
        <v>13</v>
      </c>
      <c r="G23" s="31" t="n">
        <v>46</v>
      </c>
      <c r="H23" s="47" t="n">
        <v>0.282608695652174</v>
      </c>
      <c r="I23" s="17" t="n">
        <v>1</v>
      </c>
      <c r="J23" s="16" t="n">
        <v>6</v>
      </c>
      <c r="K23" s="14" t="n">
        <v>0.166666666666667</v>
      </c>
      <c r="L23" s="15"/>
      <c r="M23" s="2"/>
      <c r="N23" s="2"/>
    </row>
    <row r="24" customFormat="false" ht="15" hidden="false" customHeight="true" outlineLevel="0" collapsed="false">
      <c r="A24" s="9"/>
      <c r="B24" s="14" t="n">
        <v>22</v>
      </c>
      <c r="C24" s="15" t="n">
        <v>2</v>
      </c>
      <c r="D24" s="16" t="n">
        <v>10</v>
      </c>
      <c r="E24" s="15" t="n">
        <v>0.2</v>
      </c>
      <c r="F24" s="17" t="n">
        <v>5</v>
      </c>
      <c r="G24" s="16" t="n">
        <v>20</v>
      </c>
      <c r="H24" s="18" t="n">
        <v>0.25</v>
      </c>
      <c r="I24" s="17" t="n">
        <v>2</v>
      </c>
      <c r="J24" s="16" t="n">
        <v>10</v>
      </c>
      <c r="K24" s="14" t="n">
        <v>0.2</v>
      </c>
      <c r="L24" s="15"/>
      <c r="M24" s="2"/>
      <c r="N24" s="2"/>
    </row>
    <row r="25" customFormat="false" ht="15" hidden="false" customHeight="true" outlineLevel="0" collapsed="false">
      <c r="A25" s="9"/>
      <c r="B25" s="14" t="n">
        <v>23</v>
      </c>
      <c r="C25" s="15" t="n">
        <v>4</v>
      </c>
      <c r="D25" s="16" t="n">
        <v>18</v>
      </c>
      <c r="E25" s="15" t="n">
        <v>0.222222222222222</v>
      </c>
      <c r="F25" s="17" t="n">
        <v>9</v>
      </c>
      <c r="G25" s="16" t="n">
        <v>38</v>
      </c>
      <c r="H25" s="18" t="n">
        <v>0.236842105263158</v>
      </c>
      <c r="I25" s="17" t="n">
        <v>2</v>
      </c>
      <c r="J25" s="16" t="n">
        <v>10</v>
      </c>
      <c r="K25" s="14" t="n">
        <v>0.2</v>
      </c>
      <c r="L25" s="15"/>
      <c r="M25" s="2"/>
      <c r="N25" s="2"/>
    </row>
    <row r="26" customFormat="false" ht="15" hidden="false" customHeight="true" outlineLevel="0" collapsed="false">
      <c r="A26" s="9"/>
      <c r="B26" s="14" t="n">
        <v>24</v>
      </c>
      <c r="C26" s="30" t="n">
        <v>12</v>
      </c>
      <c r="D26" s="31" t="n">
        <v>46</v>
      </c>
      <c r="E26" s="30" t="n">
        <v>0.260869565217391</v>
      </c>
      <c r="F26" s="17" t="n">
        <v>7</v>
      </c>
      <c r="G26" s="16" t="n">
        <v>28</v>
      </c>
      <c r="H26" s="18" t="n">
        <v>0.25</v>
      </c>
      <c r="I26" s="40" t="n">
        <v>16</v>
      </c>
      <c r="J26" s="31" t="n">
        <v>64</v>
      </c>
      <c r="K26" s="41" t="n">
        <v>0.25</v>
      </c>
      <c r="L26" s="15"/>
      <c r="M26" s="2"/>
      <c r="N26" s="2"/>
    </row>
    <row r="27" customFormat="false" ht="15" hidden="false" customHeight="true" outlineLevel="0" collapsed="false">
      <c r="A27" s="9"/>
      <c r="B27" s="14" t="n">
        <v>25</v>
      </c>
      <c r="C27" s="30" t="n">
        <v>12</v>
      </c>
      <c r="D27" s="31" t="n">
        <v>44</v>
      </c>
      <c r="E27" s="30" t="n">
        <v>0.272727272727273</v>
      </c>
      <c r="F27" s="17" t="n">
        <v>1</v>
      </c>
      <c r="G27" s="16" t="n">
        <v>6</v>
      </c>
      <c r="H27" s="18" t="n">
        <v>0.166666666666667</v>
      </c>
      <c r="I27" s="17" t="n">
        <v>1</v>
      </c>
      <c r="J27" s="16" t="n">
        <v>6</v>
      </c>
      <c r="K27" s="14" t="n">
        <v>0.166666666666667</v>
      </c>
      <c r="L27" s="15"/>
      <c r="M27" s="2"/>
      <c r="N27" s="2"/>
    </row>
    <row r="28" customFormat="false" ht="15" hidden="false" customHeight="true" outlineLevel="0" collapsed="false">
      <c r="A28" s="9"/>
      <c r="B28" s="14" t="n">
        <v>26</v>
      </c>
      <c r="C28" s="30" t="n">
        <v>13</v>
      </c>
      <c r="D28" s="31" t="n">
        <v>46</v>
      </c>
      <c r="E28" s="30" t="n">
        <v>0.282608695652174</v>
      </c>
      <c r="F28" s="17" t="n">
        <v>2</v>
      </c>
      <c r="G28" s="16" t="n">
        <v>10</v>
      </c>
      <c r="H28" s="18" t="n">
        <v>0.2</v>
      </c>
      <c r="I28" s="17" t="n">
        <v>4</v>
      </c>
      <c r="J28" s="16" t="n">
        <v>22</v>
      </c>
      <c r="K28" s="14" t="n">
        <v>0.181818181818182</v>
      </c>
      <c r="L28" s="15"/>
      <c r="M28" s="2"/>
      <c r="N28" s="2"/>
    </row>
    <row r="29" customFormat="false" ht="15" hidden="false" customHeight="true" outlineLevel="0" collapsed="false">
      <c r="A29" s="9"/>
      <c r="B29" s="14" t="n">
        <v>27</v>
      </c>
      <c r="C29" s="21" t="n">
        <v>22</v>
      </c>
      <c r="D29" s="22" t="n">
        <v>90</v>
      </c>
      <c r="E29" s="21" t="n">
        <v>0.244444444444444</v>
      </c>
      <c r="F29" s="17" t="n">
        <v>3</v>
      </c>
      <c r="G29" s="16" t="n">
        <v>14</v>
      </c>
      <c r="H29" s="18" t="n">
        <v>0.214285714285714</v>
      </c>
      <c r="I29" s="48" t="n">
        <v>63</v>
      </c>
      <c r="J29" s="22" t="n">
        <v>230</v>
      </c>
      <c r="K29" s="49" t="n">
        <v>0.273913043478261</v>
      </c>
      <c r="L29" s="15"/>
      <c r="M29" s="2"/>
      <c r="N29" s="2"/>
    </row>
    <row r="30" customFormat="false" ht="15" hidden="false" customHeight="true" outlineLevel="0" collapsed="false">
      <c r="A30" s="9"/>
      <c r="B30" s="14" t="n">
        <v>28</v>
      </c>
      <c r="C30" s="15" t="n">
        <v>2</v>
      </c>
      <c r="D30" s="16" t="n">
        <v>10</v>
      </c>
      <c r="E30" s="15" t="n">
        <v>0.2</v>
      </c>
      <c r="F30" s="17" t="n">
        <v>1</v>
      </c>
      <c r="G30" s="16" t="n">
        <v>6</v>
      </c>
      <c r="H30" s="18" t="n">
        <v>0.166666666666667</v>
      </c>
      <c r="I30" s="17" t="n">
        <v>3</v>
      </c>
      <c r="J30" s="16" t="n">
        <v>14</v>
      </c>
      <c r="K30" s="14" t="n">
        <v>0.214285714285714</v>
      </c>
      <c r="L30" s="15"/>
      <c r="M30" s="2"/>
      <c r="N30" s="2"/>
    </row>
    <row r="31" customFormat="false" ht="15" hidden="false" customHeight="true" outlineLevel="0" collapsed="false">
      <c r="A31" s="9"/>
      <c r="B31" s="14" t="n">
        <v>29</v>
      </c>
      <c r="C31" s="30" t="n">
        <v>13</v>
      </c>
      <c r="D31" s="31" t="n">
        <v>44</v>
      </c>
      <c r="E31" s="30" t="n">
        <v>0.295454545454546</v>
      </c>
      <c r="F31" s="17" t="n">
        <v>5</v>
      </c>
      <c r="G31" s="16" t="n">
        <v>24</v>
      </c>
      <c r="H31" s="18" t="n">
        <v>0.208333333333333</v>
      </c>
      <c r="I31" s="17" t="n">
        <v>6</v>
      </c>
      <c r="J31" s="16" t="n">
        <v>24</v>
      </c>
      <c r="K31" s="14" t="n">
        <v>0.25</v>
      </c>
      <c r="L31" s="15"/>
      <c r="M31" s="2"/>
      <c r="N31" s="2"/>
    </row>
    <row r="32" customFormat="false" ht="15" hidden="false" customHeight="true" outlineLevel="0" collapsed="false">
      <c r="A32" s="9"/>
      <c r="B32" s="14" t="n">
        <v>30</v>
      </c>
      <c r="C32" s="15" t="n">
        <v>1</v>
      </c>
      <c r="D32" s="16" t="n">
        <v>6</v>
      </c>
      <c r="E32" s="15" t="n">
        <v>0.166666666666667</v>
      </c>
      <c r="F32" s="17" t="n">
        <v>7</v>
      </c>
      <c r="G32" s="16" t="n">
        <v>34</v>
      </c>
      <c r="H32" s="18" t="n">
        <v>0.205882352941177</v>
      </c>
      <c r="I32" s="17" t="n">
        <v>2</v>
      </c>
      <c r="J32" s="16" t="n">
        <v>10</v>
      </c>
      <c r="K32" s="14" t="n">
        <v>0.2</v>
      </c>
      <c r="L32" s="15"/>
      <c r="M32" s="2"/>
      <c r="N32" s="2"/>
    </row>
    <row r="33" customFormat="false" ht="15" hidden="false" customHeight="true" outlineLevel="0" collapsed="false">
      <c r="A33" s="9"/>
      <c r="B33" s="14" t="n">
        <v>31</v>
      </c>
      <c r="C33" s="15" t="n">
        <v>1</v>
      </c>
      <c r="D33" s="16" t="n">
        <v>6</v>
      </c>
      <c r="E33" s="15" t="n">
        <v>0.166666666666667</v>
      </c>
      <c r="F33" s="17" t="n">
        <v>6</v>
      </c>
      <c r="G33" s="16" t="n">
        <v>28</v>
      </c>
      <c r="H33" s="18" t="n">
        <v>0.214285714285714</v>
      </c>
      <c r="I33" s="40" t="n">
        <v>14</v>
      </c>
      <c r="J33" s="31" t="n">
        <v>52</v>
      </c>
      <c r="K33" s="41" t="n">
        <v>0.269230769230769</v>
      </c>
      <c r="L33" s="15"/>
      <c r="M33" s="2"/>
      <c r="N33" s="2"/>
    </row>
    <row r="34" customFormat="false" ht="15" hidden="false" customHeight="true" outlineLevel="0" collapsed="false">
      <c r="A34" s="9"/>
      <c r="B34" s="14" t="n">
        <v>32</v>
      </c>
      <c r="C34" s="15" t="n">
        <v>2</v>
      </c>
      <c r="D34" s="16" t="n">
        <v>12</v>
      </c>
      <c r="E34" s="15" t="n">
        <v>0.166666666666667</v>
      </c>
      <c r="F34" s="40" t="n">
        <v>10</v>
      </c>
      <c r="G34" s="31" t="n">
        <v>42</v>
      </c>
      <c r="H34" s="47" t="n">
        <v>0.238095238095238</v>
      </c>
      <c r="I34" s="17" t="n">
        <v>1</v>
      </c>
      <c r="J34" s="16" t="n">
        <v>6</v>
      </c>
      <c r="K34" s="14" t="n">
        <v>0.166666666666667</v>
      </c>
      <c r="L34" s="15"/>
      <c r="M34" s="2"/>
      <c r="N34" s="2"/>
    </row>
    <row r="35" customFormat="false" ht="15" hidden="false" customHeight="true" outlineLevel="0" collapsed="false">
      <c r="A35" s="9"/>
      <c r="B35" s="14" t="n">
        <v>33</v>
      </c>
      <c r="C35" s="15" t="n">
        <v>2</v>
      </c>
      <c r="D35" s="16" t="n">
        <v>10</v>
      </c>
      <c r="E35" s="15" t="n">
        <v>0.2</v>
      </c>
      <c r="F35" s="40" t="n">
        <v>10</v>
      </c>
      <c r="G35" s="31" t="n">
        <v>42</v>
      </c>
      <c r="H35" s="47" t="n">
        <v>0.238095238095238</v>
      </c>
      <c r="I35" s="17" t="n">
        <v>1</v>
      </c>
      <c r="J35" s="16" t="n">
        <v>6</v>
      </c>
      <c r="K35" s="14" t="n">
        <v>0.166666666666667</v>
      </c>
      <c r="L35" s="15"/>
      <c r="M35" s="2"/>
      <c r="N35" s="2"/>
    </row>
    <row r="36" customFormat="false" ht="15" hidden="false" customHeight="true" outlineLevel="0" collapsed="false">
      <c r="A36" s="9"/>
      <c r="B36" s="14" t="n">
        <v>34</v>
      </c>
      <c r="C36" s="15" t="n">
        <v>2</v>
      </c>
      <c r="D36" s="16" t="n">
        <v>10</v>
      </c>
      <c r="E36" s="15" t="n">
        <v>0.2</v>
      </c>
      <c r="F36" s="50" t="n">
        <v>144</v>
      </c>
      <c r="G36" s="24" t="n">
        <v>546</v>
      </c>
      <c r="H36" s="51" t="n">
        <v>0.263736263736264</v>
      </c>
      <c r="I36" s="17" t="n">
        <v>2</v>
      </c>
      <c r="J36" s="16" t="n">
        <v>10</v>
      </c>
      <c r="K36" s="14" t="n">
        <v>0.2</v>
      </c>
      <c r="L36" s="15"/>
      <c r="M36" s="2"/>
      <c r="N36" s="2"/>
    </row>
    <row r="37" customFormat="false" ht="15" hidden="false" customHeight="true" outlineLevel="0" collapsed="false">
      <c r="A37" s="9"/>
      <c r="B37" s="14" t="n">
        <v>35</v>
      </c>
      <c r="C37" s="15" t="n">
        <v>3</v>
      </c>
      <c r="D37" s="16" t="n">
        <v>14</v>
      </c>
      <c r="E37" s="15" t="n">
        <v>0.214285714285714</v>
      </c>
      <c r="F37" s="17" t="n">
        <v>2</v>
      </c>
      <c r="G37" s="16" t="n">
        <v>10</v>
      </c>
      <c r="H37" s="18" t="n">
        <v>0.2</v>
      </c>
      <c r="I37" s="48" t="n">
        <v>56</v>
      </c>
      <c r="J37" s="22" t="n">
        <v>204</v>
      </c>
      <c r="K37" s="49" t="n">
        <v>0.274509803921569</v>
      </c>
      <c r="L37" s="15"/>
      <c r="M37" s="2"/>
      <c r="N37" s="2"/>
    </row>
    <row r="38" customFormat="false" ht="15" hidden="false" customHeight="true" outlineLevel="0" collapsed="false">
      <c r="A38" s="9"/>
      <c r="B38" s="14" t="n">
        <v>36</v>
      </c>
      <c r="C38" s="15" t="n">
        <v>2</v>
      </c>
      <c r="D38" s="16" t="n">
        <v>12</v>
      </c>
      <c r="E38" s="15" t="n">
        <v>0.166666666666667</v>
      </c>
      <c r="F38" s="40" t="n">
        <v>10</v>
      </c>
      <c r="G38" s="31" t="n">
        <v>44</v>
      </c>
      <c r="H38" s="47" t="n">
        <v>0.227272727272727</v>
      </c>
      <c r="I38" s="17" t="n">
        <v>1</v>
      </c>
      <c r="J38" s="16" t="n">
        <v>6</v>
      </c>
      <c r="K38" s="14" t="n">
        <v>0.166666666666667</v>
      </c>
      <c r="L38" s="15"/>
      <c r="M38" s="2"/>
      <c r="N38" s="2"/>
    </row>
    <row r="39" customFormat="false" ht="15" hidden="false" customHeight="true" outlineLevel="0" collapsed="false">
      <c r="A39" s="9"/>
      <c r="B39" s="14" t="n">
        <v>37</v>
      </c>
      <c r="C39" s="15" t="n">
        <v>1</v>
      </c>
      <c r="D39" s="16" t="n">
        <v>6</v>
      </c>
      <c r="E39" s="15" t="n">
        <v>0.166666666666667</v>
      </c>
      <c r="F39" s="17" t="n">
        <v>8</v>
      </c>
      <c r="G39" s="16" t="n">
        <v>34</v>
      </c>
      <c r="H39" s="18" t="n">
        <v>0.235294117647059</v>
      </c>
      <c r="I39" s="17" t="n">
        <v>3</v>
      </c>
      <c r="J39" s="16" t="n">
        <v>14</v>
      </c>
      <c r="K39" s="14" t="n">
        <v>0.214285714285714</v>
      </c>
      <c r="L39" s="15"/>
      <c r="M39" s="2"/>
      <c r="N39" s="2"/>
    </row>
    <row r="40" customFormat="false" ht="15" hidden="false" customHeight="true" outlineLevel="0" collapsed="false">
      <c r="A40" s="9"/>
      <c r="B40" s="14" t="n">
        <v>38</v>
      </c>
      <c r="C40" s="15" t="n">
        <v>5</v>
      </c>
      <c r="D40" s="16" t="n">
        <v>20</v>
      </c>
      <c r="E40" s="15" t="n">
        <v>0.25</v>
      </c>
      <c r="F40" s="17" t="n">
        <v>2</v>
      </c>
      <c r="G40" s="16" t="n">
        <v>10</v>
      </c>
      <c r="H40" s="18" t="n">
        <v>0.2</v>
      </c>
      <c r="I40" s="17" t="n">
        <v>2</v>
      </c>
      <c r="J40" s="16" t="n">
        <v>10</v>
      </c>
      <c r="K40" s="14" t="n">
        <v>0.2</v>
      </c>
      <c r="L40" s="15"/>
      <c r="M40" s="2"/>
      <c r="N40" s="2"/>
    </row>
    <row r="41" customFormat="false" ht="15" hidden="false" customHeight="true" outlineLevel="0" collapsed="false">
      <c r="A41" s="9"/>
      <c r="B41" s="14" t="n">
        <v>39</v>
      </c>
      <c r="C41" s="15" t="n">
        <v>2</v>
      </c>
      <c r="D41" s="16" t="n">
        <v>10</v>
      </c>
      <c r="E41" s="15" t="n">
        <v>0.2</v>
      </c>
      <c r="F41" s="17" t="n">
        <v>5</v>
      </c>
      <c r="G41" s="16" t="n">
        <v>22</v>
      </c>
      <c r="H41" s="18" t="n">
        <v>0.227272727272727</v>
      </c>
      <c r="I41" s="17" t="n">
        <v>4</v>
      </c>
      <c r="J41" s="16" t="n">
        <v>20</v>
      </c>
      <c r="K41" s="14" t="n">
        <v>0.2</v>
      </c>
      <c r="L41" s="15"/>
      <c r="M41" s="2"/>
      <c r="N41" s="2"/>
    </row>
    <row r="42" customFormat="false" ht="15" hidden="false" customHeight="true" outlineLevel="0" collapsed="false">
      <c r="A42" s="9"/>
      <c r="B42" s="14" t="n">
        <v>40</v>
      </c>
      <c r="C42" s="15" t="n">
        <v>3</v>
      </c>
      <c r="D42" s="16" t="n">
        <v>14</v>
      </c>
      <c r="E42" s="15" t="n">
        <v>0.214285714285714</v>
      </c>
      <c r="F42" s="40" t="n">
        <v>16</v>
      </c>
      <c r="G42" s="31" t="n">
        <v>64</v>
      </c>
      <c r="H42" s="47" t="n">
        <v>0.25</v>
      </c>
      <c r="I42" s="17" t="n">
        <v>3</v>
      </c>
      <c r="J42" s="16" t="n">
        <v>14</v>
      </c>
      <c r="K42" s="14" t="n">
        <v>0.214285714285714</v>
      </c>
      <c r="L42" s="15"/>
      <c r="M42" s="2"/>
      <c r="N42" s="2"/>
    </row>
    <row r="43" customFormat="false" ht="15" hidden="false" customHeight="true" outlineLevel="0" collapsed="false">
      <c r="A43" s="9"/>
      <c r="B43" s="14" t="n">
        <v>41</v>
      </c>
      <c r="C43" s="15" t="n">
        <v>2</v>
      </c>
      <c r="D43" s="16" t="n">
        <v>10</v>
      </c>
      <c r="E43" s="15" t="n">
        <v>0.2</v>
      </c>
      <c r="F43" s="17" t="n">
        <v>2</v>
      </c>
      <c r="G43" s="16" t="n">
        <v>10</v>
      </c>
      <c r="H43" s="18" t="n">
        <v>0.2</v>
      </c>
      <c r="I43" s="17" t="n">
        <v>2</v>
      </c>
      <c r="J43" s="16" t="n">
        <v>10</v>
      </c>
      <c r="K43" s="14" t="n">
        <v>0.2</v>
      </c>
      <c r="L43" s="15"/>
      <c r="M43" s="2"/>
      <c r="N43" s="2"/>
    </row>
    <row r="44" customFormat="false" ht="15" hidden="false" customHeight="true" outlineLevel="0" collapsed="false">
      <c r="A44" s="9"/>
      <c r="B44" s="14" t="n">
        <v>42</v>
      </c>
      <c r="C44" s="15" t="n">
        <v>1</v>
      </c>
      <c r="D44" s="16" t="n">
        <v>6</v>
      </c>
      <c r="E44" s="15" t="n">
        <v>0.166666666666667</v>
      </c>
      <c r="F44" s="17" t="n">
        <v>1</v>
      </c>
      <c r="G44" s="16" t="n">
        <v>6</v>
      </c>
      <c r="H44" s="18" t="n">
        <v>0.166666666666667</v>
      </c>
      <c r="I44" s="17" t="n">
        <v>3</v>
      </c>
      <c r="J44" s="16" t="n">
        <v>14</v>
      </c>
      <c r="K44" s="14" t="n">
        <v>0.214285714285714</v>
      </c>
      <c r="L44" s="15"/>
      <c r="M44" s="2"/>
      <c r="N44" s="2"/>
    </row>
    <row r="45" customFormat="false" ht="15" hidden="false" customHeight="true" outlineLevel="0" collapsed="false">
      <c r="A45" s="9"/>
      <c r="B45" s="14" t="n">
        <v>43</v>
      </c>
      <c r="C45" s="30" t="n">
        <v>15</v>
      </c>
      <c r="D45" s="31" t="n">
        <v>48</v>
      </c>
      <c r="E45" s="30" t="n">
        <v>0.3125</v>
      </c>
      <c r="F45" s="17" t="n">
        <v>4</v>
      </c>
      <c r="G45" s="16" t="n">
        <v>18</v>
      </c>
      <c r="H45" s="18" t="n">
        <v>0.222222222222222</v>
      </c>
      <c r="I45" s="17" t="n">
        <v>1</v>
      </c>
      <c r="J45" s="16" t="n">
        <v>6</v>
      </c>
      <c r="K45" s="14" t="n">
        <v>0.166666666666667</v>
      </c>
      <c r="L45" s="15"/>
      <c r="M45" s="2"/>
      <c r="N45" s="2"/>
    </row>
    <row r="46" customFormat="false" ht="15" hidden="false" customHeight="true" outlineLevel="0" collapsed="false">
      <c r="A46" s="9"/>
      <c r="B46" s="14" t="n">
        <v>44</v>
      </c>
      <c r="C46" s="15" t="n">
        <v>1</v>
      </c>
      <c r="D46" s="16" t="n">
        <v>6</v>
      </c>
      <c r="E46" s="15" t="n">
        <v>0.166666666666667</v>
      </c>
      <c r="F46" s="17" t="n">
        <v>1</v>
      </c>
      <c r="G46" s="16" t="n">
        <v>6</v>
      </c>
      <c r="H46" s="18" t="n">
        <v>0.166666666666667</v>
      </c>
      <c r="I46" s="48" t="n">
        <v>27</v>
      </c>
      <c r="J46" s="22" t="n">
        <v>106</v>
      </c>
      <c r="K46" s="49" t="n">
        <v>0.254716981132076</v>
      </c>
      <c r="L46" s="15"/>
      <c r="M46" s="2"/>
      <c r="N46" s="2"/>
    </row>
    <row r="47" customFormat="false" ht="15" hidden="false" customHeight="true" outlineLevel="0" collapsed="false">
      <c r="A47" s="9"/>
      <c r="B47" s="14" t="n">
        <v>45</v>
      </c>
      <c r="C47" s="15" t="n">
        <v>2</v>
      </c>
      <c r="D47" s="16" t="n">
        <v>10</v>
      </c>
      <c r="E47" s="15" t="n">
        <v>0.2</v>
      </c>
      <c r="F47" s="17" t="n">
        <v>1</v>
      </c>
      <c r="G47" s="16" t="n">
        <v>6</v>
      </c>
      <c r="H47" s="18" t="n">
        <v>0.166666666666667</v>
      </c>
      <c r="I47" s="17" t="n">
        <v>2</v>
      </c>
      <c r="J47" s="16" t="n">
        <v>10</v>
      </c>
      <c r="K47" s="14" t="n">
        <v>0.2</v>
      </c>
      <c r="L47" s="15"/>
      <c r="M47" s="2"/>
      <c r="N47" s="2"/>
    </row>
    <row r="48" customFormat="false" ht="15" hidden="false" customHeight="true" outlineLevel="0" collapsed="false">
      <c r="A48" s="9"/>
      <c r="B48" s="14" t="n">
        <v>46</v>
      </c>
      <c r="C48" s="30" t="n">
        <v>14</v>
      </c>
      <c r="D48" s="31" t="n">
        <v>48</v>
      </c>
      <c r="E48" s="30" t="n">
        <v>0.291666666666667</v>
      </c>
      <c r="F48" s="40" t="n">
        <v>10</v>
      </c>
      <c r="G48" s="31" t="n">
        <v>42</v>
      </c>
      <c r="H48" s="47" t="n">
        <v>0.238095238095238</v>
      </c>
      <c r="I48" s="48" t="n">
        <v>29</v>
      </c>
      <c r="J48" s="22" t="n">
        <v>122</v>
      </c>
      <c r="K48" s="49" t="n">
        <v>0.237704918032787</v>
      </c>
      <c r="L48" s="15"/>
      <c r="M48" s="2"/>
      <c r="N48" s="2"/>
    </row>
    <row r="49" customFormat="false" ht="15" hidden="false" customHeight="true" outlineLevel="0" collapsed="false">
      <c r="A49" s="9"/>
      <c r="B49" s="14" t="n">
        <v>47</v>
      </c>
      <c r="C49" s="15" t="n">
        <v>1</v>
      </c>
      <c r="D49" s="16" t="n">
        <v>6</v>
      </c>
      <c r="E49" s="15" t="n">
        <v>0.166666666666667</v>
      </c>
      <c r="F49" s="17" t="n">
        <v>2</v>
      </c>
      <c r="G49" s="16" t="n">
        <v>10</v>
      </c>
      <c r="H49" s="18" t="n">
        <v>0.2</v>
      </c>
      <c r="I49" s="17" t="n">
        <v>1</v>
      </c>
      <c r="J49" s="16" t="n">
        <v>6</v>
      </c>
      <c r="K49" s="14" t="n">
        <v>0.166666666666667</v>
      </c>
      <c r="L49" s="15"/>
      <c r="M49" s="2"/>
      <c r="N49" s="2"/>
    </row>
    <row r="50" customFormat="false" ht="15" hidden="false" customHeight="true" outlineLevel="0" collapsed="false">
      <c r="A50" s="9"/>
      <c r="B50" s="14" t="n">
        <v>48</v>
      </c>
      <c r="C50" s="15" t="n">
        <v>1</v>
      </c>
      <c r="D50" s="16" t="n">
        <v>6</v>
      </c>
      <c r="E50" s="15" t="n">
        <v>0.166666666666667</v>
      </c>
      <c r="F50" s="17" t="n">
        <v>2</v>
      </c>
      <c r="G50" s="16" t="n">
        <v>10</v>
      </c>
      <c r="H50" s="18" t="n">
        <v>0.2</v>
      </c>
      <c r="I50" s="17" t="n">
        <v>1</v>
      </c>
      <c r="J50" s="16" t="n">
        <v>6</v>
      </c>
      <c r="K50" s="14" t="n">
        <v>0.166666666666667</v>
      </c>
      <c r="L50" s="15"/>
      <c r="M50" s="2"/>
      <c r="N50" s="2"/>
    </row>
    <row r="51" customFormat="false" ht="15" hidden="false" customHeight="true" outlineLevel="0" collapsed="false">
      <c r="A51" s="9"/>
      <c r="B51" s="14" t="n">
        <v>49</v>
      </c>
      <c r="C51" s="15" t="n">
        <v>3</v>
      </c>
      <c r="D51" s="16" t="n">
        <v>14</v>
      </c>
      <c r="E51" s="15" t="n">
        <v>0.214285714285714</v>
      </c>
      <c r="F51" s="17" t="n">
        <v>7</v>
      </c>
      <c r="G51" s="16" t="n">
        <v>30</v>
      </c>
      <c r="H51" s="18" t="n">
        <v>0.233333333333333</v>
      </c>
      <c r="I51" s="17" t="n">
        <v>1</v>
      </c>
      <c r="J51" s="16" t="n">
        <v>6</v>
      </c>
      <c r="K51" s="14" t="n">
        <v>0.166666666666667</v>
      </c>
      <c r="L51" s="15"/>
      <c r="M51" s="2"/>
      <c r="N51" s="2"/>
    </row>
    <row r="52" customFormat="false" ht="15" hidden="false" customHeight="true" outlineLevel="0" collapsed="false">
      <c r="A52" s="9"/>
      <c r="B52" s="14" t="n">
        <v>50</v>
      </c>
      <c r="C52" s="15" t="n">
        <v>1</v>
      </c>
      <c r="D52" s="16" t="n">
        <v>6</v>
      </c>
      <c r="E52" s="15" t="n">
        <v>0.166666666666667</v>
      </c>
      <c r="F52" s="17" t="n">
        <v>1</v>
      </c>
      <c r="G52" s="16" t="n">
        <v>6</v>
      </c>
      <c r="H52" s="18" t="n">
        <v>0.166666666666667</v>
      </c>
      <c r="I52" s="17" t="n">
        <v>7</v>
      </c>
      <c r="J52" s="16" t="n">
        <v>26</v>
      </c>
      <c r="K52" s="14" t="n">
        <v>0.269230769230769</v>
      </c>
      <c r="L52" s="15"/>
      <c r="M52" s="2"/>
      <c r="N52" s="2"/>
    </row>
    <row r="53" customFormat="false" ht="15" hidden="false" customHeight="true" outlineLevel="0" collapsed="false">
      <c r="A53" s="9"/>
      <c r="B53" s="14" t="n">
        <v>51</v>
      </c>
      <c r="C53" s="21" t="n">
        <v>42</v>
      </c>
      <c r="D53" s="22" t="n">
        <v>122</v>
      </c>
      <c r="E53" s="21" t="n">
        <v>0.344262295081967</v>
      </c>
      <c r="F53" s="17" t="n">
        <v>1</v>
      </c>
      <c r="G53" s="16" t="n">
        <v>6</v>
      </c>
      <c r="H53" s="18" t="n">
        <v>0.166666666666667</v>
      </c>
      <c r="I53" s="17" t="n">
        <v>5</v>
      </c>
      <c r="J53" s="16" t="n">
        <v>20</v>
      </c>
      <c r="K53" s="14" t="n">
        <v>0.25</v>
      </c>
      <c r="L53" s="15"/>
      <c r="M53" s="2"/>
      <c r="N53" s="2"/>
    </row>
    <row r="54" customFormat="false" ht="15" hidden="false" customHeight="true" outlineLevel="0" collapsed="false">
      <c r="A54" s="9"/>
      <c r="B54" s="14" t="n">
        <v>52</v>
      </c>
      <c r="C54" s="15" t="n">
        <v>6</v>
      </c>
      <c r="D54" s="16" t="n">
        <v>26</v>
      </c>
      <c r="E54" s="15" t="n">
        <v>0.230769230769231</v>
      </c>
      <c r="F54" s="17" t="n">
        <v>4</v>
      </c>
      <c r="G54" s="16" t="n">
        <v>16</v>
      </c>
      <c r="H54" s="18" t="n">
        <v>0.25</v>
      </c>
      <c r="I54" s="17" t="n">
        <v>1</v>
      </c>
      <c r="J54" s="16" t="n">
        <v>6</v>
      </c>
      <c r="K54" s="14" t="n">
        <v>0.166666666666667</v>
      </c>
      <c r="L54" s="15"/>
      <c r="M54" s="2"/>
      <c r="N54" s="2"/>
    </row>
    <row r="55" customFormat="false" ht="15" hidden="false" customHeight="true" outlineLevel="0" collapsed="false">
      <c r="A55" s="9"/>
      <c r="B55" s="14" t="n">
        <v>53</v>
      </c>
      <c r="C55" s="15" t="n">
        <v>2</v>
      </c>
      <c r="D55" s="16" t="n">
        <v>12</v>
      </c>
      <c r="E55" s="15" t="n">
        <v>0.166666666666667</v>
      </c>
      <c r="F55" s="17" t="n">
        <v>3</v>
      </c>
      <c r="G55" s="16" t="n">
        <v>16</v>
      </c>
      <c r="H55" s="18" t="n">
        <v>0.1875</v>
      </c>
      <c r="I55" s="17" t="n">
        <v>1</v>
      </c>
      <c r="J55" s="16" t="n">
        <v>6</v>
      </c>
      <c r="K55" s="14" t="n">
        <v>0.166666666666667</v>
      </c>
      <c r="L55" s="15"/>
      <c r="M55" s="2"/>
      <c r="N55" s="2"/>
    </row>
    <row r="56" customFormat="false" ht="15" hidden="false" customHeight="true" outlineLevel="0" collapsed="false">
      <c r="A56" s="9"/>
      <c r="B56" s="14" t="n">
        <v>54</v>
      </c>
      <c r="C56" s="15" t="n">
        <v>1</v>
      </c>
      <c r="D56" s="16" t="n">
        <v>6</v>
      </c>
      <c r="E56" s="15" t="n">
        <v>0.166666666666667</v>
      </c>
      <c r="F56" s="50" t="n">
        <v>6861104</v>
      </c>
      <c r="G56" s="24" t="n">
        <v>25030358</v>
      </c>
      <c r="H56" s="51" t="n">
        <v>0.27411130116477</v>
      </c>
      <c r="I56" s="17" t="n">
        <v>4</v>
      </c>
      <c r="J56" s="16" t="n">
        <v>18</v>
      </c>
      <c r="K56" s="14" t="n">
        <v>0.222222222222222</v>
      </c>
      <c r="L56" s="15"/>
      <c r="M56" s="2"/>
      <c r="N56" s="2"/>
    </row>
    <row r="57" customFormat="false" ht="15" hidden="false" customHeight="true" outlineLevel="0" collapsed="false">
      <c r="A57" s="9"/>
      <c r="B57" s="14" t="n">
        <v>55</v>
      </c>
      <c r="C57" s="15" t="n">
        <v>1</v>
      </c>
      <c r="D57" s="16" t="n">
        <v>6</v>
      </c>
      <c r="E57" s="15" t="n">
        <v>0.166666666666667</v>
      </c>
      <c r="F57" s="17" t="n">
        <v>1</v>
      </c>
      <c r="G57" s="16" t="n">
        <v>6</v>
      </c>
      <c r="H57" s="18" t="n">
        <v>0.166666666666667</v>
      </c>
      <c r="I57" s="17" t="n">
        <v>1</v>
      </c>
      <c r="J57" s="16" t="n">
        <v>6</v>
      </c>
      <c r="K57" s="14" t="n">
        <v>0.166666666666667</v>
      </c>
      <c r="L57" s="15"/>
      <c r="M57" s="2"/>
      <c r="N57" s="2"/>
    </row>
    <row r="58" customFormat="false" ht="15" hidden="false" customHeight="true" outlineLevel="0" collapsed="false">
      <c r="A58" s="9"/>
      <c r="B58" s="14" t="n">
        <v>56</v>
      </c>
      <c r="C58" s="15" t="n">
        <v>5</v>
      </c>
      <c r="D58" s="16" t="n">
        <v>24</v>
      </c>
      <c r="E58" s="15" t="n">
        <v>0.208333333333333</v>
      </c>
      <c r="F58" s="17" t="n">
        <v>1</v>
      </c>
      <c r="G58" s="16" t="n">
        <v>6</v>
      </c>
      <c r="H58" s="18" t="n">
        <v>0.166666666666667</v>
      </c>
      <c r="I58" s="48" t="n">
        <v>42</v>
      </c>
      <c r="J58" s="22" t="n">
        <v>154</v>
      </c>
      <c r="K58" s="49" t="n">
        <v>0.272727272727273</v>
      </c>
      <c r="L58" s="15"/>
      <c r="M58" s="2"/>
      <c r="N58" s="2"/>
    </row>
    <row r="59" customFormat="false" ht="15" hidden="false" customHeight="true" outlineLevel="0" collapsed="false">
      <c r="A59" s="9"/>
      <c r="B59" s="14" t="n">
        <v>57</v>
      </c>
      <c r="C59" s="15" t="n">
        <v>1</v>
      </c>
      <c r="D59" s="16" t="n">
        <v>6</v>
      </c>
      <c r="E59" s="15" t="n">
        <v>0.166666666666667</v>
      </c>
      <c r="F59" s="40" t="n">
        <v>14</v>
      </c>
      <c r="G59" s="31" t="n">
        <v>60</v>
      </c>
      <c r="H59" s="47" t="n">
        <v>0.233333333333333</v>
      </c>
      <c r="I59" s="17" t="n">
        <v>1</v>
      </c>
      <c r="J59" s="16" t="n">
        <v>6</v>
      </c>
      <c r="K59" s="14" t="n">
        <v>0.166666666666667</v>
      </c>
      <c r="L59" s="15"/>
      <c r="M59" s="2"/>
      <c r="N59" s="2"/>
    </row>
    <row r="60" customFormat="false" ht="15" hidden="false" customHeight="true" outlineLevel="0" collapsed="false">
      <c r="A60" s="9"/>
      <c r="B60" s="14" t="n">
        <v>58</v>
      </c>
      <c r="C60" s="21" t="n">
        <v>23</v>
      </c>
      <c r="D60" s="22" t="n">
        <v>68</v>
      </c>
      <c r="E60" s="21" t="n">
        <v>0.338235294117647</v>
      </c>
      <c r="F60" s="17" t="n">
        <v>2</v>
      </c>
      <c r="G60" s="16" t="n">
        <v>10</v>
      </c>
      <c r="H60" s="18" t="n">
        <v>0.2</v>
      </c>
      <c r="I60" s="17" t="n">
        <v>1</v>
      </c>
      <c r="J60" s="16" t="n">
        <v>6</v>
      </c>
      <c r="K60" s="14" t="n">
        <v>0.166666666666667</v>
      </c>
      <c r="L60" s="15"/>
      <c r="M60" s="2"/>
      <c r="N60" s="2"/>
    </row>
    <row r="61" customFormat="false" ht="15" hidden="false" customHeight="true" outlineLevel="0" collapsed="false">
      <c r="A61" s="9"/>
      <c r="B61" s="14" t="n">
        <v>59</v>
      </c>
      <c r="C61" s="15" t="n">
        <v>3</v>
      </c>
      <c r="D61" s="16" t="n">
        <v>16</v>
      </c>
      <c r="E61" s="15" t="n">
        <v>0.1875</v>
      </c>
      <c r="F61" s="40" t="n">
        <v>18</v>
      </c>
      <c r="G61" s="31" t="n">
        <v>72</v>
      </c>
      <c r="H61" s="47" t="n">
        <v>0.25</v>
      </c>
      <c r="I61" s="40" t="n">
        <v>20</v>
      </c>
      <c r="J61" s="31" t="n">
        <v>74</v>
      </c>
      <c r="K61" s="41" t="n">
        <v>0.27027027027027</v>
      </c>
      <c r="L61" s="15"/>
      <c r="M61" s="2"/>
      <c r="N61" s="2"/>
    </row>
    <row r="62" customFormat="false" ht="15" hidden="false" customHeight="true" outlineLevel="0" collapsed="false">
      <c r="A62" s="9"/>
      <c r="B62" s="14" t="n">
        <v>60</v>
      </c>
      <c r="C62" s="15" t="n">
        <v>2</v>
      </c>
      <c r="D62" s="16" t="n">
        <v>10</v>
      </c>
      <c r="E62" s="15" t="n">
        <v>0.2</v>
      </c>
      <c r="F62" s="17" t="n">
        <v>1</v>
      </c>
      <c r="G62" s="16" t="n">
        <v>6</v>
      </c>
      <c r="H62" s="18" t="n">
        <v>0.166666666666667</v>
      </c>
      <c r="I62" s="17" t="n">
        <v>1</v>
      </c>
      <c r="J62" s="16" t="n">
        <v>6</v>
      </c>
      <c r="K62" s="14" t="n">
        <v>0.166666666666667</v>
      </c>
      <c r="L62" s="15"/>
      <c r="M62" s="2"/>
      <c r="N62" s="2"/>
    </row>
    <row r="63" customFormat="false" ht="15" hidden="false" customHeight="true" outlineLevel="0" collapsed="false">
      <c r="A63" s="9"/>
      <c r="B63" s="14" t="n">
        <v>61</v>
      </c>
      <c r="C63" s="30" t="n">
        <v>11</v>
      </c>
      <c r="D63" s="31" t="n">
        <v>48</v>
      </c>
      <c r="E63" s="30" t="n">
        <v>0.229166666666667</v>
      </c>
      <c r="F63" s="17" t="n">
        <v>4</v>
      </c>
      <c r="G63" s="16" t="n">
        <v>18</v>
      </c>
      <c r="H63" s="18" t="n">
        <v>0.222222222222222</v>
      </c>
      <c r="I63" s="40" t="n">
        <v>10</v>
      </c>
      <c r="J63" s="31" t="n">
        <v>42</v>
      </c>
      <c r="K63" s="41" t="n">
        <v>0.238095238095238</v>
      </c>
      <c r="L63" s="15"/>
      <c r="M63" s="2"/>
      <c r="N63" s="2"/>
    </row>
    <row r="64" customFormat="false" ht="15" hidden="false" customHeight="true" outlineLevel="0" collapsed="false">
      <c r="A64" s="9"/>
      <c r="B64" s="14" t="n">
        <v>62</v>
      </c>
      <c r="C64" s="15" t="n">
        <v>1</v>
      </c>
      <c r="D64" s="16" t="n">
        <v>6</v>
      </c>
      <c r="E64" s="15" t="n">
        <v>0.166666666666667</v>
      </c>
      <c r="F64" s="17" t="n">
        <v>1</v>
      </c>
      <c r="G64" s="16" t="n">
        <v>6</v>
      </c>
      <c r="H64" s="18" t="n">
        <v>0.166666666666667</v>
      </c>
      <c r="I64" s="17" t="n">
        <v>1</v>
      </c>
      <c r="J64" s="16" t="n">
        <v>6</v>
      </c>
      <c r="K64" s="14" t="n">
        <v>0.166666666666667</v>
      </c>
      <c r="L64" s="15"/>
      <c r="M64" s="2"/>
      <c r="N64" s="2"/>
    </row>
    <row r="65" customFormat="false" ht="15" hidden="false" customHeight="true" outlineLevel="0" collapsed="false">
      <c r="A65" s="9"/>
      <c r="B65" s="14" t="n">
        <v>63</v>
      </c>
      <c r="C65" s="15" t="n">
        <v>2</v>
      </c>
      <c r="D65" s="16" t="n">
        <v>12</v>
      </c>
      <c r="E65" s="15" t="n">
        <v>0.166666666666667</v>
      </c>
      <c r="F65" s="17" t="n">
        <v>7</v>
      </c>
      <c r="G65" s="16" t="n">
        <v>32</v>
      </c>
      <c r="H65" s="18" t="n">
        <v>0.21875</v>
      </c>
      <c r="I65" s="17" t="n">
        <v>7</v>
      </c>
      <c r="J65" s="16" t="n">
        <v>32</v>
      </c>
      <c r="K65" s="14" t="n">
        <v>0.21875</v>
      </c>
      <c r="L65" s="15"/>
      <c r="M65" s="2"/>
      <c r="N65" s="2"/>
    </row>
    <row r="66" customFormat="false" ht="15" hidden="false" customHeight="true" outlineLevel="0" collapsed="false">
      <c r="A66" s="9"/>
      <c r="B66" s="14" t="n">
        <v>64</v>
      </c>
      <c r="C66" s="15" t="n">
        <v>1</v>
      </c>
      <c r="D66" s="16" t="n">
        <v>6</v>
      </c>
      <c r="E66" s="15" t="n">
        <v>0.166666666666667</v>
      </c>
      <c r="F66" s="17" t="n">
        <v>5</v>
      </c>
      <c r="G66" s="16" t="n">
        <v>24</v>
      </c>
      <c r="H66" s="18" t="n">
        <v>0.208333333333333</v>
      </c>
      <c r="I66" s="17" t="n">
        <v>1</v>
      </c>
      <c r="J66" s="16" t="n">
        <v>6</v>
      </c>
      <c r="K66" s="14" t="n">
        <v>0.166666666666667</v>
      </c>
      <c r="L66" s="15"/>
      <c r="M66" s="2"/>
      <c r="N66" s="2"/>
    </row>
    <row r="67" customFormat="false" ht="15" hidden="false" customHeight="true" outlineLevel="0" collapsed="false">
      <c r="A67" s="9"/>
      <c r="B67" s="14" t="n">
        <v>65</v>
      </c>
      <c r="C67" s="15" t="n">
        <v>1</v>
      </c>
      <c r="D67" s="16" t="n">
        <v>6</v>
      </c>
      <c r="E67" s="15" t="n">
        <v>0.166666666666667</v>
      </c>
      <c r="F67" s="17" t="n">
        <v>3</v>
      </c>
      <c r="G67" s="16" t="n">
        <v>14</v>
      </c>
      <c r="H67" s="18" t="n">
        <v>0.214285714285714</v>
      </c>
      <c r="I67" s="40" t="n">
        <v>11</v>
      </c>
      <c r="J67" s="31" t="n">
        <v>48</v>
      </c>
      <c r="K67" s="41" t="n">
        <v>0.229166666666667</v>
      </c>
      <c r="L67" s="15"/>
      <c r="M67" s="2"/>
      <c r="N67" s="2"/>
    </row>
    <row r="68" customFormat="false" ht="15" hidden="false" customHeight="true" outlineLevel="0" collapsed="false">
      <c r="A68" s="9"/>
      <c r="B68" s="14" t="n">
        <v>66</v>
      </c>
      <c r="C68" s="15" t="n">
        <v>1</v>
      </c>
      <c r="D68" s="16" t="n">
        <v>6</v>
      </c>
      <c r="E68" s="15" t="n">
        <v>0.166666666666667</v>
      </c>
      <c r="F68" s="17" t="n">
        <v>1</v>
      </c>
      <c r="G68" s="16" t="n">
        <v>6</v>
      </c>
      <c r="H68" s="18" t="n">
        <v>0.166666666666667</v>
      </c>
      <c r="I68" s="17" t="n">
        <v>1</v>
      </c>
      <c r="J68" s="16" t="n">
        <v>6</v>
      </c>
      <c r="K68" s="14" t="n">
        <v>0.166666666666667</v>
      </c>
      <c r="L68" s="15"/>
      <c r="M68" s="2"/>
      <c r="N68" s="2"/>
    </row>
    <row r="69" customFormat="false" ht="15" hidden="false" customHeight="true" outlineLevel="0" collapsed="false">
      <c r="A69" s="9"/>
      <c r="B69" s="14" t="n">
        <v>67</v>
      </c>
      <c r="C69" s="15" t="n">
        <v>1</v>
      </c>
      <c r="D69" s="16" t="n">
        <v>6</v>
      </c>
      <c r="E69" s="15" t="n">
        <v>0.166666666666667</v>
      </c>
      <c r="F69" s="17" t="n">
        <v>2</v>
      </c>
      <c r="G69" s="16" t="n">
        <v>10</v>
      </c>
      <c r="H69" s="18" t="n">
        <v>0.2</v>
      </c>
      <c r="I69" s="17" t="n">
        <v>1</v>
      </c>
      <c r="J69" s="16" t="n">
        <v>6</v>
      </c>
      <c r="K69" s="14" t="n">
        <v>0.166666666666667</v>
      </c>
      <c r="L69" s="15"/>
      <c r="M69" s="2"/>
      <c r="N69" s="2"/>
    </row>
    <row r="70" customFormat="false" ht="15" hidden="false" customHeight="true" outlineLevel="0" collapsed="false">
      <c r="A70" s="9"/>
      <c r="B70" s="14" t="n">
        <v>68</v>
      </c>
      <c r="C70" s="15" t="n">
        <v>1</v>
      </c>
      <c r="D70" s="16" t="n">
        <v>6</v>
      </c>
      <c r="E70" s="15" t="n">
        <v>0.166666666666667</v>
      </c>
      <c r="F70" s="17" t="n">
        <v>7</v>
      </c>
      <c r="G70" s="16" t="n">
        <v>30</v>
      </c>
      <c r="H70" s="18" t="n">
        <v>0.233333333333333</v>
      </c>
      <c r="I70" s="17" t="n">
        <v>1</v>
      </c>
      <c r="J70" s="16" t="n">
        <v>6</v>
      </c>
      <c r="K70" s="14" t="n">
        <v>0.166666666666667</v>
      </c>
      <c r="L70" s="15"/>
      <c r="M70" s="2"/>
      <c r="N70" s="2"/>
    </row>
    <row r="71" customFormat="false" ht="15" hidden="false" customHeight="true" outlineLevel="0" collapsed="false">
      <c r="A71" s="9"/>
      <c r="B71" s="14" t="n">
        <v>69</v>
      </c>
      <c r="C71" s="15" t="n">
        <v>4</v>
      </c>
      <c r="D71" s="16" t="n">
        <v>16</v>
      </c>
      <c r="E71" s="15" t="n">
        <v>0.25</v>
      </c>
      <c r="F71" s="17" t="n">
        <v>2</v>
      </c>
      <c r="G71" s="16" t="n">
        <v>10</v>
      </c>
      <c r="H71" s="18" t="n">
        <v>0.2</v>
      </c>
      <c r="I71" s="17" t="n">
        <v>2</v>
      </c>
      <c r="J71" s="16" t="n">
        <v>12</v>
      </c>
      <c r="K71" s="14" t="n">
        <v>0.166666666666667</v>
      </c>
      <c r="L71" s="15"/>
      <c r="M71" s="2"/>
      <c r="N71" s="2"/>
    </row>
    <row r="72" customFormat="false" ht="15" hidden="false" customHeight="true" outlineLevel="0" collapsed="false">
      <c r="A72" s="9"/>
      <c r="B72" s="14" t="n">
        <v>70</v>
      </c>
      <c r="C72" s="15" t="n">
        <v>7</v>
      </c>
      <c r="D72" s="16" t="n">
        <v>30</v>
      </c>
      <c r="E72" s="15" t="n">
        <v>0.233333333333333</v>
      </c>
      <c r="F72" s="17" t="n">
        <v>2</v>
      </c>
      <c r="G72" s="16" t="n">
        <v>10</v>
      </c>
      <c r="H72" s="18" t="n">
        <v>0.2</v>
      </c>
      <c r="I72" s="17" t="n">
        <v>3</v>
      </c>
      <c r="J72" s="16" t="n">
        <v>16</v>
      </c>
      <c r="K72" s="14" t="n">
        <v>0.1875</v>
      </c>
      <c r="L72" s="15"/>
      <c r="M72" s="2"/>
      <c r="N72" s="2"/>
    </row>
    <row r="73" customFormat="false" ht="15" hidden="false" customHeight="true" outlineLevel="0" collapsed="false">
      <c r="A73" s="9"/>
      <c r="B73" s="14" t="n">
        <v>71</v>
      </c>
      <c r="C73" s="15" t="n">
        <v>4</v>
      </c>
      <c r="D73" s="16" t="n">
        <v>18</v>
      </c>
      <c r="E73" s="15" t="n">
        <v>0.222222222222222</v>
      </c>
      <c r="F73" s="17" t="n">
        <v>1</v>
      </c>
      <c r="G73" s="16" t="n">
        <v>6</v>
      </c>
      <c r="H73" s="18" t="n">
        <v>0.166666666666667</v>
      </c>
      <c r="I73" s="17" t="n">
        <v>1</v>
      </c>
      <c r="J73" s="16" t="n">
        <v>6</v>
      </c>
      <c r="K73" s="14" t="n">
        <v>0.166666666666667</v>
      </c>
      <c r="L73" s="15"/>
      <c r="M73" s="2"/>
      <c r="N73" s="2"/>
    </row>
    <row r="74" customFormat="false" ht="15" hidden="false" customHeight="true" outlineLevel="0" collapsed="false">
      <c r="A74" s="9"/>
      <c r="B74" s="14" t="n">
        <v>72</v>
      </c>
      <c r="C74" s="15" t="n">
        <v>1</v>
      </c>
      <c r="D74" s="16" t="n">
        <v>6</v>
      </c>
      <c r="E74" s="15" t="n">
        <v>0.166666666666667</v>
      </c>
      <c r="F74" s="40" t="n">
        <v>18</v>
      </c>
      <c r="G74" s="31" t="n">
        <v>76</v>
      </c>
      <c r="H74" s="47" t="n">
        <v>0.236842105263158</v>
      </c>
      <c r="I74" s="17" t="n">
        <v>2</v>
      </c>
      <c r="J74" s="16" t="n">
        <v>12</v>
      </c>
      <c r="K74" s="14" t="n">
        <v>0.166666666666667</v>
      </c>
      <c r="L74" s="15"/>
      <c r="M74" s="2"/>
      <c r="N74" s="2"/>
    </row>
    <row r="75" customFormat="false" ht="15" hidden="false" customHeight="true" outlineLevel="0" collapsed="false">
      <c r="A75" s="9"/>
      <c r="B75" s="14" t="n">
        <v>73</v>
      </c>
      <c r="C75" s="15" t="n">
        <v>1</v>
      </c>
      <c r="D75" s="16" t="n">
        <v>6</v>
      </c>
      <c r="E75" s="15" t="n">
        <v>0.166666666666667</v>
      </c>
      <c r="F75" s="17" t="n">
        <v>1</v>
      </c>
      <c r="G75" s="16" t="n">
        <v>6</v>
      </c>
      <c r="H75" s="18" t="n">
        <v>0.166666666666667</v>
      </c>
      <c r="I75" s="17" t="n">
        <v>5</v>
      </c>
      <c r="J75" s="16" t="n">
        <v>24</v>
      </c>
      <c r="K75" s="14" t="n">
        <v>0.208333333333333</v>
      </c>
      <c r="L75" s="15"/>
      <c r="M75" s="2"/>
      <c r="N75" s="2"/>
    </row>
    <row r="76" customFormat="false" ht="15" hidden="false" customHeight="true" outlineLevel="0" collapsed="false">
      <c r="A76" s="9"/>
      <c r="B76" s="14" t="n">
        <v>74</v>
      </c>
      <c r="C76" s="15" t="n">
        <v>2</v>
      </c>
      <c r="D76" s="16" t="n">
        <v>10</v>
      </c>
      <c r="E76" s="15" t="n">
        <v>0.2</v>
      </c>
      <c r="F76" s="40" t="n">
        <v>12</v>
      </c>
      <c r="G76" s="31" t="n">
        <v>58</v>
      </c>
      <c r="H76" s="47" t="n">
        <v>0.206896551724138</v>
      </c>
      <c r="I76" s="17" t="n">
        <v>1</v>
      </c>
      <c r="J76" s="16" t="n">
        <v>6</v>
      </c>
      <c r="K76" s="14" t="n">
        <v>0.166666666666667</v>
      </c>
      <c r="L76" s="15"/>
      <c r="M76" s="2"/>
      <c r="N76" s="2"/>
    </row>
    <row r="77" customFormat="false" ht="15" hidden="false" customHeight="true" outlineLevel="0" collapsed="false">
      <c r="A77" s="9"/>
      <c r="B77" s="14" t="n">
        <v>75</v>
      </c>
      <c r="C77" s="21" t="n">
        <v>27</v>
      </c>
      <c r="D77" s="22" t="n">
        <v>104</v>
      </c>
      <c r="E77" s="21" t="n">
        <v>0.259615384615385</v>
      </c>
      <c r="F77" s="17" t="n">
        <v>2</v>
      </c>
      <c r="G77" s="16" t="n">
        <v>10</v>
      </c>
      <c r="H77" s="18" t="n">
        <v>0.2</v>
      </c>
      <c r="I77" s="17" t="n">
        <v>2</v>
      </c>
      <c r="J77" s="16" t="n">
        <v>12</v>
      </c>
      <c r="K77" s="14" t="n">
        <v>0.166666666666667</v>
      </c>
      <c r="L77" s="15"/>
      <c r="M77" s="2"/>
      <c r="N77" s="2"/>
    </row>
    <row r="78" customFormat="false" ht="15" hidden="false" customHeight="true" outlineLevel="0" collapsed="false">
      <c r="A78" s="9"/>
      <c r="B78" s="14" t="n">
        <v>76</v>
      </c>
      <c r="C78" s="15" t="n">
        <v>1</v>
      </c>
      <c r="D78" s="16" t="n">
        <v>6</v>
      </c>
      <c r="E78" s="15" t="n">
        <v>0.166666666666667</v>
      </c>
      <c r="F78" s="17" t="n">
        <v>2</v>
      </c>
      <c r="G78" s="16" t="n">
        <v>12</v>
      </c>
      <c r="H78" s="18" t="n">
        <v>0.166666666666667</v>
      </c>
      <c r="I78" s="17" t="n">
        <v>7</v>
      </c>
      <c r="J78" s="16" t="n">
        <v>30</v>
      </c>
      <c r="K78" s="14" t="n">
        <v>0.233333333333333</v>
      </c>
      <c r="L78" s="15"/>
      <c r="M78" s="2"/>
      <c r="N78" s="2"/>
    </row>
    <row r="79" customFormat="false" ht="15" hidden="false" customHeight="true" outlineLevel="0" collapsed="false">
      <c r="A79" s="9"/>
      <c r="B79" s="14" t="n">
        <v>77</v>
      </c>
      <c r="C79" s="15" t="n">
        <v>6</v>
      </c>
      <c r="D79" s="16" t="n">
        <v>28</v>
      </c>
      <c r="E79" s="15" t="n">
        <v>0.214285714285714</v>
      </c>
      <c r="F79" s="17" t="n">
        <v>2</v>
      </c>
      <c r="G79" s="16" t="n">
        <v>10</v>
      </c>
      <c r="H79" s="18" t="n">
        <v>0.2</v>
      </c>
      <c r="I79" s="17" t="n">
        <v>1</v>
      </c>
      <c r="J79" s="16" t="n">
        <v>6</v>
      </c>
      <c r="K79" s="14" t="n">
        <v>0.166666666666667</v>
      </c>
      <c r="L79" s="15"/>
      <c r="M79" s="2"/>
      <c r="N79" s="2"/>
    </row>
    <row r="80" customFormat="false" ht="15" hidden="false" customHeight="true" outlineLevel="0" collapsed="false">
      <c r="A80" s="9"/>
      <c r="B80" s="14" t="n">
        <v>78</v>
      </c>
      <c r="C80" s="15" t="n">
        <v>3</v>
      </c>
      <c r="D80" s="16" t="n">
        <v>14</v>
      </c>
      <c r="E80" s="15" t="n">
        <v>0.214285714285714</v>
      </c>
      <c r="F80" s="17" t="n">
        <v>5</v>
      </c>
      <c r="G80" s="16" t="n">
        <v>20</v>
      </c>
      <c r="H80" s="18" t="n">
        <v>0.25</v>
      </c>
      <c r="I80" s="40" t="n">
        <v>11</v>
      </c>
      <c r="J80" s="31" t="n">
        <v>48</v>
      </c>
      <c r="K80" s="41" t="n">
        <v>0.229166666666667</v>
      </c>
      <c r="L80" s="15"/>
      <c r="M80" s="2"/>
      <c r="N80" s="2"/>
    </row>
    <row r="81" customFormat="false" ht="15" hidden="false" customHeight="true" outlineLevel="0" collapsed="false">
      <c r="A81" s="9"/>
      <c r="B81" s="14" t="n">
        <v>79</v>
      </c>
      <c r="C81" s="15" t="n">
        <v>1</v>
      </c>
      <c r="D81" s="16" t="n">
        <v>6</v>
      </c>
      <c r="E81" s="15" t="n">
        <v>0.166666666666667</v>
      </c>
      <c r="F81" s="17" t="n">
        <v>5</v>
      </c>
      <c r="G81" s="16" t="n">
        <v>20</v>
      </c>
      <c r="H81" s="18" t="n">
        <v>0.25</v>
      </c>
      <c r="I81" s="17" t="n">
        <v>1</v>
      </c>
      <c r="J81" s="16" t="n">
        <v>6</v>
      </c>
      <c r="K81" s="14" t="n">
        <v>0.166666666666667</v>
      </c>
      <c r="L81" s="15"/>
      <c r="M81" s="2"/>
      <c r="N81" s="2"/>
    </row>
    <row r="82" customFormat="false" ht="15" hidden="false" customHeight="true" outlineLevel="0" collapsed="false">
      <c r="A82" s="9"/>
      <c r="B82" s="14" t="n">
        <v>80</v>
      </c>
      <c r="C82" s="15" t="n">
        <v>2</v>
      </c>
      <c r="D82" s="16" t="n">
        <v>10</v>
      </c>
      <c r="E82" s="15" t="n">
        <v>0.2</v>
      </c>
      <c r="F82" s="17" t="n">
        <v>5</v>
      </c>
      <c r="G82" s="16" t="n">
        <v>24</v>
      </c>
      <c r="H82" s="18" t="n">
        <v>0.208333333333333</v>
      </c>
      <c r="I82" s="17" t="n">
        <v>2</v>
      </c>
      <c r="J82" s="16" t="n">
        <v>10</v>
      </c>
      <c r="K82" s="14" t="n">
        <v>0.2</v>
      </c>
      <c r="L82" s="15"/>
      <c r="M82" s="2"/>
      <c r="N82" s="2"/>
    </row>
    <row r="83" customFormat="false" ht="15" hidden="false" customHeight="true" outlineLevel="0" collapsed="false">
      <c r="A83" s="9"/>
      <c r="B83" s="14" t="n">
        <v>81</v>
      </c>
      <c r="C83" s="15" t="n">
        <v>2</v>
      </c>
      <c r="D83" s="16" t="n">
        <v>10</v>
      </c>
      <c r="E83" s="15" t="n">
        <v>0.2</v>
      </c>
      <c r="F83" s="17" t="n">
        <v>3</v>
      </c>
      <c r="G83" s="16" t="n">
        <v>14</v>
      </c>
      <c r="H83" s="18" t="n">
        <v>0.214285714285714</v>
      </c>
      <c r="I83" s="40" t="n">
        <v>11</v>
      </c>
      <c r="J83" s="31" t="n">
        <v>52</v>
      </c>
      <c r="K83" s="41" t="n">
        <v>0.211538461538462</v>
      </c>
      <c r="L83" s="15"/>
      <c r="M83" s="2"/>
      <c r="N83" s="2"/>
    </row>
    <row r="84" customFormat="false" ht="15" hidden="false" customHeight="true" outlineLevel="0" collapsed="false">
      <c r="A84" s="9"/>
      <c r="B84" s="14" t="n">
        <v>82</v>
      </c>
      <c r="C84" s="15" t="n">
        <v>7</v>
      </c>
      <c r="D84" s="16" t="n">
        <v>26</v>
      </c>
      <c r="E84" s="15" t="n">
        <v>0.269230769230769</v>
      </c>
      <c r="F84" s="17" t="n">
        <v>4</v>
      </c>
      <c r="G84" s="16" t="n">
        <v>18</v>
      </c>
      <c r="H84" s="18" t="n">
        <v>0.222222222222222</v>
      </c>
      <c r="I84" s="17" t="n">
        <v>1</v>
      </c>
      <c r="J84" s="16" t="n">
        <v>6</v>
      </c>
      <c r="K84" s="14" t="n">
        <v>0.166666666666667</v>
      </c>
      <c r="L84" s="15"/>
      <c r="M84" s="2"/>
      <c r="N84" s="2"/>
    </row>
    <row r="85" customFormat="false" ht="15" hidden="false" customHeight="true" outlineLevel="0" collapsed="false">
      <c r="A85" s="9"/>
      <c r="B85" s="14" t="n">
        <v>83</v>
      </c>
      <c r="C85" s="15" t="n">
        <v>2</v>
      </c>
      <c r="D85" s="16" t="n">
        <v>10</v>
      </c>
      <c r="E85" s="15" t="n">
        <v>0.2</v>
      </c>
      <c r="F85" s="17" t="n">
        <v>1</v>
      </c>
      <c r="G85" s="16" t="n">
        <v>6</v>
      </c>
      <c r="H85" s="18" t="n">
        <v>0.166666666666667</v>
      </c>
      <c r="I85" s="17" t="n">
        <v>1</v>
      </c>
      <c r="J85" s="16" t="n">
        <v>6</v>
      </c>
      <c r="K85" s="14" t="n">
        <v>0.166666666666667</v>
      </c>
      <c r="L85" s="15"/>
      <c r="M85" s="2"/>
      <c r="N85" s="2"/>
    </row>
    <row r="86" customFormat="false" ht="15" hidden="false" customHeight="true" outlineLevel="0" collapsed="false">
      <c r="A86" s="9"/>
      <c r="B86" s="14" t="n">
        <v>84</v>
      </c>
      <c r="C86" s="15" t="n">
        <v>1</v>
      </c>
      <c r="D86" s="16" t="n">
        <v>6</v>
      </c>
      <c r="E86" s="15" t="n">
        <v>0.166666666666667</v>
      </c>
      <c r="F86" s="17" t="n">
        <v>1</v>
      </c>
      <c r="G86" s="16" t="n">
        <v>6</v>
      </c>
      <c r="H86" s="18" t="n">
        <v>0.166666666666667</v>
      </c>
      <c r="I86" s="40" t="n">
        <v>14</v>
      </c>
      <c r="J86" s="31" t="n">
        <v>52</v>
      </c>
      <c r="K86" s="41" t="n">
        <v>0.269230769230769</v>
      </c>
      <c r="L86" s="15"/>
      <c r="M86" s="2"/>
      <c r="N86" s="2"/>
    </row>
    <row r="87" customFormat="false" ht="15" hidden="false" customHeight="true" outlineLevel="0" collapsed="false">
      <c r="A87" s="9"/>
      <c r="B87" s="14" t="n">
        <v>85</v>
      </c>
      <c r="C87" s="15" t="n">
        <v>1</v>
      </c>
      <c r="D87" s="16" t="n">
        <v>6</v>
      </c>
      <c r="E87" s="15" t="n">
        <v>0.166666666666667</v>
      </c>
      <c r="F87" s="17" t="n">
        <v>4</v>
      </c>
      <c r="G87" s="16" t="n">
        <v>18</v>
      </c>
      <c r="H87" s="18" t="n">
        <v>0.222222222222222</v>
      </c>
      <c r="I87" s="17" t="n">
        <v>1</v>
      </c>
      <c r="J87" s="16" t="n">
        <v>6</v>
      </c>
      <c r="K87" s="14" t="n">
        <v>0.166666666666667</v>
      </c>
      <c r="L87" s="15"/>
      <c r="M87" s="2"/>
      <c r="N87" s="2"/>
    </row>
    <row r="88" customFormat="false" ht="15" hidden="false" customHeight="true" outlineLevel="0" collapsed="false">
      <c r="A88" s="9"/>
      <c r="B88" s="14" t="n">
        <v>86</v>
      </c>
      <c r="C88" s="15" t="n">
        <v>9</v>
      </c>
      <c r="D88" s="16" t="n">
        <v>36</v>
      </c>
      <c r="E88" s="15" t="n">
        <v>0.25</v>
      </c>
      <c r="F88" s="17" t="n">
        <v>2</v>
      </c>
      <c r="G88" s="16" t="n">
        <v>12</v>
      </c>
      <c r="H88" s="18" t="n">
        <v>0.166666666666667</v>
      </c>
      <c r="I88" s="17" t="n">
        <v>2</v>
      </c>
      <c r="J88" s="16" t="n">
        <v>10</v>
      </c>
      <c r="K88" s="14" t="n">
        <v>0.2</v>
      </c>
      <c r="L88" s="15"/>
      <c r="M88" s="2"/>
      <c r="N88" s="2"/>
    </row>
    <row r="89" customFormat="false" ht="15" hidden="false" customHeight="true" outlineLevel="0" collapsed="false">
      <c r="A89" s="9"/>
      <c r="B89" s="14" t="n">
        <v>87</v>
      </c>
      <c r="C89" s="15" t="n">
        <v>1</v>
      </c>
      <c r="D89" s="16" t="n">
        <v>6</v>
      </c>
      <c r="E89" s="15" t="n">
        <v>0.166666666666667</v>
      </c>
      <c r="F89" s="17" t="n">
        <v>2</v>
      </c>
      <c r="G89" s="16" t="n">
        <v>10</v>
      </c>
      <c r="H89" s="18" t="n">
        <v>0.2</v>
      </c>
      <c r="I89" s="17" t="n">
        <v>2</v>
      </c>
      <c r="J89" s="16" t="n">
        <v>12</v>
      </c>
      <c r="K89" s="14" t="n">
        <v>0.166666666666667</v>
      </c>
      <c r="L89" s="15"/>
      <c r="M89" s="2"/>
      <c r="N89" s="2"/>
    </row>
    <row r="90" customFormat="false" ht="15" hidden="false" customHeight="true" outlineLevel="0" collapsed="false">
      <c r="A90" s="9"/>
      <c r="B90" s="14" t="n">
        <v>88</v>
      </c>
      <c r="C90" s="15" t="n">
        <v>1</v>
      </c>
      <c r="D90" s="16" t="n">
        <v>6</v>
      </c>
      <c r="E90" s="15" t="n">
        <v>0.166666666666667</v>
      </c>
      <c r="F90" s="50" t="n">
        <v>130</v>
      </c>
      <c r="G90" s="24" t="n">
        <v>534</v>
      </c>
      <c r="H90" s="51" t="n">
        <v>0.243445692883895</v>
      </c>
      <c r="I90" s="17" t="n">
        <v>1</v>
      </c>
      <c r="J90" s="16" t="n">
        <v>6</v>
      </c>
      <c r="K90" s="14" t="n">
        <v>0.166666666666667</v>
      </c>
      <c r="L90" s="15"/>
      <c r="M90" s="2"/>
      <c r="N90" s="2"/>
    </row>
    <row r="91" customFormat="false" ht="15" hidden="false" customHeight="true" outlineLevel="0" collapsed="false">
      <c r="A91" s="9"/>
      <c r="B91" s="14" t="n">
        <v>89</v>
      </c>
      <c r="C91" s="15" t="n">
        <v>6</v>
      </c>
      <c r="D91" s="16" t="n">
        <v>26</v>
      </c>
      <c r="E91" s="15" t="n">
        <v>0.230769230769231</v>
      </c>
      <c r="F91" s="17" t="n">
        <v>1</v>
      </c>
      <c r="G91" s="16" t="n">
        <v>6</v>
      </c>
      <c r="H91" s="18" t="n">
        <v>0.166666666666667</v>
      </c>
      <c r="I91" s="17" t="n">
        <v>2</v>
      </c>
      <c r="J91" s="16" t="n">
        <v>10</v>
      </c>
      <c r="K91" s="14" t="n">
        <v>0.2</v>
      </c>
      <c r="L91" s="15"/>
      <c r="M91" s="2"/>
      <c r="N91" s="2"/>
    </row>
    <row r="92" customFormat="false" ht="15" hidden="false" customHeight="true" outlineLevel="0" collapsed="false">
      <c r="A92" s="9"/>
      <c r="B92" s="14" t="n">
        <v>90</v>
      </c>
      <c r="C92" s="15" t="n">
        <v>1</v>
      </c>
      <c r="D92" s="16" t="n">
        <v>6</v>
      </c>
      <c r="E92" s="15" t="n">
        <v>0.166666666666667</v>
      </c>
      <c r="F92" s="17" t="n">
        <v>1</v>
      </c>
      <c r="G92" s="16" t="n">
        <v>6</v>
      </c>
      <c r="H92" s="18" t="n">
        <v>0.166666666666667</v>
      </c>
      <c r="I92" s="17" t="n">
        <v>1</v>
      </c>
      <c r="J92" s="16" t="n">
        <v>6</v>
      </c>
      <c r="K92" s="14" t="n">
        <v>0.166666666666667</v>
      </c>
      <c r="L92" s="15"/>
      <c r="M92" s="2"/>
      <c r="N92" s="2"/>
    </row>
    <row r="93" customFormat="false" ht="15" hidden="false" customHeight="true" outlineLevel="0" collapsed="false">
      <c r="A93" s="9"/>
      <c r="B93" s="14" t="n">
        <v>91</v>
      </c>
      <c r="C93" s="15" t="n">
        <v>1</v>
      </c>
      <c r="D93" s="16" t="n">
        <v>6</v>
      </c>
      <c r="E93" s="15" t="n">
        <v>0.166666666666667</v>
      </c>
      <c r="F93" s="17" t="n">
        <v>6</v>
      </c>
      <c r="G93" s="16" t="n">
        <v>24</v>
      </c>
      <c r="H93" s="18" t="n">
        <v>0.25</v>
      </c>
      <c r="I93" s="17" t="n">
        <v>4</v>
      </c>
      <c r="J93" s="16" t="n">
        <v>20</v>
      </c>
      <c r="K93" s="14" t="n">
        <v>0.2</v>
      </c>
      <c r="L93" s="15"/>
      <c r="M93" s="2"/>
      <c r="N93" s="2"/>
    </row>
    <row r="94" customFormat="false" ht="15" hidden="false" customHeight="true" outlineLevel="0" collapsed="false">
      <c r="A94" s="9"/>
      <c r="B94" s="14" t="n">
        <v>92</v>
      </c>
      <c r="C94" s="15" t="n">
        <v>3</v>
      </c>
      <c r="D94" s="16" t="n">
        <v>16</v>
      </c>
      <c r="E94" s="15" t="n">
        <v>0.1875</v>
      </c>
      <c r="F94" s="17" t="n">
        <v>2</v>
      </c>
      <c r="G94" s="16" t="n">
        <v>10</v>
      </c>
      <c r="H94" s="18" t="n">
        <v>0.2</v>
      </c>
      <c r="I94" s="17" t="n">
        <v>1</v>
      </c>
      <c r="J94" s="16" t="n">
        <v>6</v>
      </c>
      <c r="K94" s="14" t="n">
        <v>0.166666666666667</v>
      </c>
      <c r="L94" s="15"/>
      <c r="M94" s="2"/>
      <c r="N94" s="2"/>
    </row>
    <row r="95" customFormat="false" ht="15" hidden="false" customHeight="true" outlineLevel="0" collapsed="false">
      <c r="A95" s="9"/>
      <c r="B95" s="14" t="n">
        <v>93</v>
      </c>
      <c r="C95" s="15" t="n">
        <v>4</v>
      </c>
      <c r="D95" s="16" t="n">
        <v>18</v>
      </c>
      <c r="E95" s="15" t="n">
        <v>0.222222222222222</v>
      </c>
      <c r="F95" s="17" t="n">
        <v>3</v>
      </c>
      <c r="G95" s="16" t="n">
        <v>14</v>
      </c>
      <c r="H95" s="18" t="n">
        <v>0.214285714285714</v>
      </c>
      <c r="I95" s="17" t="n">
        <v>2</v>
      </c>
      <c r="J95" s="16" t="n">
        <v>10</v>
      </c>
      <c r="K95" s="14" t="n">
        <v>0.2</v>
      </c>
      <c r="L95" s="15"/>
      <c r="M95" s="2"/>
      <c r="N95" s="2"/>
    </row>
    <row r="96" customFormat="false" ht="15" hidden="false" customHeight="true" outlineLevel="0" collapsed="false">
      <c r="A96" s="9"/>
      <c r="B96" s="14" t="n">
        <v>94</v>
      </c>
      <c r="C96" s="30" t="n">
        <v>16</v>
      </c>
      <c r="D96" s="31" t="n">
        <v>50</v>
      </c>
      <c r="E96" s="30" t="n">
        <v>0.32</v>
      </c>
      <c r="F96" s="17" t="n">
        <v>1</v>
      </c>
      <c r="G96" s="16" t="n">
        <v>6</v>
      </c>
      <c r="H96" s="18" t="n">
        <v>0.166666666666667</v>
      </c>
      <c r="I96" s="17" t="n">
        <v>1</v>
      </c>
      <c r="J96" s="16" t="n">
        <v>6</v>
      </c>
      <c r="K96" s="14" t="n">
        <v>0.166666666666667</v>
      </c>
      <c r="L96" s="15"/>
      <c r="M96" s="2"/>
      <c r="N96" s="2"/>
    </row>
    <row r="97" customFormat="false" ht="15" hidden="false" customHeight="true" outlineLevel="0" collapsed="false">
      <c r="A97" s="9"/>
      <c r="B97" s="14" t="n">
        <v>95</v>
      </c>
      <c r="C97" s="15" t="n">
        <v>1</v>
      </c>
      <c r="D97" s="16" t="n">
        <v>6</v>
      </c>
      <c r="E97" s="15" t="n">
        <v>0.166666666666667</v>
      </c>
      <c r="F97" s="17" t="n">
        <v>3</v>
      </c>
      <c r="G97" s="16" t="n">
        <v>14</v>
      </c>
      <c r="H97" s="18" t="n">
        <v>0.214285714285714</v>
      </c>
      <c r="I97" s="40" t="n">
        <v>14</v>
      </c>
      <c r="J97" s="31" t="n">
        <v>56</v>
      </c>
      <c r="K97" s="41" t="n">
        <v>0.25</v>
      </c>
      <c r="L97" s="15"/>
      <c r="M97" s="2"/>
      <c r="N97" s="2"/>
    </row>
    <row r="98" customFormat="false" ht="15" hidden="false" customHeight="true" outlineLevel="0" collapsed="false">
      <c r="A98" s="9"/>
      <c r="B98" s="14" t="n">
        <v>96</v>
      </c>
      <c r="C98" s="15" t="n">
        <v>1</v>
      </c>
      <c r="D98" s="16" t="n">
        <v>6</v>
      </c>
      <c r="E98" s="15" t="n">
        <v>0.166666666666667</v>
      </c>
      <c r="F98" s="17" t="n">
        <v>4</v>
      </c>
      <c r="G98" s="16" t="n">
        <v>18</v>
      </c>
      <c r="H98" s="18" t="n">
        <v>0.222222222222222</v>
      </c>
      <c r="I98" s="17" t="n">
        <v>1</v>
      </c>
      <c r="J98" s="16" t="n">
        <v>6</v>
      </c>
      <c r="K98" s="14" t="n">
        <v>0.166666666666667</v>
      </c>
      <c r="L98" s="15"/>
      <c r="M98" s="2"/>
      <c r="N98" s="2"/>
    </row>
    <row r="99" customFormat="false" ht="15" hidden="false" customHeight="true" outlineLevel="0" collapsed="false">
      <c r="A99" s="9"/>
      <c r="B99" s="14" t="n">
        <v>97</v>
      </c>
      <c r="C99" s="15" t="n">
        <v>2</v>
      </c>
      <c r="D99" s="16" t="n">
        <v>10</v>
      </c>
      <c r="E99" s="15" t="n">
        <v>0.2</v>
      </c>
      <c r="F99" s="40" t="n">
        <v>11</v>
      </c>
      <c r="G99" s="31" t="n">
        <v>46</v>
      </c>
      <c r="H99" s="47" t="n">
        <v>0.239130434782609</v>
      </c>
      <c r="I99" s="17" t="n">
        <v>8</v>
      </c>
      <c r="J99" s="16" t="n">
        <v>36</v>
      </c>
      <c r="K99" s="14" t="n">
        <v>0.222222222222222</v>
      </c>
      <c r="L99" s="15"/>
      <c r="M99" s="2"/>
      <c r="N99" s="2"/>
    </row>
    <row r="100" customFormat="false" ht="15" hidden="false" customHeight="true" outlineLevel="0" collapsed="false">
      <c r="A100" s="9"/>
      <c r="B100" s="14" t="n">
        <v>98</v>
      </c>
      <c r="C100" s="15" t="n">
        <v>1</v>
      </c>
      <c r="D100" s="16" t="n">
        <v>6</v>
      </c>
      <c r="E100" s="15" t="n">
        <v>0.166666666666667</v>
      </c>
      <c r="F100" s="48" t="n">
        <v>36</v>
      </c>
      <c r="G100" s="22" t="n">
        <v>126</v>
      </c>
      <c r="H100" s="52" t="n">
        <v>0.285714285714286</v>
      </c>
      <c r="I100" s="17" t="n">
        <v>2</v>
      </c>
      <c r="J100" s="16" t="n">
        <v>10</v>
      </c>
      <c r="K100" s="14" t="n">
        <v>0.2</v>
      </c>
      <c r="L100" s="15"/>
      <c r="M100" s="2"/>
      <c r="N100" s="2"/>
    </row>
    <row r="101" customFormat="false" ht="15" hidden="false" customHeight="true" outlineLevel="0" collapsed="false">
      <c r="A101" s="9"/>
      <c r="B101" s="14" t="n">
        <v>99</v>
      </c>
      <c r="C101" s="30" t="n">
        <v>12</v>
      </c>
      <c r="D101" s="31" t="n">
        <v>46</v>
      </c>
      <c r="E101" s="30" t="n">
        <v>0.260869565217391</v>
      </c>
      <c r="F101" s="17" t="n">
        <v>3</v>
      </c>
      <c r="G101" s="16" t="n">
        <v>16</v>
      </c>
      <c r="H101" s="18" t="n">
        <v>0.1875</v>
      </c>
      <c r="I101" s="17" t="n">
        <v>1</v>
      </c>
      <c r="J101" s="16" t="n">
        <v>6</v>
      </c>
      <c r="K101" s="14" t="n">
        <v>0.166666666666667</v>
      </c>
      <c r="L101" s="15"/>
      <c r="M101" s="2"/>
      <c r="N101" s="2"/>
    </row>
    <row r="102" customFormat="false" ht="15" hidden="false" customHeight="true" outlineLevel="0" collapsed="false">
      <c r="A102" s="9"/>
      <c r="B102" s="14" t="n">
        <v>100</v>
      </c>
      <c r="C102" s="15" t="n">
        <v>1</v>
      </c>
      <c r="D102" s="16" t="n">
        <v>6</v>
      </c>
      <c r="E102" s="15" t="n">
        <v>0.166666666666667</v>
      </c>
      <c r="F102" s="17" t="n">
        <v>7</v>
      </c>
      <c r="G102" s="16" t="n">
        <v>30</v>
      </c>
      <c r="H102" s="18" t="n">
        <v>0.233333333333333</v>
      </c>
      <c r="I102" s="17" t="n">
        <v>2</v>
      </c>
      <c r="J102" s="16" t="n">
        <v>10</v>
      </c>
      <c r="K102" s="14" t="n">
        <v>0.2</v>
      </c>
      <c r="L102" s="15"/>
      <c r="M102" s="2"/>
      <c r="N102" s="2"/>
    </row>
    <row r="103" customFormat="false" ht="15" hidden="false" customHeight="true" outlineLevel="0" collapsed="false">
      <c r="A103" s="9"/>
      <c r="B103" s="14" t="n">
        <v>101</v>
      </c>
      <c r="C103" s="15" t="n">
        <v>4</v>
      </c>
      <c r="D103" s="16" t="n">
        <v>16</v>
      </c>
      <c r="E103" s="15" t="n">
        <v>0.25</v>
      </c>
      <c r="F103" s="17" t="n">
        <v>5</v>
      </c>
      <c r="G103" s="16" t="n">
        <v>20</v>
      </c>
      <c r="H103" s="18" t="n">
        <v>0.25</v>
      </c>
      <c r="I103" s="17" t="n">
        <v>2</v>
      </c>
      <c r="J103" s="16" t="n">
        <v>10</v>
      </c>
      <c r="K103" s="14" t="n">
        <v>0.2</v>
      </c>
      <c r="L103" s="15"/>
      <c r="M103" s="2"/>
      <c r="N103" s="2"/>
    </row>
    <row r="104" customFormat="false" ht="15" hidden="false" customHeight="true" outlineLevel="0" collapsed="false">
      <c r="A104" s="9"/>
      <c r="B104" s="14" t="n">
        <v>102</v>
      </c>
      <c r="C104" s="15" t="n">
        <v>1</v>
      </c>
      <c r="D104" s="16" t="n">
        <v>6</v>
      </c>
      <c r="E104" s="15" t="n">
        <v>0.166666666666667</v>
      </c>
      <c r="F104" s="40" t="n">
        <v>15</v>
      </c>
      <c r="G104" s="31" t="n">
        <v>60</v>
      </c>
      <c r="H104" s="47" t="n">
        <v>0.25</v>
      </c>
      <c r="I104" s="17" t="n">
        <v>3</v>
      </c>
      <c r="J104" s="16" t="n">
        <v>18</v>
      </c>
      <c r="K104" s="14" t="n">
        <v>0.166666666666667</v>
      </c>
      <c r="L104" s="15"/>
      <c r="M104" s="2"/>
      <c r="N104" s="2"/>
    </row>
    <row r="105" customFormat="false" ht="15" hidden="false" customHeight="true" outlineLevel="0" collapsed="false">
      <c r="A105" s="9"/>
      <c r="B105" s="14" t="n">
        <v>103</v>
      </c>
      <c r="C105" s="15" t="n">
        <v>1</v>
      </c>
      <c r="D105" s="16" t="n">
        <v>6</v>
      </c>
      <c r="E105" s="15" t="n">
        <v>0.166666666666667</v>
      </c>
      <c r="F105" s="17" t="n">
        <v>4</v>
      </c>
      <c r="G105" s="16" t="n">
        <v>22</v>
      </c>
      <c r="H105" s="18" t="n">
        <v>0.181818181818182</v>
      </c>
      <c r="I105" s="17" t="n">
        <v>4</v>
      </c>
      <c r="J105" s="16" t="n">
        <v>20</v>
      </c>
      <c r="K105" s="14" t="n">
        <v>0.2</v>
      </c>
      <c r="L105" s="15"/>
      <c r="M105" s="2"/>
      <c r="N105" s="2"/>
    </row>
    <row r="106" customFormat="false" ht="15" hidden="false" customHeight="true" outlineLevel="0" collapsed="false">
      <c r="A106" s="9"/>
      <c r="B106" s="14" t="n">
        <v>104</v>
      </c>
      <c r="C106" s="15" t="n">
        <v>3</v>
      </c>
      <c r="D106" s="16" t="n">
        <v>14</v>
      </c>
      <c r="E106" s="15" t="n">
        <v>0.214285714285714</v>
      </c>
      <c r="F106" s="17" t="n">
        <v>1</v>
      </c>
      <c r="G106" s="16" t="n">
        <v>6</v>
      </c>
      <c r="H106" s="18" t="n">
        <v>0.166666666666667</v>
      </c>
      <c r="I106" s="17" t="n">
        <v>5</v>
      </c>
      <c r="J106" s="16" t="n">
        <v>22</v>
      </c>
      <c r="K106" s="14" t="n">
        <v>0.227272727272727</v>
      </c>
      <c r="L106" s="15"/>
      <c r="M106" s="2"/>
      <c r="N106" s="2"/>
    </row>
    <row r="107" customFormat="false" ht="15" hidden="false" customHeight="true" outlineLevel="0" collapsed="false">
      <c r="A107" s="9"/>
      <c r="B107" s="14" t="n">
        <v>105</v>
      </c>
      <c r="C107" s="15" t="n">
        <v>1</v>
      </c>
      <c r="D107" s="16" t="n">
        <v>6</v>
      </c>
      <c r="E107" s="15" t="n">
        <v>0.166666666666667</v>
      </c>
      <c r="F107" s="17" t="n">
        <v>1</v>
      </c>
      <c r="G107" s="16" t="n">
        <v>6</v>
      </c>
      <c r="H107" s="18" t="n">
        <v>0.166666666666667</v>
      </c>
      <c r="I107" s="17" t="n">
        <v>1</v>
      </c>
      <c r="J107" s="16" t="n">
        <v>6</v>
      </c>
      <c r="K107" s="14" t="n">
        <v>0.166666666666667</v>
      </c>
      <c r="L107" s="15"/>
      <c r="M107" s="2"/>
      <c r="N107" s="2"/>
    </row>
    <row r="108" customFormat="false" ht="15" hidden="false" customHeight="true" outlineLevel="0" collapsed="false">
      <c r="A108" s="9"/>
      <c r="B108" s="14" t="n">
        <v>106</v>
      </c>
      <c r="C108" s="15" t="n">
        <v>1</v>
      </c>
      <c r="D108" s="16" t="n">
        <v>6</v>
      </c>
      <c r="E108" s="15" t="n">
        <v>0.166666666666667</v>
      </c>
      <c r="F108" s="17" t="n">
        <v>3</v>
      </c>
      <c r="G108" s="16" t="n">
        <v>14</v>
      </c>
      <c r="H108" s="18" t="n">
        <v>0.214285714285714</v>
      </c>
      <c r="I108" s="17"/>
      <c r="J108" s="16"/>
      <c r="K108" s="14"/>
      <c r="L108" s="15"/>
      <c r="M108" s="2"/>
      <c r="N108" s="2"/>
    </row>
    <row r="109" customFormat="false" ht="15" hidden="false" customHeight="true" outlineLevel="0" collapsed="false">
      <c r="A109" s="9"/>
      <c r="B109" s="14" t="n">
        <v>107</v>
      </c>
      <c r="C109" s="15" t="n">
        <v>1</v>
      </c>
      <c r="D109" s="16" t="n">
        <v>6</v>
      </c>
      <c r="E109" s="15" t="n">
        <v>0.166666666666667</v>
      </c>
      <c r="F109" s="17" t="n">
        <v>2</v>
      </c>
      <c r="G109" s="16" t="n">
        <v>10</v>
      </c>
      <c r="H109" s="18" t="n">
        <v>0.2</v>
      </c>
      <c r="I109" s="17"/>
      <c r="J109" s="16"/>
      <c r="K109" s="14"/>
      <c r="L109" s="15"/>
      <c r="M109" s="2"/>
      <c r="N109" s="2"/>
    </row>
    <row r="110" customFormat="false" ht="15" hidden="false" customHeight="true" outlineLevel="0" collapsed="false">
      <c r="A110" s="9"/>
      <c r="B110" s="14" t="n">
        <v>108</v>
      </c>
      <c r="C110" s="15" t="n">
        <v>1</v>
      </c>
      <c r="D110" s="16" t="n">
        <v>6</v>
      </c>
      <c r="E110" s="15" t="n">
        <v>0.166666666666667</v>
      </c>
      <c r="F110" s="17" t="n">
        <v>6</v>
      </c>
      <c r="G110" s="16" t="n">
        <v>24</v>
      </c>
      <c r="H110" s="18" t="n">
        <v>0.25</v>
      </c>
      <c r="I110" s="17"/>
      <c r="J110" s="16"/>
      <c r="K110" s="14"/>
      <c r="L110" s="15"/>
      <c r="M110" s="2"/>
      <c r="N110" s="2"/>
    </row>
    <row r="111" customFormat="false" ht="15" hidden="false" customHeight="true" outlineLevel="0" collapsed="false">
      <c r="A111" s="9"/>
      <c r="B111" s="14" t="n">
        <v>109</v>
      </c>
      <c r="C111" s="15" t="n">
        <v>1</v>
      </c>
      <c r="D111" s="16" t="n">
        <v>6</v>
      </c>
      <c r="E111" s="15" t="n">
        <v>0.166666666666667</v>
      </c>
      <c r="F111" s="17" t="n">
        <v>1</v>
      </c>
      <c r="G111" s="16" t="n">
        <v>6</v>
      </c>
      <c r="H111" s="18" t="n">
        <v>0.166666666666667</v>
      </c>
      <c r="I111" s="17"/>
      <c r="J111" s="16"/>
      <c r="K111" s="14"/>
      <c r="L111" s="15"/>
      <c r="M111" s="2"/>
      <c r="N111" s="2"/>
    </row>
    <row r="112" customFormat="false" ht="15" hidden="false" customHeight="true" outlineLevel="0" collapsed="false">
      <c r="A112" s="9"/>
      <c r="B112" s="14" t="n">
        <v>110</v>
      </c>
      <c r="C112" s="15" t="n">
        <v>1</v>
      </c>
      <c r="D112" s="16" t="n">
        <v>6</v>
      </c>
      <c r="E112" s="15" t="n">
        <v>0.166666666666667</v>
      </c>
      <c r="F112" s="17" t="n">
        <v>6</v>
      </c>
      <c r="G112" s="16" t="n">
        <v>24</v>
      </c>
      <c r="H112" s="18" t="n">
        <v>0.25</v>
      </c>
      <c r="I112" s="17"/>
      <c r="J112" s="16"/>
      <c r="K112" s="14"/>
      <c r="L112" s="15"/>
      <c r="M112" s="2"/>
      <c r="N112" s="2"/>
    </row>
    <row r="113" customFormat="false" ht="15" hidden="false" customHeight="true" outlineLevel="0" collapsed="false">
      <c r="A113" s="9"/>
      <c r="B113" s="14" t="n">
        <v>111</v>
      </c>
      <c r="C113" s="15" t="n">
        <v>3</v>
      </c>
      <c r="D113" s="16" t="n">
        <v>14</v>
      </c>
      <c r="E113" s="15" t="n">
        <v>0.214285714285714</v>
      </c>
      <c r="F113" s="17" t="n">
        <v>1</v>
      </c>
      <c r="G113" s="16" t="n">
        <v>6</v>
      </c>
      <c r="H113" s="18" t="n">
        <v>0.166666666666667</v>
      </c>
      <c r="I113" s="17"/>
      <c r="J113" s="16"/>
      <c r="K113" s="14"/>
      <c r="L113" s="15"/>
      <c r="M113" s="2"/>
      <c r="N113" s="2"/>
    </row>
    <row r="114" customFormat="false" ht="15" hidden="false" customHeight="true" outlineLevel="0" collapsed="false">
      <c r="A114" s="9"/>
      <c r="B114" s="14" t="n">
        <v>112</v>
      </c>
      <c r="C114" s="15" t="n">
        <v>1</v>
      </c>
      <c r="D114" s="16" t="n">
        <v>6</v>
      </c>
      <c r="E114" s="15" t="n">
        <v>0.166666666666667</v>
      </c>
      <c r="F114" s="17" t="n">
        <v>5</v>
      </c>
      <c r="G114" s="16" t="n">
        <v>24</v>
      </c>
      <c r="H114" s="18" t="n">
        <v>0.208333333333333</v>
      </c>
      <c r="I114" s="17"/>
      <c r="J114" s="16"/>
      <c r="K114" s="14"/>
      <c r="L114" s="15"/>
      <c r="M114" s="2"/>
      <c r="N114" s="2"/>
    </row>
    <row r="115" customFormat="false" ht="15" hidden="false" customHeight="true" outlineLevel="0" collapsed="false">
      <c r="A115" s="9"/>
      <c r="B115" s="14" t="n">
        <v>113</v>
      </c>
      <c r="C115" s="15" t="n">
        <v>1</v>
      </c>
      <c r="D115" s="16" t="n">
        <v>6</v>
      </c>
      <c r="E115" s="15" t="n">
        <v>0.166666666666667</v>
      </c>
      <c r="F115" s="17" t="n">
        <v>1</v>
      </c>
      <c r="G115" s="16" t="n">
        <v>6</v>
      </c>
      <c r="H115" s="18" t="n">
        <v>0.166666666666667</v>
      </c>
      <c r="I115" s="17"/>
      <c r="J115" s="16"/>
      <c r="K115" s="14"/>
      <c r="L115" s="15"/>
      <c r="M115" s="2"/>
      <c r="N115" s="2"/>
    </row>
    <row r="116" customFormat="false" ht="15" hidden="false" customHeight="true" outlineLevel="0" collapsed="false">
      <c r="A116" s="9"/>
      <c r="B116" s="14" t="n">
        <v>114</v>
      </c>
      <c r="C116" s="15" t="n">
        <v>5</v>
      </c>
      <c r="D116" s="16" t="n">
        <v>20</v>
      </c>
      <c r="E116" s="15" t="n">
        <v>0.25</v>
      </c>
      <c r="F116" s="17" t="n">
        <v>5</v>
      </c>
      <c r="G116" s="16" t="n">
        <v>20</v>
      </c>
      <c r="H116" s="18" t="n">
        <v>0.25</v>
      </c>
      <c r="I116" s="17"/>
      <c r="J116" s="16"/>
      <c r="K116" s="14"/>
      <c r="L116" s="15"/>
      <c r="M116" s="2"/>
      <c r="N116" s="2"/>
    </row>
    <row r="117" customFormat="false" ht="15" hidden="false" customHeight="true" outlineLevel="0" collapsed="false">
      <c r="A117" s="9"/>
      <c r="B117" s="14" t="n">
        <v>115</v>
      </c>
      <c r="C117" s="15" t="n">
        <v>3</v>
      </c>
      <c r="D117" s="16" t="n">
        <v>14</v>
      </c>
      <c r="E117" s="15" t="n">
        <v>0.214285714285714</v>
      </c>
      <c r="F117" s="17" t="n">
        <v>5</v>
      </c>
      <c r="G117" s="16" t="n">
        <v>22</v>
      </c>
      <c r="H117" s="18" t="n">
        <v>0.227272727272727</v>
      </c>
      <c r="I117" s="17"/>
      <c r="J117" s="16"/>
      <c r="K117" s="14"/>
      <c r="L117" s="15"/>
      <c r="M117" s="2"/>
      <c r="N117" s="2"/>
    </row>
    <row r="118" customFormat="false" ht="15" hidden="false" customHeight="true" outlineLevel="0" collapsed="false">
      <c r="A118" s="9"/>
      <c r="B118" s="14" t="n">
        <v>116</v>
      </c>
      <c r="C118" s="15" t="n">
        <v>1</v>
      </c>
      <c r="D118" s="16" t="n">
        <v>6</v>
      </c>
      <c r="E118" s="15" t="n">
        <v>0.166666666666667</v>
      </c>
      <c r="F118" s="17" t="n">
        <v>2</v>
      </c>
      <c r="G118" s="16" t="n">
        <v>10</v>
      </c>
      <c r="H118" s="18" t="n">
        <v>0.2</v>
      </c>
      <c r="I118" s="17"/>
      <c r="J118" s="16"/>
      <c r="K118" s="14"/>
      <c r="L118" s="15"/>
      <c r="M118" s="2"/>
      <c r="N118" s="2"/>
    </row>
    <row r="119" customFormat="false" ht="15" hidden="false" customHeight="true" outlineLevel="0" collapsed="false">
      <c r="A119" s="9"/>
      <c r="B119" s="14" t="n">
        <v>117</v>
      </c>
      <c r="C119" s="15" t="n">
        <v>2</v>
      </c>
      <c r="D119" s="16" t="n">
        <v>10</v>
      </c>
      <c r="E119" s="15" t="n">
        <v>0.2</v>
      </c>
      <c r="F119" s="17" t="n">
        <v>3</v>
      </c>
      <c r="G119" s="16" t="n">
        <v>14</v>
      </c>
      <c r="H119" s="18" t="n">
        <v>0.214285714285714</v>
      </c>
      <c r="I119" s="17"/>
      <c r="J119" s="16"/>
      <c r="K119" s="14"/>
      <c r="L119" s="15"/>
      <c r="M119" s="2"/>
      <c r="N119" s="2"/>
    </row>
    <row r="120" customFormat="false" ht="15" hidden="false" customHeight="true" outlineLevel="0" collapsed="false">
      <c r="A120" s="9"/>
      <c r="B120" s="14" t="n">
        <v>118</v>
      </c>
      <c r="C120" s="15" t="n">
        <v>1</v>
      </c>
      <c r="D120" s="16" t="n">
        <v>6</v>
      </c>
      <c r="E120" s="15" t="n">
        <v>0.166666666666667</v>
      </c>
      <c r="F120" s="17" t="n">
        <v>5</v>
      </c>
      <c r="G120" s="16" t="n">
        <v>22</v>
      </c>
      <c r="H120" s="18" t="n">
        <v>0.227272727272727</v>
      </c>
      <c r="I120" s="17"/>
      <c r="J120" s="16"/>
      <c r="K120" s="14"/>
      <c r="L120" s="15"/>
      <c r="M120" s="2"/>
      <c r="N120" s="2"/>
    </row>
    <row r="121" customFormat="false" ht="15" hidden="false" customHeight="true" outlineLevel="0" collapsed="false">
      <c r="A121" s="9"/>
      <c r="B121" s="14" t="n">
        <v>119</v>
      </c>
      <c r="C121" s="15" t="n">
        <v>1</v>
      </c>
      <c r="D121" s="16" t="n">
        <v>6</v>
      </c>
      <c r="E121" s="15" t="n">
        <v>0.166666666666667</v>
      </c>
      <c r="F121" s="17" t="n">
        <v>2</v>
      </c>
      <c r="G121" s="16" t="n">
        <v>12</v>
      </c>
      <c r="H121" s="18" t="n">
        <v>0.166666666666667</v>
      </c>
      <c r="I121" s="17"/>
      <c r="J121" s="16"/>
      <c r="K121" s="14"/>
      <c r="L121" s="15"/>
      <c r="M121" s="2"/>
      <c r="N121" s="2"/>
    </row>
    <row r="122" customFormat="false" ht="15" hidden="false" customHeight="true" outlineLevel="0" collapsed="false">
      <c r="A122" s="9"/>
      <c r="B122" s="14" t="n">
        <v>120</v>
      </c>
      <c r="C122" s="15" t="n">
        <v>1</v>
      </c>
      <c r="D122" s="16" t="n">
        <v>6</v>
      </c>
      <c r="E122" s="15" t="n">
        <v>0.166666666666667</v>
      </c>
      <c r="F122" s="17" t="n">
        <v>1</v>
      </c>
      <c r="G122" s="16" t="n">
        <v>6</v>
      </c>
      <c r="H122" s="18" t="n">
        <v>0.166666666666667</v>
      </c>
      <c r="I122" s="17"/>
      <c r="J122" s="16"/>
      <c r="K122" s="14"/>
      <c r="L122" s="15"/>
      <c r="M122" s="2"/>
      <c r="N122" s="2"/>
    </row>
    <row r="123" customFormat="false" ht="15" hidden="false" customHeight="true" outlineLevel="0" collapsed="false">
      <c r="A123" s="9"/>
      <c r="B123" s="14" t="n">
        <v>121</v>
      </c>
      <c r="C123" s="15" t="n">
        <v>1</v>
      </c>
      <c r="D123" s="16" t="n">
        <v>6</v>
      </c>
      <c r="E123" s="15" t="n">
        <v>0.166666666666667</v>
      </c>
      <c r="F123" s="17" t="n">
        <v>1</v>
      </c>
      <c r="G123" s="16" t="n">
        <v>6</v>
      </c>
      <c r="H123" s="18" t="n">
        <v>0.166666666666667</v>
      </c>
      <c r="I123" s="17"/>
      <c r="J123" s="16"/>
      <c r="K123" s="14"/>
      <c r="L123" s="15"/>
      <c r="M123" s="2"/>
      <c r="N123" s="2"/>
    </row>
    <row r="124" customFormat="false" ht="15" hidden="false" customHeight="true" outlineLevel="0" collapsed="false">
      <c r="A124" s="9"/>
      <c r="B124" s="14" t="n">
        <v>122</v>
      </c>
      <c r="C124" s="15" t="n">
        <v>3</v>
      </c>
      <c r="D124" s="16" t="n">
        <v>14</v>
      </c>
      <c r="E124" s="15" t="n">
        <v>0.214285714285714</v>
      </c>
      <c r="F124" s="53"/>
      <c r="G124" s="33"/>
      <c r="H124" s="54"/>
      <c r="I124" s="53"/>
      <c r="J124" s="33"/>
      <c r="K124" s="55"/>
      <c r="L124" s="2"/>
      <c r="M124" s="2"/>
      <c r="N124" s="2"/>
    </row>
    <row r="125" customFormat="false" ht="15" hidden="false" customHeight="true" outlineLevel="0" collapsed="false">
      <c r="A125" s="9"/>
      <c r="B125" s="14" t="n">
        <v>123</v>
      </c>
      <c r="C125" s="15" t="n">
        <v>4</v>
      </c>
      <c r="D125" s="16" t="n">
        <v>20</v>
      </c>
      <c r="E125" s="15" t="n">
        <v>0.2</v>
      </c>
      <c r="F125" s="53"/>
      <c r="G125" s="33"/>
      <c r="H125" s="54"/>
      <c r="I125" s="53"/>
      <c r="J125" s="33"/>
      <c r="K125" s="55"/>
      <c r="L125" s="2"/>
      <c r="M125" s="2"/>
      <c r="N125" s="2"/>
    </row>
    <row r="126" customFormat="false" ht="15" hidden="false" customHeight="true" outlineLevel="0" collapsed="false">
      <c r="A126" s="9"/>
      <c r="B126" s="14" t="n">
        <v>124</v>
      </c>
      <c r="C126" s="15" t="n">
        <v>1</v>
      </c>
      <c r="D126" s="16" t="n">
        <v>6</v>
      </c>
      <c r="E126" s="15" t="n">
        <v>0.166666666666667</v>
      </c>
      <c r="F126" s="53"/>
      <c r="G126" s="33"/>
      <c r="H126" s="54"/>
      <c r="I126" s="53"/>
      <c r="J126" s="33"/>
      <c r="K126" s="55"/>
      <c r="L126" s="2"/>
      <c r="M126" s="2"/>
      <c r="N126" s="2"/>
    </row>
    <row r="127" customFormat="false" ht="15" hidden="false" customHeight="true" outlineLevel="0" collapsed="false">
      <c r="A127" s="9"/>
      <c r="B127" s="14" t="n">
        <v>125</v>
      </c>
      <c r="C127" s="15" t="n">
        <v>6</v>
      </c>
      <c r="D127" s="16" t="n">
        <v>22</v>
      </c>
      <c r="E127" s="15" t="n">
        <v>0.272727272727273</v>
      </c>
      <c r="F127" s="53"/>
      <c r="G127" s="33"/>
      <c r="H127" s="54"/>
      <c r="I127" s="53"/>
      <c r="J127" s="33"/>
      <c r="K127" s="55"/>
      <c r="L127" s="2"/>
      <c r="M127" s="2"/>
      <c r="N127" s="2"/>
    </row>
    <row r="128" customFormat="false" ht="15" hidden="false" customHeight="true" outlineLevel="0" collapsed="false">
      <c r="A128" s="9"/>
      <c r="B128" s="14" t="n">
        <v>126</v>
      </c>
      <c r="C128" s="15" t="n">
        <v>1</v>
      </c>
      <c r="D128" s="16" t="n">
        <v>6</v>
      </c>
      <c r="E128" s="15" t="n">
        <v>0.166666666666667</v>
      </c>
      <c r="F128" s="53"/>
      <c r="G128" s="33"/>
      <c r="H128" s="54"/>
      <c r="I128" s="53"/>
      <c r="J128" s="33"/>
      <c r="K128" s="55"/>
      <c r="L128" s="2"/>
      <c r="M128" s="2"/>
      <c r="N128" s="2"/>
    </row>
    <row r="129" customFormat="false" ht="15" hidden="false" customHeight="true" outlineLevel="0" collapsed="false">
      <c r="A129" s="9"/>
      <c r="B129" s="14" t="n">
        <v>127</v>
      </c>
      <c r="C129" s="15" t="n">
        <v>2</v>
      </c>
      <c r="D129" s="16" t="n">
        <v>10</v>
      </c>
      <c r="E129" s="15" t="n">
        <v>0.2</v>
      </c>
      <c r="F129" s="53"/>
      <c r="G129" s="33"/>
      <c r="H129" s="54"/>
      <c r="I129" s="53"/>
      <c r="J129" s="33"/>
      <c r="K129" s="55"/>
      <c r="L129" s="2"/>
      <c r="M129" s="2"/>
      <c r="N129" s="2"/>
    </row>
    <row r="130" customFormat="false" ht="15" hidden="false" customHeight="true" outlineLevel="0" collapsed="false">
      <c r="A130" s="9"/>
      <c r="B130" s="14" t="n">
        <v>128</v>
      </c>
      <c r="C130" s="15" t="n">
        <v>6</v>
      </c>
      <c r="D130" s="16" t="n">
        <v>28</v>
      </c>
      <c r="E130" s="15" t="n">
        <v>0.214285714285714</v>
      </c>
      <c r="F130" s="53"/>
      <c r="G130" s="33"/>
      <c r="H130" s="54"/>
      <c r="I130" s="53"/>
      <c r="J130" s="33"/>
      <c r="K130" s="55"/>
      <c r="L130" s="2"/>
      <c r="M130" s="2"/>
      <c r="N130" s="2"/>
    </row>
    <row r="131" customFormat="false" ht="15" hidden="false" customHeight="true" outlineLevel="0" collapsed="false">
      <c r="A131" s="9"/>
      <c r="B131" s="14" t="n">
        <v>129</v>
      </c>
      <c r="C131" s="15" t="n">
        <v>9</v>
      </c>
      <c r="D131" s="16" t="n">
        <v>40</v>
      </c>
      <c r="E131" s="15" t="n">
        <v>0.225</v>
      </c>
      <c r="F131" s="53"/>
      <c r="G131" s="33"/>
      <c r="H131" s="54"/>
      <c r="I131" s="53"/>
      <c r="J131" s="33"/>
      <c r="K131" s="55"/>
      <c r="L131" s="2"/>
      <c r="M131" s="2"/>
      <c r="N131" s="2"/>
    </row>
    <row r="132" customFormat="false" ht="15" hidden="false" customHeight="true" outlineLevel="0" collapsed="false">
      <c r="A132" s="9"/>
      <c r="B132" s="14" t="n">
        <v>130</v>
      </c>
      <c r="C132" s="15" t="n">
        <v>4</v>
      </c>
      <c r="D132" s="16" t="n">
        <v>18</v>
      </c>
      <c r="E132" s="15" t="n">
        <v>0.222222222222222</v>
      </c>
      <c r="F132" s="53"/>
      <c r="G132" s="33"/>
      <c r="H132" s="54"/>
      <c r="I132" s="53"/>
      <c r="J132" s="33"/>
      <c r="K132" s="55"/>
      <c r="L132" s="2"/>
      <c r="M132" s="2"/>
      <c r="N132" s="2"/>
    </row>
    <row r="133" customFormat="false" ht="15" hidden="false" customHeight="true" outlineLevel="0" collapsed="false">
      <c r="A133" s="9"/>
      <c r="B133" s="14" t="n">
        <v>131</v>
      </c>
      <c r="C133" s="15" t="n">
        <v>1</v>
      </c>
      <c r="D133" s="16" t="n">
        <v>6</v>
      </c>
      <c r="E133" s="15" t="n">
        <v>0.166666666666667</v>
      </c>
      <c r="F133" s="53"/>
      <c r="G133" s="33"/>
      <c r="H133" s="54"/>
      <c r="I133" s="53"/>
      <c r="J133" s="33"/>
      <c r="K133" s="55"/>
      <c r="L133" s="2"/>
      <c r="M133" s="2"/>
      <c r="N133" s="2"/>
    </row>
    <row r="134" customFormat="false" ht="15" hidden="false" customHeight="true" outlineLevel="0" collapsed="false">
      <c r="A134" s="9"/>
      <c r="B134" s="14" t="n">
        <v>132</v>
      </c>
      <c r="C134" s="21" t="n">
        <v>28</v>
      </c>
      <c r="D134" s="22" t="n">
        <v>100</v>
      </c>
      <c r="E134" s="21" t="n">
        <v>0.28</v>
      </c>
      <c r="F134" s="53"/>
      <c r="G134" s="33"/>
      <c r="H134" s="54"/>
      <c r="I134" s="53"/>
      <c r="J134" s="33"/>
      <c r="K134" s="55"/>
      <c r="L134" s="2"/>
      <c r="M134" s="2"/>
      <c r="N134" s="2"/>
    </row>
    <row r="135" customFormat="false" ht="15" hidden="false" customHeight="true" outlineLevel="0" collapsed="false">
      <c r="A135" s="9"/>
      <c r="B135" s="14" t="n">
        <v>133</v>
      </c>
      <c r="C135" s="15" t="n">
        <v>2</v>
      </c>
      <c r="D135" s="16" t="n">
        <v>10</v>
      </c>
      <c r="E135" s="15" t="n">
        <v>0.2</v>
      </c>
      <c r="F135" s="53"/>
      <c r="G135" s="33"/>
      <c r="H135" s="54"/>
      <c r="I135" s="53"/>
      <c r="J135" s="33"/>
      <c r="K135" s="55"/>
      <c r="L135" s="2"/>
      <c r="M135" s="2"/>
      <c r="N135" s="2"/>
    </row>
    <row r="136" customFormat="false" ht="15" hidden="false" customHeight="true" outlineLevel="0" collapsed="false">
      <c r="A136" s="9"/>
      <c r="B136" s="14" t="n">
        <v>134</v>
      </c>
      <c r="C136" s="15" t="n">
        <v>2</v>
      </c>
      <c r="D136" s="16" t="n">
        <v>10</v>
      </c>
      <c r="E136" s="15" t="n">
        <v>0.2</v>
      </c>
      <c r="F136" s="53"/>
      <c r="G136" s="33"/>
      <c r="H136" s="54"/>
      <c r="I136" s="53"/>
      <c r="J136" s="33"/>
      <c r="K136" s="54"/>
      <c r="L136" s="56" t="s">
        <v>19</v>
      </c>
      <c r="M136" s="2"/>
      <c r="N136" s="2"/>
    </row>
    <row r="137" customFormat="false" ht="15" hidden="false" customHeight="true" outlineLevel="0" collapsed="false">
      <c r="A137" s="9"/>
      <c r="B137" s="14" t="n">
        <v>135</v>
      </c>
      <c r="C137" s="15" t="n">
        <v>1</v>
      </c>
      <c r="D137" s="16" t="n">
        <v>6</v>
      </c>
      <c r="E137" s="15" t="n">
        <v>0.166666666666667</v>
      </c>
      <c r="F137" s="53"/>
      <c r="G137" s="33"/>
      <c r="H137" s="54"/>
      <c r="I137" s="53"/>
      <c r="J137" s="33"/>
      <c r="K137" s="54"/>
      <c r="L137" s="56"/>
      <c r="M137" s="2"/>
      <c r="N137" s="2"/>
    </row>
    <row r="138" customFormat="false" ht="15" hidden="false" customHeight="true" outlineLevel="0" collapsed="false">
      <c r="A138" s="9"/>
      <c r="B138" s="57" t="s">
        <v>12</v>
      </c>
      <c r="C138" s="37" t="n">
        <f aca="false">SUM(C3:C137)</f>
        <v>27082380</v>
      </c>
      <c r="D138" s="38" t="n">
        <f aca="false">SUM(D3:D137)</f>
        <v>40782546</v>
      </c>
      <c r="E138" s="37" t="n">
        <f aca="false">C138/D138</f>
        <v>0.664067907874119</v>
      </c>
      <c r="F138" s="58" t="n">
        <f aca="false">SUM(F3:F123)</f>
        <v>6861907</v>
      </c>
      <c r="G138" s="38" t="n">
        <f aca="false">SUM(G3:G123)</f>
        <v>25033778</v>
      </c>
      <c r="H138" s="37" t="n">
        <f aca="false">F138/G138</f>
        <v>0.274105929995864</v>
      </c>
      <c r="I138" s="58" t="n">
        <f aca="false">SUM(I3:I107)</f>
        <v>575</v>
      </c>
      <c r="J138" s="38" t="n">
        <f aca="false">SUM(J3:J107)</f>
        <v>2458</v>
      </c>
      <c r="K138" s="37" t="n">
        <f aca="false">I138/J138</f>
        <v>0.23393002441009</v>
      </c>
      <c r="L138" s="59" t="n">
        <f aca="false">C138+F138+I138</f>
        <v>33944862</v>
      </c>
      <c r="M138" s="2"/>
      <c r="N138" s="2"/>
    </row>
    <row r="139" customFormat="false" ht="15" hidden="false" customHeight="true" outlineLevel="0" collapsed="false">
      <c r="A139" s="9"/>
      <c r="B139" s="60" t="s">
        <v>20</v>
      </c>
      <c r="C139" s="44" t="n">
        <f aca="false">AVERAGE(C3:C137)</f>
        <v>200610.222222222</v>
      </c>
      <c r="D139" s="45" t="n">
        <f aca="false">AVERAGE(D3:D137)</f>
        <v>302092.933333333</v>
      </c>
      <c r="E139" s="44" t="n">
        <f aca="false">AVERAGE(E3:E137)</f>
        <v>0.210228330281589</v>
      </c>
      <c r="F139" s="61" t="n">
        <f aca="false">AVERAGE(F3:F123)</f>
        <v>56709.9752066116</v>
      </c>
      <c r="G139" s="45" t="n">
        <f aca="false">AVERAGE(G3:G123)</f>
        <v>206890.727272727</v>
      </c>
      <c r="H139" s="44" t="n">
        <f aca="false">AVERAGE(H3:H123)</f>
        <v>0.207982471794611</v>
      </c>
      <c r="I139" s="61" t="n">
        <f aca="false">AVERAGE(I3:I107)</f>
        <v>5.47619047619048</v>
      </c>
      <c r="J139" s="45" t="n">
        <f aca="false">AVERAGE(J3:J107)</f>
        <v>23.4095238095238</v>
      </c>
      <c r="K139" s="62" t="n">
        <f aca="false">AVERAGE(K3:K107)</f>
        <v>0.197441398745875</v>
      </c>
      <c r="L139" s="2"/>
      <c r="M139" s="2"/>
      <c r="N139" s="2"/>
    </row>
  </sheetData>
  <mergeCells count="16">
    <mergeCell ref="B1:B2"/>
    <mergeCell ref="C1:E1"/>
    <mergeCell ref="F1:H1"/>
    <mergeCell ref="I1:K1"/>
    <mergeCell ref="L1:L3"/>
    <mergeCell ref="M1:M3"/>
    <mergeCell ref="A2:A139"/>
    <mergeCell ref="L4:L5"/>
    <mergeCell ref="M4:M5"/>
    <mergeCell ref="M8:Q8"/>
    <mergeCell ref="M15:M16"/>
    <mergeCell ref="N15:N16"/>
    <mergeCell ref="O15:O16"/>
    <mergeCell ref="P15:P16"/>
    <mergeCell ref="Q15:Q16"/>
    <mergeCell ref="L136:L1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1</v>
      </c>
      <c r="B1" s="1" t="s">
        <v>2</v>
      </c>
      <c r="C1" s="1" t="s">
        <v>3</v>
      </c>
      <c r="E1" s="1" t="s">
        <v>21</v>
      </c>
      <c r="F1" s="1" t="s">
        <v>7</v>
      </c>
      <c r="J1" s="1" t="s">
        <v>22</v>
      </c>
      <c r="K1" s="1" t="s">
        <v>7</v>
      </c>
      <c r="L1" s="1" t="s">
        <v>7</v>
      </c>
      <c r="M1" s="1" t="s">
        <v>7</v>
      </c>
    </row>
    <row r="2" customFormat="false" ht="13.8" hidden="false" customHeight="false" outlineLevel="0" collapsed="false">
      <c r="A2" s="15" t="n">
        <v>9</v>
      </c>
      <c r="B2" s="17" t="n">
        <v>1</v>
      </c>
      <c r="C2" s="17" t="n">
        <v>2</v>
      </c>
      <c r="E2" s="1" t="s">
        <v>23</v>
      </c>
      <c r="F2" s="1" t="n">
        <f aca="false">COUNTIF(A$2:A$136, "&lt;100")</f>
        <v>134</v>
      </c>
      <c r="G2" s="63" t="n">
        <f aca="false">COUNTIF(B$2:B$122, "&lt;100")</f>
        <v>118</v>
      </c>
      <c r="H2" s="1" t="n">
        <f aca="false">COUNTIF(C2:C106, "&lt;100")</f>
        <v>105</v>
      </c>
      <c r="J2" s="1" t="s">
        <v>24</v>
      </c>
      <c r="K2" s="1" t="n">
        <f aca="false">COUNTIF(A$2:A$136, "&lt;10")</f>
        <v>112</v>
      </c>
      <c r="L2" s="1" t="n">
        <f aca="false">COUNTIF(B$2:B$122, "&lt;10")</f>
        <v>104</v>
      </c>
      <c r="M2" s="1" t="n">
        <f aca="false">COUNTIF(C$2:C$106, "&lt;10")</f>
        <v>88</v>
      </c>
    </row>
    <row r="3" customFormat="false" ht="13.8" hidden="false" customHeight="false" outlineLevel="0" collapsed="false">
      <c r="A3" s="15" t="n">
        <v>2</v>
      </c>
      <c r="B3" s="17" t="n">
        <v>6</v>
      </c>
      <c r="C3" s="17" t="n">
        <v>2</v>
      </c>
      <c r="E3" s="1" t="s">
        <v>25</v>
      </c>
      <c r="F3" s="1" t="n">
        <f aca="false">COUNTIF(A$2:A$136, "&gt;=100"&amp;"&lt;200")</f>
        <v>0</v>
      </c>
      <c r="G3" s="63" t="n">
        <f aca="false">COUNTIF(B$2:B$122,"&lt;200")-G2</f>
        <v>2</v>
      </c>
      <c r="J3" s="1" t="s">
        <v>26</v>
      </c>
      <c r="K3" s="1" t="n">
        <f aca="false">COUNTIF(A$2:A$136, "&lt;20")-SUM(K2)</f>
        <v>13</v>
      </c>
      <c r="L3" s="1" t="n">
        <f aca="false">COUNTIF(B$2:B$136, "&lt;20")-SUM(L2)</f>
        <v>13</v>
      </c>
      <c r="M3" s="1" t="n">
        <f aca="false">COUNTIF(C$2:C$136, "&lt;20")-SUM(M2)</f>
        <v>11</v>
      </c>
    </row>
    <row r="4" customFormat="false" ht="13.8" hidden="false" customHeight="false" outlineLevel="0" collapsed="false">
      <c r="A4" s="15" t="n">
        <v>2</v>
      </c>
      <c r="B4" s="17" t="n">
        <v>5</v>
      </c>
      <c r="C4" s="17" t="n">
        <v>1</v>
      </c>
      <c r="E4" s="1" t="s">
        <v>27</v>
      </c>
      <c r="F4" s="1" t="n">
        <f aca="false">COUNTIF(A$2:A$136, "&gt;=200"&amp;"&lt;300")</f>
        <v>0</v>
      </c>
      <c r="G4" s="63" t="n">
        <f aca="false">COUNTIF(B$2:B$122,"&lt;300")-G2-G3</f>
        <v>0</v>
      </c>
      <c r="J4" s="1" t="s">
        <v>28</v>
      </c>
      <c r="K4" s="1" t="n">
        <f aca="false">COUNTIF(A$2:A$136, "&lt;30")-SUM(K2:K3)</f>
        <v>4</v>
      </c>
      <c r="L4" s="1" t="n">
        <f aca="false">COUNTIF(B$2:B$136, "&lt;30")-SUM(L2:L3)</f>
        <v>0</v>
      </c>
      <c r="M4" s="1" t="n">
        <f aca="false">COUNTIF(C$2:C$136, "&lt;30")-SUM(M2:M3)</f>
        <v>3</v>
      </c>
    </row>
    <row r="5" customFormat="false" ht="13.8" hidden="false" customHeight="false" outlineLevel="0" collapsed="false">
      <c r="A5" s="21" t="n">
        <v>30</v>
      </c>
      <c r="B5" s="17" t="n">
        <v>4</v>
      </c>
      <c r="C5" s="17" t="n">
        <v>1</v>
      </c>
      <c r="J5" s="1" t="s">
        <v>29</v>
      </c>
      <c r="K5" s="1" t="n">
        <f aca="false">COUNTIF(A$2:A$136, "&lt;40")-SUM(K2:K4)</f>
        <v>2</v>
      </c>
      <c r="L5" s="1" t="n">
        <f aca="false">COUNTIF(B$2:B$136, "&lt;40")-SUM(L2:L4)</f>
        <v>1</v>
      </c>
      <c r="M5" s="1" t="n">
        <f aca="false">COUNTIF(C$2:C$136, "&lt;40")-SUM(M2:M4)</f>
        <v>0</v>
      </c>
    </row>
    <row r="6" customFormat="false" ht="13.8" hidden="false" customHeight="false" outlineLevel="0" collapsed="false">
      <c r="A6" s="23" t="n">
        <v>27081606</v>
      </c>
      <c r="B6" s="17" t="n">
        <v>4</v>
      </c>
      <c r="C6" s="17" t="n">
        <v>2</v>
      </c>
      <c r="J6" s="1" t="s">
        <v>30</v>
      </c>
      <c r="K6" s="1" t="n">
        <f aca="false">COUNTIF(A$2:A$136, "&lt;50")-SUM(K2:K5)</f>
        <v>2</v>
      </c>
      <c r="L6" s="1" t="n">
        <f aca="false">COUNTIF(B$2:B$136, "&lt;50")-SUM(L2:L5)</f>
        <v>0</v>
      </c>
      <c r="M6" s="1" t="n">
        <f aca="false">COUNTIF(C$2:C$136, "&lt;50")-SUM(M2:M5)</f>
        <v>1</v>
      </c>
    </row>
    <row r="7" customFormat="false" ht="13.8" hidden="false" customHeight="false" outlineLevel="0" collapsed="false">
      <c r="A7" s="21" t="n">
        <v>31</v>
      </c>
      <c r="B7" s="17" t="n">
        <v>1</v>
      </c>
      <c r="C7" s="17" t="n">
        <v>2</v>
      </c>
      <c r="J7" s="1" t="s">
        <v>31</v>
      </c>
      <c r="K7" s="1" t="n">
        <f aca="false">COUNTIF(A$2:A$136, "&lt;60")-SUM(K2:K6)</f>
        <v>0</v>
      </c>
      <c r="L7" s="1" t="n">
        <f aca="false">COUNTIF(B$2:B$136, "&lt;60")-SUM(L2:L6)</f>
        <v>0</v>
      </c>
      <c r="M7" s="1" t="n">
        <f aca="false">COUNTIF(C$2:C$136, "&lt;60")-SUM(M2:M6)</f>
        <v>1</v>
      </c>
    </row>
    <row r="8" customFormat="false" ht="13.8" hidden="false" customHeight="false" outlineLevel="0" collapsed="false">
      <c r="A8" s="15" t="n">
        <v>1</v>
      </c>
      <c r="B8" s="17" t="n">
        <v>1</v>
      </c>
      <c r="C8" s="17" t="n">
        <v>1</v>
      </c>
      <c r="J8" s="1" t="s">
        <v>32</v>
      </c>
      <c r="K8" s="1" t="n">
        <f aca="false">COUNTIF(A$2:A$136, "&lt;70")-SUM(K2:K7)</f>
        <v>0</v>
      </c>
      <c r="L8" s="1" t="n">
        <f aca="false">COUNTIF(B$2:B$136, "&lt;70")-SUM(L2:L7)</f>
        <v>0</v>
      </c>
      <c r="M8" s="1" t="n">
        <f aca="false">COUNTIF(C$2:C$136, "&lt;70")-SUM(M2:M7)</f>
        <v>1</v>
      </c>
    </row>
    <row r="9" customFormat="false" ht="13.8" hidden="false" customHeight="false" outlineLevel="0" collapsed="false">
      <c r="A9" s="30" t="n">
        <v>17</v>
      </c>
      <c r="B9" s="17" t="n">
        <v>5</v>
      </c>
      <c r="C9" s="17" t="n">
        <v>5</v>
      </c>
      <c r="J9" s="1" t="s">
        <v>33</v>
      </c>
      <c r="K9" s="1" t="n">
        <f aca="false">COUNTIF(A$2:A$136, "&lt;80")-SUM(K2:K8)</f>
        <v>0</v>
      </c>
      <c r="L9" s="1" t="n">
        <f aca="false">COUNTIF(B$2:B$136, "&lt;80")-SUM(L2:L8)</f>
        <v>0</v>
      </c>
      <c r="M9" s="1" t="n">
        <f aca="false">COUNTIF(C$2:C$136, "&lt;80")-SUM(M2:M8)</f>
        <v>0</v>
      </c>
    </row>
    <row r="10" customFormat="false" ht="13.8" hidden="false" customHeight="false" outlineLevel="0" collapsed="false">
      <c r="A10" s="30" t="n">
        <v>10</v>
      </c>
      <c r="B10" s="17" t="n">
        <v>2</v>
      </c>
      <c r="C10" s="17" t="n">
        <v>2</v>
      </c>
      <c r="J10" s="1" t="s">
        <v>34</v>
      </c>
      <c r="K10" s="1" t="n">
        <f aca="false">COUNTIF(A$2:A$136, "&lt;90")-SUM(K2:K9)</f>
        <v>1</v>
      </c>
      <c r="L10" s="1" t="n">
        <f aca="false">COUNTIF(B$2:B$136, "&lt;90")-SUM(L2:L9)</f>
        <v>0</v>
      </c>
      <c r="M10" s="1" t="n">
        <f aca="false">COUNTIF(C$2:C$136, "&lt;90")-SUM(M2:M9)</f>
        <v>0</v>
      </c>
    </row>
    <row r="11" customFormat="false" ht="13.8" hidden="false" customHeight="false" outlineLevel="0" collapsed="false">
      <c r="A11" s="15" t="n">
        <v>1</v>
      </c>
      <c r="B11" s="17" t="n">
        <v>5</v>
      </c>
      <c r="C11" s="17" t="n">
        <v>3</v>
      </c>
      <c r="J11" s="1" t="s">
        <v>35</v>
      </c>
      <c r="K11" s="1" t="n">
        <f aca="false">COUNTIF(A$2:A$136, "&lt;=100")-SUM(K2:K10)</f>
        <v>0</v>
      </c>
      <c r="L11" s="1" t="n">
        <f aca="false">COUNTIF(B$2:B$136, "&lt;=100")-SUM(L2:L10)</f>
        <v>0</v>
      </c>
      <c r="M11" s="1" t="n">
        <f aca="false">COUNTIF(C$2:C$136, "&lt;=100")-SUM(M2:M10)</f>
        <v>0</v>
      </c>
    </row>
    <row r="12" customFormat="false" ht="13.8" hidden="false" customHeight="false" outlineLevel="0" collapsed="false">
      <c r="A12" s="15" t="n">
        <v>3</v>
      </c>
      <c r="B12" s="17" t="n">
        <v>3</v>
      </c>
      <c r="C12" s="17" t="n">
        <v>2</v>
      </c>
    </row>
    <row r="13" customFormat="false" ht="13.8" hidden="false" customHeight="false" outlineLevel="0" collapsed="false">
      <c r="A13" s="15" t="n">
        <v>1</v>
      </c>
      <c r="B13" s="17" t="n">
        <v>2</v>
      </c>
      <c r="C13" s="40" t="n">
        <v>11</v>
      </c>
    </row>
    <row r="14" customFormat="false" ht="13.8" hidden="false" customHeight="false" outlineLevel="0" collapsed="false">
      <c r="A14" s="21" t="n">
        <v>49</v>
      </c>
      <c r="B14" s="17" t="n">
        <v>1</v>
      </c>
      <c r="C14" s="17" t="n">
        <v>1</v>
      </c>
    </row>
    <row r="15" customFormat="false" ht="13.8" hidden="false" customHeight="false" outlineLevel="0" collapsed="false">
      <c r="A15" s="21" t="n">
        <v>86</v>
      </c>
      <c r="B15" s="40" t="n">
        <v>11</v>
      </c>
      <c r="C15" s="17" t="n">
        <v>1</v>
      </c>
    </row>
    <row r="16" customFormat="false" ht="13.8" hidden="false" customHeight="false" outlineLevel="0" collapsed="false">
      <c r="A16" s="15" t="n">
        <v>9</v>
      </c>
      <c r="B16" s="17" t="n">
        <v>2</v>
      </c>
      <c r="C16" s="40" t="n">
        <v>14</v>
      </c>
    </row>
    <row r="17" customFormat="false" ht="13.8" hidden="false" customHeight="false" outlineLevel="0" collapsed="false">
      <c r="A17" s="15" t="n">
        <v>1</v>
      </c>
      <c r="B17" s="17" t="n">
        <v>7</v>
      </c>
      <c r="C17" s="17" t="n">
        <v>1</v>
      </c>
    </row>
    <row r="18" customFormat="false" ht="13.8" hidden="false" customHeight="false" outlineLevel="0" collapsed="false">
      <c r="A18" s="15" t="n">
        <v>3</v>
      </c>
      <c r="B18" s="17" t="n">
        <v>1</v>
      </c>
      <c r="C18" s="17" t="n">
        <v>3</v>
      </c>
    </row>
    <row r="19" customFormat="false" ht="13.8" hidden="false" customHeight="false" outlineLevel="0" collapsed="false">
      <c r="A19" s="15" t="n">
        <v>2</v>
      </c>
      <c r="B19" s="17" t="n">
        <v>4</v>
      </c>
      <c r="C19" s="17" t="n">
        <v>4</v>
      </c>
    </row>
    <row r="20" customFormat="false" ht="13.8" hidden="false" customHeight="false" outlineLevel="0" collapsed="false">
      <c r="A20" s="30" t="n">
        <v>15</v>
      </c>
      <c r="B20" s="17" t="n">
        <v>6</v>
      </c>
      <c r="C20" s="40" t="n">
        <v>17</v>
      </c>
    </row>
    <row r="21" customFormat="false" ht="13.8" hidden="false" customHeight="false" outlineLevel="0" collapsed="false">
      <c r="A21" s="30" t="n">
        <v>13</v>
      </c>
      <c r="B21" s="17" t="n">
        <v>3</v>
      </c>
      <c r="C21" s="17" t="n">
        <v>4</v>
      </c>
    </row>
    <row r="22" customFormat="false" ht="13.8" hidden="false" customHeight="false" outlineLevel="0" collapsed="false">
      <c r="A22" s="15" t="n">
        <v>2</v>
      </c>
      <c r="B22" s="40" t="n">
        <v>13</v>
      </c>
      <c r="C22" s="17" t="n">
        <v>1</v>
      </c>
    </row>
    <row r="23" customFormat="false" ht="13.8" hidden="false" customHeight="false" outlineLevel="0" collapsed="false">
      <c r="A23" s="15" t="n">
        <v>2</v>
      </c>
      <c r="B23" s="17" t="n">
        <v>5</v>
      </c>
      <c r="C23" s="17" t="n">
        <v>2</v>
      </c>
    </row>
    <row r="24" customFormat="false" ht="13.8" hidden="false" customHeight="false" outlineLevel="0" collapsed="false">
      <c r="A24" s="15" t="n">
        <v>4</v>
      </c>
      <c r="B24" s="17" t="n">
        <v>9</v>
      </c>
      <c r="C24" s="17" t="n">
        <v>2</v>
      </c>
    </row>
    <row r="25" customFormat="false" ht="13.8" hidden="false" customHeight="false" outlineLevel="0" collapsed="false">
      <c r="A25" s="30" t="n">
        <v>12</v>
      </c>
      <c r="B25" s="17" t="n">
        <v>7</v>
      </c>
      <c r="C25" s="40" t="n">
        <v>16</v>
      </c>
    </row>
    <row r="26" customFormat="false" ht="13.8" hidden="false" customHeight="false" outlineLevel="0" collapsed="false">
      <c r="A26" s="30" t="n">
        <v>12</v>
      </c>
      <c r="B26" s="17" t="n">
        <v>1</v>
      </c>
      <c r="C26" s="17" t="n">
        <v>1</v>
      </c>
    </row>
    <row r="27" customFormat="false" ht="13.8" hidden="false" customHeight="false" outlineLevel="0" collapsed="false">
      <c r="A27" s="30" t="n">
        <v>13</v>
      </c>
      <c r="B27" s="17" t="n">
        <v>2</v>
      </c>
      <c r="C27" s="17" t="n">
        <v>4</v>
      </c>
    </row>
    <row r="28" customFormat="false" ht="13.8" hidden="false" customHeight="false" outlineLevel="0" collapsed="false">
      <c r="A28" s="21" t="n">
        <v>22</v>
      </c>
      <c r="B28" s="17" t="n">
        <v>3</v>
      </c>
      <c r="C28" s="48" t="n">
        <v>63</v>
      </c>
    </row>
    <row r="29" customFormat="false" ht="13.8" hidden="false" customHeight="false" outlineLevel="0" collapsed="false">
      <c r="A29" s="15" t="n">
        <v>2</v>
      </c>
      <c r="B29" s="17" t="n">
        <v>1</v>
      </c>
      <c r="C29" s="17" t="n">
        <v>3</v>
      </c>
    </row>
    <row r="30" customFormat="false" ht="13.8" hidden="false" customHeight="false" outlineLevel="0" collapsed="false">
      <c r="A30" s="30" t="n">
        <v>13</v>
      </c>
      <c r="B30" s="17" t="n">
        <v>5</v>
      </c>
      <c r="C30" s="17" t="n">
        <v>6</v>
      </c>
    </row>
    <row r="31" customFormat="false" ht="13.8" hidden="false" customHeight="false" outlineLevel="0" collapsed="false">
      <c r="A31" s="15" t="n">
        <v>1</v>
      </c>
      <c r="B31" s="17" t="n">
        <v>7</v>
      </c>
      <c r="C31" s="17" t="n">
        <v>2</v>
      </c>
    </row>
    <row r="32" customFormat="false" ht="13.8" hidden="false" customHeight="false" outlineLevel="0" collapsed="false">
      <c r="A32" s="15" t="n">
        <v>1</v>
      </c>
      <c r="B32" s="17" t="n">
        <v>6</v>
      </c>
      <c r="C32" s="40" t="n">
        <v>14</v>
      </c>
    </row>
    <row r="33" customFormat="false" ht="13.8" hidden="false" customHeight="false" outlineLevel="0" collapsed="false">
      <c r="A33" s="15" t="n">
        <v>2</v>
      </c>
      <c r="B33" s="40" t="n">
        <v>10</v>
      </c>
      <c r="C33" s="17" t="n">
        <v>1</v>
      </c>
    </row>
    <row r="34" customFormat="false" ht="13.8" hidden="false" customHeight="false" outlineLevel="0" collapsed="false">
      <c r="A34" s="15" t="n">
        <v>2</v>
      </c>
      <c r="B34" s="40" t="n">
        <v>10</v>
      </c>
      <c r="C34" s="17" t="n">
        <v>1</v>
      </c>
    </row>
    <row r="35" customFormat="false" ht="13.8" hidden="false" customHeight="false" outlineLevel="0" collapsed="false">
      <c r="A35" s="15" t="n">
        <v>2</v>
      </c>
      <c r="B35" s="50" t="n">
        <v>144</v>
      </c>
      <c r="C35" s="17" t="n">
        <v>2</v>
      </c>
    </row>
    <row r="36" customFormat="false" ht="13.8" hidden="false" customHeight="false" outlineLevel="0" collapsed="false">
      <c r="A36" s="15" t="n">
        <v>3</v>
      </c>
      <c r="B36" s="17" t="n">
        <v>2</v>
      </c>
      <c r="C36" s="48" t="n">
        <v>56</v>
      </c>
    </row>
    <row r="37" customFormat="false" ht="13.8" hidden="false" customHeight="false" outlineLevel="0" collapsed="false">
      <c r="A37" s="15" t="n">
        <v>2</v>
      </c>
      <c r="B37" s="40" t="n">
        <v>10</v>
      </c>
      <c r="C37" s="17" t="n">
        <v>1</v>
      </c>
    </row>
    <row r="38" customFormat="false" ht="13.8" hidden="false" customHeight="false" outlineLevel="0" collapsed="false">
      <c r="A38" s="15" t="n">
        <v>1</v>
      </c>
      <c r="B38" s="17" t="n">
        <v>8</v>
      </c>
      <c r="C38" s="17" t="n">
        <v>3</v>
      </c>
    </row>
    <row r="39" customFormat="false" ht="13.8" hidden="false" customHeight="false" outlineLevel="0" collapsed="false">
      <c r="A39" s="15" t="n">
        <v>5</v>
      </c>
      <c r="B39" s="17" t="n">
        <v>2</v>
      </c>
      <c r="C39" s="17" t="n">
        <v>2</v>
      </c>
    </row>
    <row r="40" customFormat="false" ht="13.8" hidden="false" customHeight="false" outlineLevel="0" collapsed="false">
      <c r="A40" s="15" t="n">
        <v>2</v>
      </c>
      <c r="B40" s="17" t="n">
        <v>5</v>
      </c>
      <c r="C40" s="17" t="n">
        <v>4</v>
      </c>
    </row>
    <row r="41" customFormat="false" ht="13.8" hidden="false" customHeight="false" outlineLevel="0" collapsed="false">
      <c r="A41" s="15" t="n">
        <v>3</v>
      </c>
      <c r="B41" s="40" t="n">
        <v>16</v>
      </c>
      <c r="C41" s="17" t="n">
        <v>3</v>
      </c>
    </row>
    <row r="42" customFormat="false" ht="13.8" hidden="false" customHeight="false" outlineLevel="0" collapsed="false">
      <c r="A42" s="15" t="n">
        <v>2</v>
      </c>
      <c r="B42" s="17" t="n">
        <v>2</v>
      </c>
      <c r="C42" s="17" t="n">
        <v>2</v>
      </c>
    </row>
    <row r="43" customFormat="false" ht="13.8" hidden="false" customHeight="false" outlineLevel="0" collapsed="false">
      <c r="A43" s="15" t="n">
        <v>1</v>
      </c>
      <c r="B43" s="17" t="n">
        <v>1</v>
      </c>
      <c r="C43" s="17" t="n">
        <v>3</v>
      </c>
    </row>
    <row r="44" customFormat="false" ht="13.8" hidden="false" customHeight="false" outlineLevel="0" collapsed="false">
      <c r="A44" s="30" t="n">
        <v>15</v>
      </c>
      <c r="B44" s="17" t="n">
        <v>4</v>
      </c>
      <c r="C44" s="17" t="n">
        <v>1</v>
      </c>
    </row>
    <row r="45" customFormat="false" ht="13.8" hidden="false" customHeight="false" outlineLevel="0" collapsed="false">
      <c r="A45" s="15" t="n">
        <v>1</v>
      </c>
      <c r="B45" s="17" t="n">
        <v>1</v>
      </c>
      <c r="C45" s="48" t="n">
        <v>27</v>
      </c>
    </row>
    <row r="46" customFormat="false" ht="13.8" hidden="false" customHeight="false" outlineLevel="0" collapsed="false">
      <c r="A46" s="15" t="n">
        <v>2</v>
      </c>
      <c r="B46" s="17" t="n">
        <v>1</v>
      </c>
      <c r="C46" s="17" t="n">
        <v>2</v>
      </c>
    </row>
    <row r="47" customFormat="false" ht="13.8" hidden="false" customHeight="false" outlineLevel="0" collapsed="false">
      <c r="A47" s="30" t="n">
        <v>14</v>
      </c>
      <c r="B47" s="40" t="n">
        <v>10</v>
      </c>
      <c r="C47" s="48" t="n">
        <v>29</v>
      </c>
    </row>
    <row r="48" customFormat="false" ht="13.8" hidden="false" customHeight="false" outlineLevel="0" collapsed="false">
      <c r="A48" s="15" t="n">
        <v>1</v>
      </c>
      <c r="B48" s="17" t="n">
        <v>2</v>
      </c>
      <c r="C48" s="17" t="n">
        <v>1</v>
      </c>
    </row>
    <row r="49" customFormat="false" ht="13.8" hidden="false" customHeight="false" outlineLevel="0" collapsed="false">
      <c r="A49" s="15" t="n">
        <v>1</v>
      </c>
      <c r="B49" s="17" t="n">
        <v>2</v>
      </c>
      <c r="C49" s="17" t="n">
        <v>1</v>
      </c>
    </row>
    <row r="50" customFormat="false" ht="13.8" hidden="false" customHeight="false" outlineLevel="0" collapsed="false">
      <c r="A50" s="15" t="n">
        <v>3</v>
      </c>
      <c r="B50" s="17" t="n">
        <v>7</v>
      </c>
      <c r="C50" s="17" t="n">
        <v>1</v>
      </c>
    </row>
    <row r="51" customFormat="false" ht="13.8" hidden="false" customHeight="false" outlineLevel="0" collapsed="false">
      <c r="A51" s="15" t="n">
        <v>1</v>
      </c>
      <c r="B51" s="17" t="n">
        <v>1</v>
      </c>
      <c r="C51" s="17" t="n">
        <v>7</v>
      </c>
    </row>
    <row r="52" customFormat="false" ht="13.8" hidden="false" customHeight="false" outlineLevel="0" collapsed="false">
      <c r="A52" s="21" t="n">
        <v>42</v>
      </c>
      <c r="B52" s="17" t="n">
        <v>1</v>
      </c>
      <c r="C52" s="17" t="n">
        <v>5</v>
      </c>
    </row>
    <row r="53" customFormat="false" ht="13.8" hidden="false" customHeight="false" outlineLevel="0" collapsed="false">
      <c r="A53" s="15" t="n">
        <v>6</v>
      </c>
      <c r="B53" s="17" t="n">
        <v>4</v>
      </c>
      <c r="C53" s="17" t="n">
        <v>1</v>
      </c>
    </row>
    <row r="54" customFormat="false" ht="13.8" hidden="false" customHeight="false" outlineLevel="0" collapsed="false">
      <c r="A54" s="15" t="n">
        <v>2</v>
      </c>
      <c r="B54" s="17" t="n">
        <v>3</v>
      </c>
      <c r="C54" s="17" t="n">
        <v>1</v>
      </c>
    </row>
    <row r="55" customFormat="false" ht="13.8" hidden="false" customHeight="false" outlineLevel="0" collapsed="false">
      <c r="A55" s="15" t="n">
        <v>1</v>
      </c>
      <c r="B55" s="50" t="n">
        <v>6861104</v>
      </c>
      <c r="C55" s="17" t="n">
        <v>4</v>
      </c>
    </row>
    <row r="56" customFormat="false" ht="13.8" hidden="false" customHeight="false" outlineLevel="0" collapsed="false">
      <c r="A56" s="15" t="n">
        <v>1</v>
      </c>
      <c r="B56" s="17" t="n">
        <v>1</v>
      </c>
      <c r="C56" s="17" t="n">
        <v>1</v>
      </c>
    </row>
    <row r="57" customFormat="false" ht="13.8" hidden="false" customHeight="false" outlineLevel="0" collapsed="false">
      <c r="A57" s="15" t="n">
        <v>5</v>
      </c>
      <c r="B57" s="17" t="n">
        <v>1</v>
      </c>
      <c r="C57" s="48" t="n">
        <v>42</v>
      </c>
    </row>
    <row r="58" customFormat="false" ht="13.8" hidden="false" customHeight="false" outlineLevel="0" collapsed="false">
      <c r="A58" s="15" t="n">
        <v>1</v>
      </c>
      <c r="B58" s="40" t="n">
        <v>14</v>
      </c>
      <c r="C58" s="17" t="n">
        <v>1</v>
      </c>
    </row>
    <row r="59" customFormat="false" ht="13.8" hidden="false" customHeight="false" outlineLevel="0" collapsed="false">
      <c r="A59" s="21" t="n">
        <v>23</v>
      </c>
      <c r="B59" s="17" t="n">
        <v>2</v>
      </c>
      <c r="C59" s="17" t="n">
        <v>1</v>
      </c>
    </row>
    <row r="60" customFormat="false" ht="13.8" hidden="false" customHeight="false" outlineLevel="0" collapsed="false">
      <c r="A60" s="15" t="n">
        <v>3</v>
      </c>
      <c r="B60" s="40" t="n">
        <v>18</v>
      </c>
      <c r="C60" s="40" t="n">
        <v>20</v>
      </c>
    </row>
    <row r="61" customFormat="false" ht="13.8" hidden="false" customHeight="false" outlineLevel="0" collapsed="false">
      <c r="A61" s="15" t="n">
        <v>2</v>
      </c>
      <c r="B61" s="17" t="n">
        <v>1</v>
      </c>
      <c r="C61" s="17" t="n">
        <v>1</v>
      </c>
    </row>
    <row r="62" customFormat="false" ht="13.8" hidden="false" customHeight="false" outlineLevel="0" collapsed="false">
      <c r="A62" s="30" t="n">
        <v>11</v>
      </c>
      <c r="B62" s="17" t="n">
        <v>4</v>
      </c>
      <c r="C62" s="40" t="n">
        <v>10</v>
      </c>
    </row>
    <row r="63" customFormat="false" ht="13.8" hidden="false" customHeight="false" outlineLevel="0" collapsed="false">
      <c r="A63" s="15" t="n">
        <v>1</v>
      </c>
      <c r="B63" s="17" t="n">
        <v>1</v>
      </c>
      <c r="C63" s="17" t="n">
        <v>1</v>
      </c>
    </row>
    <row r="64" customFormat="false" ht="13.8" hidden="false" customHeight="false" outlineLevel="0" collapsed="false">
      <c r="A64" s="15" t="n">
        <v>2</v>
      </c>
      <c r="B64" s="17" t="n">
        <v>7</v>
      </c>
      <c r="C64" s="17" t="n">
        <v>7</v>
      </c>
    </row>
    <row r="65" customFormat="false" ht="13.8" hidden="false" customHeight="false" outlineLevel="0" collapsed="false">
      <c r="A65" s="15" t="n">
        <v>1</v>
      </c>
      <c r="B65" s="17" t="n">
        <v>5</v>
      </c>
      <c r="C65" s="17" t="n">
        <v>1</v>
      </c>
    </row>
    <row r="66" customFormat="false" ht="13.8" hidden="false" customHeight="false" outlineLevel="0" collapsed="false">
      <c r="A66" s="15" t="n">
        <v>1</v>
      </c>
      <c r="B66" s="17" t="n">
        <v>3</v>
      </c>
      <c r="C66" s="40" t="n">
        <v>11</v>
      </c>
    </row>
    <row r="67" customFormat="false" ht="13.8" hidden="false" customHeight="false" outlineLevel="0" collapsed="false">
      <c r="A67" s="15" t="n">
        <v>1</v>
      </c>
      <c r="B67" s="17" t="n">
        <v>1</v>
      </c>
      <c r="C67" s="17" t="n">
        <v>1</v>
      </c>
    </row>
    <row r="68" customFormat="false" ht="13.8" hidden="false" customHeight="false" outlineLevel="0" collapsed="false">
      <c r="A68" s="15" t="n">
        <v>1</v>
      </c>
      <c r="B68" s="17" t="n">
        <v>2</v>
      </c>
      <c r="C68" s="17" t="n">
        <v>1</v>
      </c>
    </row>
    <row r="69" customFormat="false" ht="13.8" hidden="false" customHeight="false" outlineLevel="0" collapsed="false">
      <c r="A69" s="15" t="n">
        <v>1</v>
      </c>
      <c r="B69" s="17" t="n">
        <v>7</v>
      </c>
      <c r="C69" s="17" t="n">
        <v>1</v>
      </c>
    </row>
    <row r="70" customFormat="false" ht="13.8" hidden="false" customHeight="false" outlineLevel="0" collapsed="false">
      <c r="A70" s="15" t="n">
        <v>4</v>
      </c>
      <c r="B70" s="17" t="n">
        <v>2</v>
      </c>
      <c r="C70" s="17" t="n">
        <v>2</v>
      </c>
    </row>
    <row r="71" customFormat="false" ht="13.8" hidden="false" customHeight="false" outlineLevel="0" collapsed="false">
      <c r="A71" s="15" t="n">
        <v>7</v>
      </c>
      <c r="B71" s="17" t="n">
        <v>2</v>
      </c>
      <c r="C71" s="17" t="n">
        <v>3</v>
      </c>
    </row>
    <row r="72" customFormat="false" ht="13.8" hidden="false" customHeight="false" outlineLevel="0" collapsed="false">
      <c r="A72" s="15" t="n">
        <v>4</v>
      </c>
      <c r="B72" s="17" t="n">
        <v>1</v>
      </c>
      <c r="C72" s="17" t="n">
        <v>1</v>
      </c>
    </row>
    <row r="73" customFormat="false" ht="13.8" hidden="false" customHeight="false" outlineLevel="0" collapsed="false">
      <c r="A73" s="15" t="n">
        <v>1</v>
      </c>
      <c r="B73" s="40" t="n">
        <v>18</v>
      </c>
      <c r="C73" s="17" t="n">
        <v>2</v>
      </c>
    </row>
    <row r="74" customFormat="false" ht="13.8" hidden="false" customHeight="false" outlineLevel="0" collapsed="false">
      <c r="A74" s="15" t="n">
        <v>1</v>
      </c>
      <c r="B74" s="17" t="n">
        <v>1</v>
      </c>
      <c r="C74" s="17" t="n">
        <v>5</v>
      </c>
    </row>
    <row r="75" customFormat="false" ht="13.8" hidden="false" customHeight="false" outlineLevel="0" collapsed="false">
      <c r="A75" s="15" t="n">
        <v>2</v>
      </c>
      <c r="B75" s="40" t="n">
        <v>12</v>
      </c>
      <c r="C75" s="17" t="n">
        <v>1</v>
      </c>
    </row>
    <row r="76" customFormat="false" ht="13.8" hidden="false" customHeight="false" outlineLevel="0" collapsed="false">
      <c r="A76" s="21" t="n">
        <v>27</v>
      </c>
      <c r="B76" s="17" t="n">
        <v>2</v>
      </c>
      <c r="C76" s="17" t="n">
        <v>2</v>
      </c>
    </row>
    <row r="77" customFormat="false" ht="13.8" hidden="false" customHeight="false" outlineLevel="0" collapsed="false">
      <c r="A77" s="15" t="n">
        <v>1</v>
      </c>
      <c r="B77" s="17" t="n">
        <v>2</v>
      </c>
      <c r="C77" s="17" t="n">
        <v>7</v>
      </c>
    </row>
    <row r="78" customFormat="false" ht="13.8" hidden="false" customHeight="false" outlineLevel="0" collapsed="false">
      <c r="A78" s="15" t="n">
        <v>6</v>
      </c>
      <c r="B78" s="17" t="n">
        <v>2</v>
      </c>
      <c r="C78" s="17" t="n">
        <v>1</v>
      </c>
    </row>
    <row r="79" customFormat="false" ht="13.8" hidden="false" customHeight="false" outlineLevel="0" collapsed="false">
      <c r="A79" s="15" t="n">
        <v>3</v>
      </c>
      <c r="B79" s="17" t="n">
        <v>5</v>
      </c>
      <c r="C79" s="40" t="n">
        <v>11</v>
      </c>
    </row>
    <row r="80" customFormat="false" ht="13.8" hidden="false" customHeight="false" outlineLevel="0" collapsed="false">
      <c r="A80" s="15" t="n">
        <v>1</v>
      </c>
      <c r="B80" s="17" t="n">
        <v>5</v>
      </c>
      <c r="C80" s="17" t="n">
        <v>1</v>
      </c>
    </row>
    <row r="81" customFormat="false" ht="13.8" hidden="false" customHeight="false" outlineLevel="0" collapsed="false">
      <c r="A81" s="15" t="n">
        <v>2</v>
      </c>
      <c r="B81" s="17" t="n">
        <v>5</v>
      </c>
      <c r="C81" s="17" t="n">
        <v>2</v>
      </c>
    </row>
    <row r="82" customFormat="false" ht="13.8" hidden="false" customHeight="false" outlineLevel="0" collapsed="false">
      <c r="A82" s="15" t="n">
        <v>2</v>
      </c>
      <c r="B82" s="17" t="n">
        <v>3</v>
      </c>
      <c r="C82" s="40" t="n">
        <v>11</v>
      </c>
    </row>
    <row r="83" customFormat="false" ht="13.8" hidden="false" customHeight="false" outlineLevel="0" collapsed="false">
      <c r="A83" s="15" t="n">
        <v>7</v>
      </c>
      <c r="B83" s="17" t="n">
        <v>4</v>
      </c>
      <c r="C83" s="17" t="n">
        <v>1</v>
      </c>
    </row>
    <row r="84" customFormat="false" ht="13.8" hidden="false" customHeight="false" outlineLevel="0" collapsed="false">
      <c r="A84" s="15" t="n">
        <v>2</v>
      </c>
      <c r="B84" s="17" t="n">
        <v>1</v>
      </c>
      <c r="C84" s="17" t="n">
        <v>1</v>
      </c>
    </row>
    <row r="85" customFormat="false" ht="13.8" hidden="false" customHeight="false" outlineLevel="0" collapsed="false">
      <c r="A85" s="15" t="n">
        <v>1</v>
      </c>
      <c r="B85" s="17" t="n">
        <v>1</v>
      </c>
      <c r="C85" s="40" t="n">
        <v>14</v>
      </c>
    </row>
    <row r="86" customFormat="false" ht="13.8" hidden="false" customHeight="false" outlineLevel="0" collapsed="false">
      <c r="A86" s="15" t="n">
        <v>1</v>
      </c>
      <c r="B86" s="17" t="n">
        <v>4</v>
      </c>
      <c r="C86" s="17" t="n">
        <v>1</v>
      </c>
    </row>
    <row r="87" customFormat="false" ht="13.8" hidden="false" customHeight="false" outlineLevel="0" collapsed="false">
      <c r="A87" s="15" t="n">
        <v>9</v>
      </c>
      <c r="B87" s="17" t="n">
        <v>2</v>
      </c>
      <c r="C87" s="17" t="n">
        <v>2</v>
      </c>
    </row>
    <row r="88" customFormat="false" ht="13.8" hidden="false" customHeight="false" outlineLevel="0" collapsed="false">
      <c r="A88" s="15" t="n">
        <v>1</v>
      </c>
      <c r="B88" s="17" t="n">
        <v>2</v>
      </c>
      <c r="C88" s="17" t="n">
        <v>2</v>
      </c>
    </row>
    <row r="89" customFormat="false" ht="13.8" hidden="false" customHeight="false" outlineLevel="0" collapsed="false">
      <c r="A89" s="15" t="n">
        <v>1</v>
      </c>
      <c r="B89" s="50" t="n">
        <v>130</v>
      </c>
      <c r="C89" s="17" t="n">
        <v>1</v>
      </c>
    </row>
    <row r="90" customFormat="false" ht="13.8" hidden="false" customHeight="false" outlineLevel="0" collapsed="false">
      <c r="A90" s="15" t="n">
        <v>6</v>
      </c>
      <c r="B90" s="17" t="n">
        <v>1</v>
      </c>
      <c r="C90" s="17" t="n">
        <v>2</v>
      </c>
    </row>
    <row r="91" customFormat="false" ht="13.8" hidden="false" customHeight="false" outlineLevel="0" collapsed="false">
      <c r="A91" s="15" t="n">
        <v>1</v>
      </c>
      <c r="B91" s="17" t="n">
        <v>1</v>
      </c>
      <c r="C91" s="17" t="n">
        <v>1</v>
      </c>
    </row>
    <row r="92" customFormat="false" ht="13.8" hidden="false" customHeight="false" outlineLevel="0" collapsed="false">
      <c r="A92" s="15" t="n">
        <v>1</v>
      </c>
      <c r="B92" s="17" t="n">
        <v>6</v>
      </c>
      <c r="C92" s="17" t="n">
        <v>4</v>
      </c>
    </row>
    <row r="93" customFormat="false" ht="13.8" hidden="false" customHeight="false" outlineLevel="0" collapsed="false">
      <c r="A93" s="15" t="n">
        <v>3</v>
      </c>
      <c r="B93" s="17" t="n">
        <v>2</v>
      </c>
      <c r="C93" s="17" t="n">
        <v>1</v>
      </c>
    </row>
    <row r="94" customFormat="false" ht="13.8" hidden="false" customHeight="false" outlineLevel="0" collapsed="false">
      <c r="A94" s="15" t="n">
        <v>4</v>
      </c>
      <c r="B94" s="17" t="n">
        <v>3</v>
      </c>
      <c r="C94" s="17" t="n">
        <v>2</v>
      </c>
    </row>
    <row r="95" customFormat="false" ht="13.8" hidden="false" customHeight="false" outlineLevel="0" collapsed="false">
      <c r="A95" s="30" t="n">
        <v>16</v>
      </c>
      <c r="B95" s="17" t="n">
        <v>1</v>
      </c>
      <c r="C95" s="17" t="n">
        <v>1</v>
      </c>
    </row>
    <row r="96" customFormat="false" ht="13.8" hidden="false" customHeight="false" outlineLevel="0" collapsed="false">
      <c r="A96" s="15" t="n">
        <v>1</v>
      </c>
      <c r="B96" s="17" t="n">
        <v>3</v>
      </c>
      <c r="C96" s="40" t="n">
        <v>14</v>
      </c>
    </row>
    <row r="97" customFormat="false" ht="13.8" hidden="false" customHeight="false" outlineLevel="0" collapsed="false">
      <c r="A97" s="15" t="n">
        <v>1</v>
      </c>
      <c r="B97" s="17" t="n">
        <v>4</v>
      </c>
      <c r="C97" s="17" t="n">
        <v>1</v>
      </c>
    </row>
    <row r="98" customFormat="false" ht="13.8" hidden="false" customHeight="false" outlineLevel="0" collapsed="false">
      <c r="A98" s="15" t="n">
        <v>2</v>
      </c>
      <c r="B98" s="40" t="n">
        <v>11</v>
      </c>
      <c r="C98" s="17" t="n">
        <v>8</v>
      </c>
    </row>
    <row r="99" customFormat="false" ht="13.8" hidden="false" customHeight="false" outlineLevel="0" collapsed="false">
      <c r="A99" s="15" t="n">
        <v>1</v>
      </c>
      <c r="B99" s="48" t="n">
        <v>36</v>
      </c>
      <c r="C99" s="17" t="n">
        <v>2</v>
      </c>
    </row>
    <row r="100" customFormat="false" ht="13.8" hidden="false" customHeight="false" outlineLevel="0" collapsed="false">
      <c r="A100" s="30" t="n">
        <v>12</v>
      </c>
      <c r="B100" s="17" t="n">
        <v>3</v>
      </c>
      <c r="C100" s="17" t="n">
        <v>1</v>
      </c>
    </row>
    <row r="101" customFormat="false" ht="13.8" hidden="false" customHeight="false" outlineLevel="0" collapsed="false">
      <c r="A101" s="15" t="n">
        <v>1</v>
      </c>
      <c r="B101" s="17" t="n">
        <v>7</v>
      </c>
      <c r="C101" s="17" t="n">
        <v>2</v>
      </c>
    </row>
    <row r="102" customFormat="false" ht="13.8" hidden="false" customHeight="false" outlineLevel="0" collapsed="false">
      <c r="A102" s="15" t="n">
        <v>4</v>
      </c>
      <c r="B102" s="17" t="n">
        <v>5</v>
      </c>
      <c r="C102" s="17" t="n">
        <v>2</v>
      </c>
    </row>
    <row r="103" customFormat="false" ht="13.8" hidden="false" customHeight="false" outlineLevel="0" collapsed="false">
      <c r="A103" s="15" t="n">
        <v>1</v>
      </c>
      <c r="B103" s="40" t="n">
        <v>15</v>
      </c>
      <c r="C103" s="17" t="n">
        <v>3</v>
      </c>
    </row>
    <row r="104" customFormat="false" ht="13.8" hidden="false" customHeight="false" outlineLevel="0" collapsed="false">
      <c r="A104" s="15" t="n">
        <v>1</v>
      </c>
      <c r="B104" s="17" t="n">
        <v>4</v>
      </c>
      <c r="C104" s="17" t="n">
        <v>4</v>
      </c>
    </row>
    <row r="105" customFormat="false" ht="13.8" hidden="false" customHeight="false" outlineLevel="0" collapsed="false">
      <c r="A105" s="15" t="n">
        <v>3</v>
      </c>
      <c r="B105" s="17" t="n">
        <v>1</v>
      </c>
      <c r="C105" s="17" t="n">
        <v>5</v>
      </c>
    </row>
    <row r="106" customFormat="false" ht="13.8" hidden="false" customHeight="false" outlineLevel="0" collapsed="false">
      <c r="A106" s="15" t="n">
        <v>1</v>
      </c>
      <c r="B106" s="17" t="n">
        <v>1</v>
      </c>
      <c r="C106" s="17" t="n">
        <v>1</v>
      </c>
    </row>
    <row r="107" customFormat="false" ht="13.8" hidden="false" customHeight="false" outlineLevel="0" collapsed="false">
      <c r="A107" s="15" t="n">
        <v>1</v>
      </c>
      <c r="B107" s="17" t="n">
        <v>3</v>
      </c>
    </row>
    <row r="108" customFormat="false" ht="13.8" hidden="false" customHeight="false" outlineLevel="0" collapsed="false">
      <c r="A108" s="15" t="n">
        <v>1</v>
      </c>
      <c r="B108" s="17" t="n">
        <v>2</v>
      </c>
    </row>
    <row r="109" customFormat="false" ht="13.8" hidden="false" customHeight="false" outlineLevel="0" collapsed="false">
      <c r="A109" s="15" t="n">
        <v>1</v>
      </c>
      <c r="B109" s="17" t="n">
        <v>6</v>
      </c>
    </row>
    <row r="110" customFormat="false" ht="13.8" hidden="false" customHeight="false" outlineLevel="0" collapsed="false">
      <c r="A110" s="15" t="n">
        <v>1</v>
      </c>
      <c r="B110" s="17" t="n">
        <v>1</v>
      </c>
    </row>
    <row r="111" customFormat="false" ht="13.8" hidden="false" customHeight="false" outlineLevel="0" collapsed="false">
      <c r="A111" s="15" t="n">
        <v>1</v>
      </c>
      <c r="B111" s="17" t="n">
        <v>6</v>
      </c>
    </row>
    <row r="112" customFormat="false" ht="13.8" hidden="false" customHeight="false" outlineLevel="0" collapsed="false">
      <c r="A112" s="15" t="n">
        <v>3</v>
      </c>
      <c r="B112" s="17" t="n">
        <v>1</v>
      </c>
    </row>
    <row r="113" customFormat="false" ht="13.8" hidden="false" customHeight="false" outlineLevel="0" collapsed="false">
      <c r="A113" s="15" t="n">
        <v>1</v>
      </c>
      <c r="B113" s="17" t="n">
        <v>5</v>
      </c>
    </row>
    <row r="114" customFormat="false" ht="13.8" hidden="false" customHeight="false" outlineLevel="0" collapsed="false">
      <c r="A114" s="15" t="n">
        <v>1</v>
      </c>
      <c r="B114" s="17" t="n">
        <v>1</v>
      </c>
    </row>
    <row r="115" customFormat="false" ht="13.8" hidden="false" customHeight="false" outlineLevel="0" collapsed="false">
      <c r="A115" s="15" t="n">
        <v>5</v>
      </c>
      <c r="B115" s="17" t="n">
        <v>5</v>
      </c>
    </row>
    <row r="116" customFormat="false" ht="13.8" hidden="false" customHeight="false" outlineLevel="0" collapsed="false">
      <c r="A116" s="15" t="n">
        <v>3</v>
      </c>
      <c r="B116" s="17" t="n">
        <v>5</v>
      </c>
    </row>
    <row r="117" customFormat="false" ht="13.8" hidden="false" customHeight="false" outlineLevel="0" collapsed="false">
      <c r="A117" s="15" t="n">
        <v>1</v>
      </c>
      <c r="B117" s="17" t="n">
        <v>2</v>
      </c>
    </row>
    <row r="118" customFormat="false" ht="13.8" hidden="false" customHeight="false" outlineLevel="0" collapsed="false">
      <c r="A118" s="15" t="n">
        <v>2</v>
      </c>
      <c r="B118" s="17" t="n">
        <v>3</v>
      </c>
    </row>
    <row r="119" customFormat="false" ht="13.8" hidden="false" customHeight="false" outlineLevel="0" collapsed="false">
      <c r="A119" s="15" t="n">
        <v>1</v>
      </c>
      <c r="B119" s="17" t="n">
        <v>5</v>
      </c>
    </row>
    <row r="120" customFormat="false" ht="13.8" hidden="false" customHeight="false" outlineLevel="0" collapsed="false">
      <c r="A120" s="15" t="n">
        <v>1</v>
      </c>
      <c r="B120" s="17" t="n">
        <v>2</v>
      </c>
    </row>
    <row r="121" customFormat="false" ht="13.8" hidden="false" customHeight="false" outlineLevel="0" collapsed="false">
      <c r="A121" s="15" t="n">
        <v>1</v>
      </c>
      <c r="B121" s="17" t="n">
        <v>1</v>
      </c>
    </row>
    <row r="122" customFormat="false" ht="13.8" hidden="false" customHeight="false" outlineLevel="0" collapsed="false">
      <c r="A122" s="15" t="n">
        <v>1</v>
      </c>
      <c r="B122" s="17" t="n">
        <v>1</v>
      </c>
    </row>
    <row r="123" customFormat="false" ht="13.8" hidden="false" customHeight="false" outlineLevel="0" collapsed="false">
      <c r="A123" s="15" t="n">
        <v>3</v>
      </c>
    </row>
    <row r="124" customFormat="false" ht="13.8" hidden="false" customHeight="false" outlineLevel="0" collapsed="false">
      <c r="A124" s="15" t="n">
        <v>4</v>
      </c>
    </row>
    <row r="125" customFormat="false" ht="13.8" hidden="false" customHeight="false" outlineLevel="0" collapsed="false">
      <c r="A125" s="15" t="n">
        <v>1</v>
      </c>
    </row>
    <row r="126" customFormat="false" ht="13.8" hidden="false" customHeight="false" outlineLevel="0" collapsed="false">
      <c r="A126" s="15" t="n">
        <v>6</v>
      </c>
    </row>
    <row r="127" customFormat="false" ht="13.8" hidden="false" customHeight="false" outlineLevel="0" collapsed="false">
      <c r="A127" s="15" t="n">
        <v>1</v>
      </c>
    </row>
    <row r="128" customFormat="false" ht="13.8" hidden="false" customHeight="false" outlineLevel="0" collapsed="false">
      <c r="A128" s="15" t="n">
        <v>2</v>
      </c>
    </row>
    <row r="129" customFormat="false" ht="13.8" hidden="false" customHeight="false" outlineLevel="0" collapsed="false">
      <c r="A129" s="15" t="n">
        <v>6</v>
      </c>
    </row>
    <row r="130" customFormat="false" ht="13.8" hidden="false" customHeight="false" outlineLevel="0" collapsed="false">
      <c r="A130" s="15" t="n">
        <v>9</v>
      </c>
    </row>
    <row r="131" customFormat="false" ht="13.8" hidden="false" customHeight="false" outlineLevel="0" collapsed="false">
      <c r="A131" s="15" t="n">
        <v>4</v>
      </c>
    </row>
    <row r="132" customFormat="false" ht="13.8" hidden="false" customHeight="false" outlineLevel="0" collapsed="false">
      <c r="A132" s="15" t="n">
        <v>1</v>
      </c>
    </row>
    <row r="133" customFormat="false" ht="13.8" hidden="false" customHeight="false" outlineLevel="0" collapsed="false">
      <c r="A133" s="21" t="n">
        <v>28</v>
      </c>
    </row>
    <row r="134" customFormat="false" ht="13.8" hidden="false" customHeight="false" outlineLevel="0" collapsed="false">
      <c r="A134" s="15" t="n">
        <v>2</v>
      </c>
    </row>
    <row r="135" customFormat="false" ht="13.8" hidden="false" customHeight="false" outlineLevel="0" collapsed="false">
      <c r="A135" s="15" t="n">
        <v>2</v>
      </c>
    </row>
    <row r="136" customFormat="false" ht="13.8" hidden="false" customHeight="false" outlineLevel="0" collapsed="false">
      <c r="A136" s="15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6.27"/>
    <col collapsed="false" customWidth="true" hidden="false" outlineLevel="0" max="4" min="4" style="1" width="14.74"/>
    <col collapsed="false" customWidth="true" hidden="false" outlineLevel="0" max="5" min="5" style="1" width="14.46"/>
    <col collapsed="false" customWidth="true" hidden="false" outlineLevel="0" max="7" min="6" style="1" width="14.42"/>
    <col collapsed="false" customWidth="true" hidden="false" outlineLevel="0" max="8" min="8" style="1" width="13.29"/>
    <col collapsed="false" customWidth="true" hidden="false" outlineLevel="0" max="9" min="9" style="1" width="15.02"/>
    <col collapsed="false" customWidth="true" hidden="false" outlineLevel="0" max="10" min="10" style="1" width="16.43"/>
    <col collapsed="false" customWidth="true" hidden="false" outlineLevel="0" max="16384" min="16373" style="1" width="11.53"/>
  </cols>
  <sheetData>
    <row r="1" customFormat="false" ht="15" hidden="false" customHeight="false" outlineLevel="0" collapsed="false">
      <c r="B1" s="64" t="s">
        <v>0</v>
      </c>
      <c r="C1" s="65" t="s">
        <v>1</v>
      </c>
      <c r="D1" s="65"/>
      <c r="E1" s="65"/>
      <c r="F1" s="65"/>
      <c r="G1" s="65"/>
      <c r="H1" s="65"/>
      <c r="I1" s="65"/>
      <c r="J1" s="65"/>
    </row>
    <row r="2" customFormat="false" ht="15" hidden="false" customHeight="true" outlineLevel="0" collapsed="false">
      <c r="B2" s="64"/>
      <c r="C2" s="66" t="s">
        <v>36</v>
      </c>
      <c r="D2" s="67" t="s">
        <v>37</v>
      </c>
      <c r="E2" s="68" t="s">
        <v>38</v>
      </c>
      <c r="F2" s="69" t="s">
        <v>39</v>
      </c>
      <c r="G2" s="69"/>
      <c r="H2" s="69"/>
      <c r="I2" s="69"/>
      <c r="J2" s="70" t="s">
        <v>40</v>
      </c>
    </row>
    <row r="3" customFormat="false" ht="15" hidden="false" customHeight="true" outlineLevel="0" collapsed="false">
      <c r="B3" s="64"/>
      <c r="C3" s="66"/>
      <c r="D3" s="67"/>
      <c r="E3" s="68"/>
      <c r="F3" s="71" t="s">
        <v>41</v>
      </c>
      <c r="G3" s="71"/>
      <c r="H3" s="71"/>
      <c r="I3" s="72" t="s">
        <v>42</v>
      </c>
      <c r="J3" s="70"/>
    </row>
    <row r="4" customFormat="false" ht="15" hidden="false" customHeight="false" outlineLevel="0" collapsed="false">
      <c r="B4" s="64"/>
      <c r="C4" s="66"/>
      <c r="D4" s="67"/>
      <c r="E4" s="68"/>
      <c r="F4" s="71"/>
      <c r="G4" s="71"/>
      <c r="H4" s="71"/>
      <c r="I4" s="72"/>
      <c r="J4" s="70"/>
    </row>
    <row r="5" customFormat="false" ht="15" hidden="false" customHeight="false" outlineLevel="0" collapsed="false">
      <c r="B5" s="73" t="n">
        <v>5</v>
      </c>
      <c r="C5" s="74" t="n">
        <v>425659069.138</v>
      </c>
      <c r="D5" s="75" t="n">
        <v>303019396.948</v>
      </c>
      <c r="E5" s="76" t="n">
        <f aca="false">D5/C5</f>
        <v>0.711882863347991</v>
      </c>
      <c r="F5" s="77" t="n">
        <v>58.509</v>
      </c>
      <c r="G5" s="76" t="n">
        <v>2900.628</v>
      </c>
      <c r="H5" s="75" t="n">
        <v>9405</v>
      </c>
      <c r="I5" s="78" t="n">
        <v>1596149294.547</v>
      </c>
      <c r="J5" s="78" t="n">
        <f aca="false">(C5*100)/I5</f>
        <v>26.6678731489717</v>
      </c>
    </row>
    <row r="6" customFormat="false" ht="15" hidden="false" customHeight="false" outlineLevel="0" collapsed="false">
      <c r="B6" s="79" t="n">
        <v>4</v>
      </c>
      <c r="C6" s="63" t="n">
        <v>471.529</v>
      </c>
      <c r="D6" s="63" t="n">
        <v>688.576</v>
      </c>
      <c r="E6" s="80" t="n">
        <f aca="false">D6/C6</f>
        <v>1.46030466842973</v>
      </c>
      <c r="F6" s="81" t="n">
        <v>1.773</v>
      </c>
      <c r="G6" s="80" t="n">
        <v>14.184</v>
      </c>
      <c r="H6" s="82" t="n">
        <v>30</v>
      </c>
      <c r="I6" s="63" t="n">
        <v>754.447</v>
      </c>
      <c r="J6" s="83" t="n">
        <f aca="false">(C6*100)/I6</f>
        <v>62.4999502947192</v>
      </c>
    </row>
    <row r="7" customFormat="false" ht="15" hidden="false" customHeight="false" outlineLevel="0" collapsed="false">
      <c r="B7" s="79" t="n">
        <v>6</v>
      </c>
      <c r="C7" s="84" t="n">
        <v>487.247</v>
      </c>
      <c r="D7" s="82" t="n">
        <v>879.582</v>
      </c>
      <c r="E7" s="80" t="n">
        <f aca="false">D7/C7</f>
        <v>1.80520762570113</v>
      </c>
      <c r="F7" s="81" t="n">
        <v>1.773</v>
      </c>
      <c r="G7" s="80" t="n">
        <v>12.411</v>
      </c>
      <c r="H7" s="82" t="n">
        <v>40</v>
      </c>
      <c r="I7" s="83" t="n">
        <v>880.188</v>
      </c>
      <c r="J7" s="83" t="n">
        <f aca="false">(C7*100)/I7</f>
        <v>55.3571509722923</v>
      </c>
    </row>
    <row r="8" customFormat="false" ht="15" hidden="false" customHeight="false" outlineLevel="0" collapsed="false">
      <c r="B8" s="79" t="n">
        <v>13</v>
      </c>
      <c r="C8" s="84" t="n">
        <v>770.165</v>
      </c>
      <c r="D8" s="82" t="n">
        <v>1056.882</v>
      </c>
      <c r="E8" s="80" t="n">
        <f aca="false">D8/C8</f>
        <v>1.37227996598132</v>
      </c>
      <c r="F8" s="81" t="n">
        <v>1.773</v>
      </c>
      <c r="G8" s="80" t="n">
        <v>12.411</v>
      </c>
      <c r="H8" s="82" t="n">
        <v>25</v>
      </c>
      <c r="I8" s="83" t="n">
        <v>1021.647</v>
      </c>
      <c r="J8" s="83" t="n">
        <f aca="false">(C8*100)/I8</f>
        <v>75.3846485136256</v>
      </c>
    </row>
    <row r="9" customFormat="false" ht="15" hidden="false" customHeight="false" outlineLevel="0" collapsed="false">
      <c r="B9" s="79" t="n">
        <v>14</v>
      </c>
      <c r="C9" s="63" t="n">
        <v>1351.717</v>
      </c>
      <c r="D9" s="63" t="n">
        <v>1862.15</v>
      </c>
      <c r="E9" s="80" t="n">
        <f aca="false">D9/C9</f>
        <v>1.37761824405552</v>
      </c>
      <c r="F9" s="81" t="n">
        <v>1.773</v>
      </c>
      <c r="G9" s="80" t="n">
        <v>24.822</v>
      </c>
      <c r="H9" s="82" t="n">
        <v>60</v>
      </c>
      <c r="I9" s="63" t="n">
        <v>2640.564</v>
      </c>
      <c r="J9" s="83" t="n">
        <f aca="false">(C21*100)/I21</f>
        <v>10.0000004418247</v>
      </c>
    </row>
    <row r="10" customFormat="false" ht="15" hidden="false" customHeight="false" outlineLevel="0" collapsed="false">
      <c r="B10" s="79" t="n">
        <v>27</v>
      </c>
      <c r="C10" s="63" t="n">
        <v>345.788</v>
      </c>
      <c r="D10" s="85" t="n">
        <v>649.092</v>
      </c>
      <c r="E10" s="80" t="n">
        <f aca="false">D10/C10</f>
        <v>1.87713859358914</v>
      </c>
      <c r="F10" s="85" t="n">
        <v>1.773</v>
      </c>
      <c r="G10" s="85" t="n">
        <v>14.184</v>
      </c>
      <c r="H10" s="85" t="n">
        <v>30</v>
      </c>
      <c r="I10" s="85" t="n">
        <v>754.447</v>
      </c>
      <c r="J10" s="83" t="n">
        <f aca="false">(C31*100)/I31</f>
        <v>40.9091115658349</v>
      </c>
    </row>
    <row r="11" customFormat="false" ht="15" hidden="false" customHeight="false" outlineLevel="0" collapsed="false">
      <c r="B11" s="79" t="n">
        <v>51</v>
      </c>
      <c r="C11" s="63" t="n">
        <v>660.141</v>
      </c>
      <c r="D11" s="63" t="n">
        <v>967.101</v>
      </c>
      <c r="E11" s="80" t="n">
        <f aca="false">D11/C11</f>
        <v>1.46499156998278</v>
      </c>
      <c r="F11" s="81" t="n">
        <v>1.773</v>
      </c>
      <c r="G11" s="80" t="n">
        <v>14.184</v>
      </c>
      <c r="H11" s="82" t="n">
        <v>40</v>
      </c>
      <c r="I11" s="63" t="n">
        <v>1005.929</v>
      </c>
      <c r="J11" s="83" t="n">
        <f aca="false">(C11*100)/I11</f>
        <v>65.6250093197432</v>
      </c>
    </row>
    <row r="12" customFormat="false" ht="15" hidden="false" customHeight="false" outlineLevel="0" collapsed="false">
      <c r="B12" s="79" t="n">
        <v>58</v>
      </c>
      <c r="C12" s="63" t="n">
        <v>361.506</v>
      </c>
      <c r="D12" s="63" t="n">
        <v>534.162</v>
      </c>
      <c r="E12" s="80" t="n">
        <f aca="false">D12/C12</f>
        <v>1.47760203150155</v>
      </c>
      <c r="F12" s="81" t="n">
        <v>1.773</v>
      </c>
      <c r="G12" s="80" t="n">
        <v>10.638</v>
      </c>
      <c r="H12" s="82" t="n">
        <v>25</v>
      </c>
      <c r="I12" s="63" t="n">
        <v>471.529</v>
      </c>
      <c r="J12" s="83" t="n">
        <f aca="false">(C12*100)/I12</f>
        <v>76.6667585662812</v>
      </c>
    </row>
    <row r="13" customFormat="false" ht="15" hidden="false" customHeight="false" outlineLevel="0" collapsed="false">
      <c r="B13" s="79" t="n">
        <v>75</v>
      </c>
      <c r="C13" s="84" t="n">
        <v>424.376</v>
      </c>
      <c r="D13" s="82" t="n">
        <v>750.316</v>
      </c>
      <c r="E13" s="80" t="n">
        <f aca="false">D13/C13</f>
        <v>1.76804531830264</v>
      </c>
      <c r="F13" s="81" t="n">
        <v>1.773</v>
      </c>
      <c r="G13" s="80" t="n">
        <v>15.957</v>
      </c>
      <c r="H13" s="82" t="n">
        <v>45</v>
      </c>
      <c r="I13" s="83" t="n">
        <v>1273.129</v>
      </c>
      <c r="J13" s="83" t="n">
        <f aca="false">(C13*100)/I13</f>
        <v>33.3333071511214</v>
      </c>
    </row>
    <row r="14" customFormat="false" ht="15" hidden="false" customHeight="false" outlineLevel="0" collapsed="false">
      <c r="B14" s="86" t="n">
        <v>132</v>
      </c>
      <c r="C14" s="63" t="n">
        <v>440.094</v>
      </c>
      <c r="D14" s="63" t="n">
        <v>737.742</v>
      </c>
      <c r="E14" s="80" t="n">
        <f aca="false">D14/C14</f>
        <v>1.67632823896713</v>
      </c>
      <c r="F14" s="87" t="n">
        <v>1.773</v>
      </c>
      <c r="G14" s="88" t="n">
        <v>23.049</v>
      </c>
      <c r="H14" s="89" t="n">
        <v>30</v>
      </c>
      <c r="I14" s="63" t="n">
        <v>1225.976</v>
      </c>
      <c r="J14" s="90" t="n">
        <f aca="false">(C14*100)/I14</f>
        <v>35.8974400803931</v>
      </c>
    </row>
    <row r="15" customFormat="false" ht="15" hidden="false" customHeight="false" outlineLevel="0" collapsed="false">
      <c r="B15" s="2"/>
      <c r="C15" s="91"/>
      <c r="D15" s="91"/>
      <c r="E15" s="91"/>
      <c r="F15" s="91"/>
      <c r="G15" s="91"/>
      <c r="H15" s="91"/>
      <c r="I15" s="91"/>
      <c r="J15" s="91"/>
    </row>
    <row r="16" customFormat="false" ht="15" hidden="false" customHeight="false" outlineLevel="0" collapsed="false">
      <c r="B16" s="2"/>
      <c r="C16" s="91"/>
      <c r="D16" s="91"/>
      <c r="E16" s="91"/>
      <c r="F16" s="91"/>
      <c r="G16" s="91"/>
      <c r="H16" s="91"/>
      <c r="I16" s="91"/>
      <c r="J16" s="91"/>
    </row>
    <row r="17" customFormat="false" ht="15" hidden="false" customHeight="false" outlineLevel="0" collapsed="false">
      <c r="B17" s="64" t="s">
        <v>0</v>
      </c>
      <c r="C17" s="92" t="s">
        <v>2</v>
      </c>
      <c r="D17" s="92"/>
      <c r="E17" s="92"/>
      <c r="F17" s="92"/>
      <c r="G17" s="92"/>
      <c r="H17" s="92"/>
      <c r="I17" s="92"/>
      <c r="J17" s="92"/>
    </row>
    <row r="18" customFormat="false" ht="15" hidden="false" customHeight="true" outlineLevel="0" collapsed="false">
      <c r="A18" s="1"/>
      <c r="B18" s="64"/>
      <c r="C18" s="93" t="s">
        <v>36</v>
      </c>
      <c r="D18" s="94" t="s">
        <v>37</v>
      </c>
      <c r="E18" s="68" t="s">
        <v>38</v>
      </c>
      <c r="F18" s="95" t="s">
        <v>39</v>
      </c>
      <c r="G18" s="95"/>
      <c r="H18" s="95"/>
      <c r="I18" s="95"/>
      <c r="J18" s="96" t="s">
        <v>40</v>
      </c>
    </row>
    <row r="19" customFormat="false" ht="15" hidden="false" customHeight="false" outlineLevel="0" collapsed="false">
      <c r="A19" s="1"/>
      <c r="B19" s="64"/>
      <c r="C19" s="93"/>
      <c r="D19" s="94"/>
      <c r="E19" s="68"/>
      <c r="F19" s="97" t="s">
        <v>41</v>
      </c>
      <c r="G19" s="97"/>
      <c r="H19" s="97"/>
      <c r="I19" s="98" t="s">
        <v>42</v>
      </c>
      <c r="J19" s="96"/>
    </row>
    <row r="20" customFormat="false" ht="15" hidden="false" customHeight="false" outlineLevel="0" collapsed="false">
      <c r="B20" s="64"/>
      <c r="C20" s="93"/>
      <c r="D20" s="94"/>
      <c r="E20" s="68"/>
      <c r="F20" s="97"/>
      <c r="G20" s="97"/>
      <c r="H20" s="97"/>
      <c r="I20" s="98"/>
      <c r="J20" s="96"/>
    </row>
    <row r="21" customFormat="false" ht="15" hidden="false" customHeight="false" outlineLevel="0" collapsed="false">
      <c r="B21" s="99" t="n">
        <v>34</v>
      </c>
      <c r="C21" s="84" t="n">
        <v>2263.341</v>
      </c>
      <c r="D21" s="82" t="n">
        <v>3970.626</v>
      </c>
      <c r="E21" s="83" t="n">
        <f aca="false">D21/C21</f>
        <v>1.75432071437755</v>
      </c>
      <c r="F21" s="80" t="n">
        <v>8.865</v>
      </c>
      <c r="G21" s="80" t="n">
        <v>21.276</v>
      </c>
      <c r="H21" s="82" t="n">
        <v>120</v>
      </c>
      <c r="I21" s="83" t="n">
        <v>22633.409</v>
      </c>
      <c r="J21" s="83" t="n">
        <f aca="false">(C21*100)/I21</f>
        <v>10.0000004418247</v>
      </c>
    </row>
    <row r="22" customFormat="false" ht="15" hidden="false" customHeight="false" outlineLevel="0" collapsed="false">
      <c r="B22" s="99" t="n">
        <v>54</v>
      </c>
      <c r="C22" s="100" t="n">
        <v>107840396.98</v>
      </c>
      <c r="D22" s="100" t="n">
        <v>178275036.246</v>
      </c>
      <c r="E22" s="101" t="n">
        <f aca="false">D22/C22</f>
        <v>1.65313779658158</v>
      </c>
      <c r="F22" s="102" t="n">
        <v>58.509</v>
      </c>
      <c r="G22" s="102" t="n">
        <v>2721.555</v>
      </c>
      <c r="H22" s="103" t="n">
        <v>8120</v>
      </c>
      <c r="I22" s="100" t="n">
        <v>1292991947.339</v>
      </c>
      <c r="J22" s="101" t="n">
        <f aca="false">(C22*100)/I22</f>
        <v>8.34037653536338</v>
      </c>
    </row>
    <row r="23" customFormat="false" ht="15" hidden="false" customHeight="false" outlineLevel="0" collapsed="false">
      <c r="B23" s="99" t="n">
        <v>88</v>
      </c>
      <c r="C23" s="63" t="n">
        <v>2043.294</v>
      </c>
      <c r="D23" s="63" t="n">
        <v>3910.018</v>
      </c>
      <c r="E23" s="83" t="n">
        <f aca="false">D23/C23</f>
        <v>1.91358561225159</v>
      </c>
      <c r="F23" s="104" t="n">
        <v>3.546</v>
      </c>
      <c r="G23" s="104" t="n">
        <v>37.233</v>
      </c>
      <c r="H23" s="105" t="n">
        <v>130</v>
      </c>
      <c r="I23" s="63" t="n">
        <v>17163.668</v>
      </c>
      <c r="J23" s="106" t="n">
        <f aca="false">(C23*100)/I23</f>
        <v>11.9047630145258</v>
      </c>
    </row>
    <row r="24" customFormat="false" ht="15" hidden="false" customHeight="false" outlineLevel="0" collapsed="false">
      <c r="B24" s="86" t="n">
        <v>98</v>
      </c>
      <c r="C24" s="63" t="n">
        <v>565.835</v>
      </c>
      <c r="D24" s="63" t="n">
        <v>945.346</v>
      </c>
      <c r="E24" s="83" t="n">
        <f aca="false">D24/C24</f>
        <v>1.67070965917626</v>
      </c>
      <c r="F24" s="88" t="n">
        <v>5.319</v>
      </c>
      <c r="G24" s="88" t="n">
        <v>10.638</v>
      </c>
      <c r="H24" s="89" t="n">
        <v>50</v>
      </c>
      <c r="I24" s="63" t="n">
        <v>2829.176</v>
      </c>
      <c r="J24" s="90" t="n">
        <f aca="false">(C24*100)/I24</f>
        <v>19.9999929308039</v>
      </c>
    </row>
    <row r="25" customFormat="false" ht="15" hidden="false" customHeight="false" outlineLevel="0" collapsed="false">
      <c r="B25" s="2"/>
      <c r="C25" s="91"/>
      <c r="D25" s="91"/>
      <c r="E25" s="91"/>
      <c r="F25" s="91"/>
      <c r="G25" s="91"/>
      <c r="H25" s="91"/>
      <c r="I25" s="91"/>
      <c r="J25" s="91"/>
    </row>
    <row r="26" customFormat="false" ht="15" hidden="false" customHeight="false" outlineLevel="0" collapsed="false">
      <c r="B26" s="2"/>
      <c r="C26" s="91"/>
      <c r="D26" s="91"/>
      <c r="E26" s="91"/>
      <c r="F26" s="91"/>
      <c r="G26" s="91"/>
      <c r="H26" s="91"/>
      <c r="I26" s="91"/>
      <c r="J26" s="91"/>
    </row>
    <row r="27" customFormat="false" ht="15" hidden="false" customHeight="false" outlineLevel="0" collapsed="false">
      <c r="B27" s="64" t="s">
        <v>0</v>
      </c>
      <c r="C27" s="107" t="s">
        <v>3</v>
      </c>
      <c r="D27" s="107"/>
      <c r="E27" s="107"/>
      <c r="F27" s="107"/>
      <c r="G27" s="107"/>
      <c r="H27" s="107"/>
      <c r="I27" s="107"/>
      <c r="J27" s="107"/>
    </row>
    <row r="28" customFormat="false" ht="15" hidden="false" customHeight="true" outlineLevel="0" collapsed="false">
      <c r="B28" s="64"/>
      <c r="C28" s="93" t="s">
        <v>36</v>
      </c>
      <c r="D28" s="94" t="s">
        <v>37</v>
      </c>
      <c r="E28" s="68" t="s">
        <v>38</v>
      </c>
      <c r="F28" s="95" t="s">
        <v>39</v>
      </c>
      <c r="G28" s="95"/>
      <c r="H28" s="95"/>
      <c r="I28" s="95"/>
      <c r="J28" s="96" t="s">
        <v>40</v>
      </c>
    </row>
    <row r="29" customFormat="false" ht="15" hidden="false" customHeight="false" outlineLevel="0" collapsed="false">
      <c r="B29" s="64"/>
      <c r="C29" s="93"/>
      <c r="D29" s="94"/>
      <c r="E29" s="68"/>
      <c r="F29" s="97" t="s">
        <v>41</v>
      </c>
      <c r="G29" s="97"/>
      <c r="H29" s="97"/>
      <c r="I29" s="98" t="s">
        <v>42</v>
      </c>
      <c r="J29" s="96"/>
    </row>
    <row r="30" customFormat="false" ht="15" hidden="false" customHeight="false" outlineLevel="0" collapsed="false">
      <c r="B30" s="64"/>
      <c r="C30" s="93"/>
      <c r="D30" s="94"/>
      <c r="E30" s="68"/>
      <c r="F30" s="97"/>
      <c r="G30" s="97"/>
      <c r="H30" s="97"/>
      <c r="I30" s="98"/>
      <c r="J30" s="96"/>
    </row>
    <row r="31" customFormat="false" ht="15" hidden="false" customHeight="false" outlineLevel="0" collapsed="false">
      <c r="B31" s="79" t="n">
        <v>27</v>
      </c>
      <c r="C31" s="63" t="n">
        <v>990.212</v>
      </c>
      <c r="D31" s="63" t="n">
        <v>1695.662</v>
      </c>
      <c r="E31" s="83" t="n">
        <f aca="false">D31/C31</f>
        <v>1.71242319826461</v>
      </c>
      <c r="F31" s="81" t="n">
        <v>1.773</v>
      </c>
      <c r="G31" s="80" t="n">
        <v>19.503</v>
      </c>
      <c r="H31" s="82" t="n">
        <v>70</v>
      </c>
      <c r="I31" s="63" t="n">
        <v>2420.517</v>
      </c>
      <c r="J31" s="83" t="n">
        <f aca="false">(C31*100)/I31</f>
        <v>40.9091115658349</v>
      </c>
    </row>
    <row r="32" customFormat="false" ht="15" hidden="false" customHeight="false" outlineLevel="0" collapsed="false">
      <c r="B32" s="79" t="n">
        <v>35</v>
      </c>
      <c r="C32" s="84" t="n">
        <v>880.188</v>
      </c>
      <c r="D32" s="63" t="n">
        <v>1533.829</v>
      </c>
      <c r="E32" s="83" t="n">
        <f aca="false">D32/C32</f>
        <v>1.74261521402246</v>
      </c>
      <c r="F32" s="80" t="n">
        <v>3.546</v>
      </c>
      <c r="G32" s="80" t="n">
        <v>26.595</v>
      </c>
      <c r="H32" s="82" t="n">
        <v>50</v>
      </c>
      <c r="I32" s="108" t="n">
        <v>4715.293</v>
      </c>
      <c r="J32" s="83" t="n">
        <f aca="false">(C32*100)/I32</f>
        <v>18.6666661011309</v>
      </c>
    </row>
    <row r="33" customFormat="false" ht="15" hidden="false" customHeight="false" outlineLevel="0" collapsed="false">
      <c r="B33" s="86" t="n">
        <v>56</v>
      </c>
      <c r="C33" s="63" t="n">
        <v>660.141</v>
      </c>
      <c r="D33" s="63" t="n">
        <v>1159.237</v>
      </c>
      <c r="E33" s="83" t="n">
        <f aca="false">D33/C33</f>
        <v>1.75604454199936</v>
      </c>
      <c r="F33" s="88" t="n">
        <v>3.546</v>
      </c>
      <c r="G33" s="88" t="n">
        <v>21.276</v>
      </c>
      <c r="H33" s="89" t="n">
        <v>50</v>
      </c>
      <c r="I33" s="63" t="n">
        <v>3772.235</v>
      </c>
      <c r="J33" s="90" t="n">
        <f aca="false">(C33*100)/I33</f>
        <v>17.4999966863146</v>
      </c>
    </row>
  </sheetData>
  <mergeCells count="27">
    <mergeCell ref="B1:B4"/>
    <mergeCell ref="C1:J1"/>
    <mergeCell ref="C2:C4"/>
    <mergeCell ref="D2:D4"/>
    <mergeCell ref="E2:E4"/>
    <mergeCell ref="F2:I2"/>
    <mergeCell ref="J2:J4"/>
    <mergeCell ref="F3:H4"/>
    <mergeCell ref="I3:I4"/>
    <mergeCell ref="B17:B20"/>
    <mergeCell ref="C17:J17"/>
    <mergeCell ref="C18:C20"/>
    <mergeCell ref="D18:D20"/>
    <mergeCell ref="E18:E20"/>
    <mergeCell ref="F18:I18"/>
    <mergeCell ref="J18:J20"/>
    <mergeCell ref="F19:H20"/>
    <mergeCell ref="I19:I20"/>
    <mergeCell ref="B27:B30"/>
    <mergeCell ref="C27:J27"/>
    <mergeCell ref="C28:C30"/>
    <mergeCell ref="D28:D30"/>
    <mergeCell ref="E28:E30"/>
    <mergeCell ref="F28:I28"/>
    <mergeCell ref="J28:J30"/>
    <mergeCell ref="F29:H30"/>
    <mergeCell ref="I29:I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2026-03-27T13:21:25Z</dcterms:created>
  <dc:creator>openpyxl</dc:creator>
  <dc:description/>
  <dc:language>fr-FR</dc:language>
  <cp:lastModifiedBy/>
  <dcterms:modified xsi:type="dcterms:W3CDTF">2026-09-24T01:30:40Z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