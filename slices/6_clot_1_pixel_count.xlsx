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 clustering" sheetId="1" state="visible" r:id="rId3"/>
    <sheet name="Color classific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<sst xmlns="http://schemas.openxmlformats.org/spreadsheetml/2006/main" count="79" uniqueCount="21">
  <si>
    <t xml:space="preserve">image</t>
  </si>
  <si>
    <t xml:space="preserve">Pre-alignement</t>
  </si>
  <si>
    <t xml:space="preserve">Post alignement</t>
  </si>
  <si>
    <t xml:space="preserve">Shape of the array images</t>
  </si>
  <si>
    <t xml:space="preserve">Random correction</t>
  </si>
  <si>
    <t xml:space="preserve">Color classification</t>
  </si>
  <si>
    <t xml:space="preserve">(33, 2588, 2948, 3)</t>
  </si>
  <si>
    <t xml:space="preserve">6_clot_1/Col_clust</t>
  </si>
  <si>
    <t xml:space="preserve">#cc6233</t>
  </si>
  <si>
    <t xml:space="preserve">#f0827c</t>
  </si>
  <si>
    <t xml:space="preserve">#f2a750</t>
  </si>
  <si>
    <t xml:space="preserve">#f6bdb3</t>
  </si>
  <si>
    <t xml:space="preserve">#ffffff</t>
  </si>
  <si>
    <t xml:space="preserve">Total</t>
  </si>
  <si>
    <t xml:space="preserve">Error</t>
  </si>
  <si>
    <t xml:space="preserve">MAPE</t>
  </si>
  <si>
    <t xml:space="preserve">Post-alignement</t>
  </si>
  <si>
    <t xml:space="preserve">6_clot_1/Col_class</t>
  </si>
  <si>
    <t xml:space="preserve">#d76c3a</t>
  </si>
  <si>
    <t xml:space="preserve">#f6b354</t>
  </si>
  <si>
    <t xml:space="preserve">#fabeb3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</si>
</sst>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EEEEE"/>
        <bgColor rgb="FFF2F2F2"/>
      </patternFill>
    </fill>
    <fill>
      <patternFill patternType="solid">
        <fgColor rgb="FFCC6233"/>
        <bgColor rgb="FFD76C3A"/>
      </patternFill>
    </fill>
    <fill>
      <patternFill patternType="solid">
        <fgColor rgb="FFF0827C"/>
        <bgColor rgb="FFD76C3A"/>
      </patternFill>
    </fill>
    <fill>
      <patternFill patternType="solid">
        <fgColor rgb="FFF2A750"/>
        <bgColor rgb="FFF6B354"/>
      </patternFill>
    </fill>
    <fill>
      <patternFill patternType="solid">
        <fgColor rgb="FFF6BDB3"/>
        <bgColor rgb="FFFABEB3"/>
      </patternFill>
    </fill>
    <fill>
      <patternFill patternType="solid">
        <fgColor rgb="FFFFFFFF"/>
        <bgColor rgb="FFF2F2F2"/>
      </patternFill>
    </fill>
    <fill>
      <patternFill patternType="solid">
        <fgColor theme="0" tint="-0.05"/>
        <bgColor rgb="FFEEEEEE"/>
      </patternFill>
    </fill>
    <fill>
      <patternFill patternType="solid">
        <fgColor rgb="FFD76C3A"/>
        <bgColor rgb="FFCC6233"/>
      </patternFill>
    </fill>
    <fill>
      <patternFill patternType="solid">
        <fgColor rgb="FFF6B354"/>
        <bgColor rgb="FFF2A750"/>
      </patternFill>
    </fill>
    <fill>
      <patternFill patternType="solid">
        <fgColor rgb="FFFABEB3"/>
        <bgColor rgb="FFF6BDB3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/>
      <diagonal/>
    </border>
    <border diagonalUp="false" diagonalDown="false"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C6233"/>
      <rgbColor rgb="FFF2F2F2"/>
      <rgbColor rgb="FFEEEEEE"/>
      <rgbColor rgb="FF660066"/>
      <rgbColor rgb="FFF0827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DB3"/>
      <rgbColor rgb="FFCC99FF"/>
      <rgbColor rgb="FFFABEB3"/>
      <rgbColor rgb="FF3366FF"/>
      <rgbColor rgb="FF33CCCC"/>
      <rgbColor rgb="FF99CC00"/>
      <rgbColor rgb="FFF6B354"/>
      <rgbColor rgb="FFF2A750"/>
      <rgbColor rgb="FFD76C3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T83" activeCellId="0" sqref="T83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.98"/>
    <col collapsed="false" customWidth="true" hidden="false" outlineLevel="0" max="14" min="14" style="0" width="10.98"/>
  </cols>
  <sheetData>
    <row r="1" customFormat="false" ht="15" hidden="false" customHeight="false" outlineLevel="0" collapsed="false">
      <c r="A1" s="1"/>
      <c r="B1" s="2" t="s">
        <v>0</v>
      </c>
      <c r="C1" s="2" t="s">
        <v>1</v>
      </c>
      <c r="D1" s="2"/>
      <c r="E1" s="2"/>
      <c r="F1" s="2"/>
      <c r="G1" s="2"/>
      <c r="H1" s="3" t="s">
        <v>2</v>
      </c>
      <c r="I1" s="3"/>
      <c r="J1" s="3"/>
      <c r="K1" s="3"/>
      <c r="L1" s="3"/>
      <c r="M1" s="3"/>
      <c r="N1" s="3"/>
      <c r="O1" s="3"/>
      <c r="P1" s="3"/>
      <c r="Q1" s="3"/>
      <c r="S1" s="4" t="s">
        <v>3</v>
      </c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2"/>
      <c r="H2" s="2" t="s">
        <v>4</v>
      </c>
      <c r="I2" s="2"/>
      <c r="J2" s="2"/>
      <c r="K2" s="2"/>
      <c r="L2" s="2"/>
      <c r="M2" s="2" t="s">
        <v>5</v>
      </c>
      <c r="N2" s="2"/>
      <c r="O2" s="2"/>
      <c r="P2" s="2"/>
      <c r="Q2" s="2"/>
      <c r="S2" s="4" t="s">
        <v>6</v>
      </c>
    </row>
    <row r="3" customFormat="false" ht="15" hidden="false" customHeight="false" outlineLevel="0" collapsed="false">
      <c r="A3" s="2" t="s">
        <v>7</v>
      </c>
      <c r="B3" s="2"/>
      <c r="C3" s="5" t="s">
        <v>8</v>
      </c>
      <c r="D3" s="6" t="s">
        <v>9</v>
      </c>
      <c r="E3" s="7" t="s">
        <v>10</v>
      </c>
      <c r="F3" s="8" t="s">
        <v>11</v>
      </c>
      <c r="G3" s="9" t="s">
        <v>12</v>
      </c>
      <c r="H3" s="5" t="s">
        <v>8</v>
      </c>
      <c r="I3" s="6" t="s">
        <v>9</v>
      </c>
      <c r="J3" s="7" t="s">
        <v>10</v>
      </c>
      <c r="K3" s="8" t="s">
        <v>11</v>
      </c>
      <c r="L3" s="9" t="s">
        <v>12</v>
      </c>
      <c r="M3" s="5" t="s">
        <v>8</v>
      </c>
      <c r="N3" s="6" t="s">
        <v>9</v>
      </c>
      <c r="O3" s="7" t="s">
        <v>10</v>
      </c>
      <c r="P3" s="8" t="s">
        <v>11</v>
      </c>
      <c r="Q3" s="9" t="s">
        <v>12</v>
      </c>
    </row>
    <row r="4" customFormat="false" ht="15" hidden="false" customHeight="false" outlineLevel="0" collapsed="false">
      <c r="A4" s="2"/>
      <c r="B4" s="2" t="n">
        <v>0</v>
      </c>
      <c r="C4" s="10" t="n">
        <v>520641</v>
      </c>
      <c r="D4" s="11" t="n">
        <v>644987</v>
      </c>
      <c r="E4" s="11" t="n">
        <v>240044</v>
      </c>
      <c r="F4" s="11" t="n">
        <v>250657</v>
      </c>
      <c r="G4" s="12" t="n">
        <v>5973095</v>
      </c>
      <c r="H4" s="10" t="n">
        <v>520641</v>
      </c>
      <c r="I4" s="11" t="n">
        <v>644987</v>
      </c>
      <c r="J4" s="11" t="n">
        <v>240044</v>
      </c>
      <c r="K4" s="11" t="n">
        <v>250657</v>
      </c>
      <c r="L4" s="12" t="n">
        <v>5973095</v>
      </c>
      <c r="M4" s="10" t="n">
        <v>520641</v>
      </c>
      <c r="N4" s="11" t="n">
        <v>644987</v>
      </c>
      <c r="O4" s="11" t="n">
        <v>240044</v>
      </c>
      <c r="P4" s="11" t="n">
        <v>250657</v>
      </c>
      <c r="Q4" s="12" t="n">
        <v>5973095</v>
      </c>
    </row>
    <row r="5" customFormat="false" ht="15" hidden="false" customHeight="false" outlineLevel="0" collapsed="false">
      <c r="A5" s="2"/>
      <c r="B5" s="2" t="n">
        <v>1</v>
      </c>
      <c r="C5" s="10" t="n">
        <v>204385</v>
      </c>
      <c r="D5" s="11" t="n">
        <v>563952</v>
      </c>
      <c r="E5" s="11" t="n">
        <v>267838</v>
      </c>
      <c r="F5" s="11" t="n">
        <v>489559</v>
      </c>
      <c r="G5" s="12" t="n">
        <v>6103690</v>
      </c>
      <c r="H5" s="10" t="n">
        <v>40044</v>
      </c>
      <c r="I5" s="11" t="n">
        <v>643736</v>
      </c>
      <c r="J5" s="11" t="n">
        <v>368954</v>
      </c>
      <c r="K5" s="11" t="n">
        <v>448281</v>
      </c>
      <c r="L5" s="12" t="n">
        <v>6128409</v>
      </c>
      <c r="M5" s="10" t="n">
        <v>171464</v>
      </c>
      <c r="N5" s="11" t="n">
        <v>621174</v>
      </c>
      <c r="O5" s="11" t="n">
        <v>269617</v>
      </c>
      <c r="P5" s="11" t="n">
        <v>476669</v>
      </c>
      <c r="Q5" s="12" t="n">
        <v>6090500</v>
      </c>
    </row>
    <row r="6" customFormat="false" ht="15" hidden="false" customHeight="false" outlineLevel="0" collapsed="false">
      <c r="A6" s="2"/>
      <c r="B6" s="2" t="n">
        <v>2</v>
      </c>
      <c r="C6" s="10" t="n">
        <v>179275</v>
      </c>
      <c r="D6" s="11" t="n">
        <v>569193</v>
      </c>
      <c r="E6" s="11" t="n">
        <v>272880</v>
      </c>
      <c r="F6" s="11" t="n">
        <v>512219</v>
      </c>
      <c r="G6" s="12" t="n">
        <v>6095857</v>
      </c>
      <c r="H6" s="10" t="n">
        <v>34528</v>
      </c>
      <c r="I6" s="11" t="n">
        <v>633702</v>
      </c>
      <c r="J6" s="11" t="n">
        <v>362225</v>
      </c>
      <c r="K6" s="11" t="n">
        <v>484431</v>
      </c>
      <c r="L6" s="12" t="n">
        <v>6114538</v>
      </c>
      <c r="M6" s="10" t="n">
        <v>158034</v>
      </c>
      <c r="N6" s="11" t="n">
        <v>611229</v>
      </c>
      <c r="O6" s="11" t="n">
        <v>272597</v>
      </c>
      <c r="P6" s="11" t="n">
        <v>499245</v>
      </c>
      <c r="Q6" s="12" t="n">
        <v>6088319</v>
      </c>
    </row>
    <row r="7" customFormat="false" ht="15" hidden="false" customHeight="false" outlineLevel="0" collapsed="false">
      <c r="A7" s="2"/>
      <c r="B7" s="2" t="n">
        <v>3</v>
      </c>
      <c r="C7" s="10" t="n">
        <v>151962</v>
      </c>
      <c r="D7" s="11" t="n">
        <v>373992</v>
      </c>
      <c r="E7" s="11" t="n">
        <v>227557</v>
      </c>
      <c r="F7" s="11" t="n">
        <v>655344</v>
      </c>
      <c r="G7" s="12" t="n">
        <v>6220569</v>
      </c>
      <c r="H7" s="10" t="n">
        <v>25567</v>
      </c>
      <c r="I7" s="11" t="n">
        <v>376405</v>
      </c>
      <c r="J7" s="11" t="n">
        <v>308236</v>
      </c>
      <c r="K7" s="11" t="n">
        <v>689764</v>
      </c>
      <c r="L7" s="12" t="n">
        <v>6229452</v>
      </c>
      <c r="M7" s="10" t="n">
        <v>117079</v>
      </c>
      <c r="N7" s="11" t="n">
        <v>429194</v>
      </c>
      <c r="O7" s="11" t="n">
        <v>227150</v>
      </c>
      <c r="P7" s="11" t="n">
        <v>656400</v>
      </c>
      <c r="Q7" s="12" t="n">
        <v>6199601</v>
      </c>
    </row>
    <row r="8" customFormat="false" ht="15" hidden="false" customHeight="false" outlineLevel="0" collapsed="false">
      <c r="A8" s="2"/>
      <c r="B8" s="2" t="n">
        <v>4</v>
      </c>
      <c r="C8" s="10" t="n">
        <v>167153</v>
      </c>
      <c r="D8" s="11" t="n">
        <v>456938</v>
      </c>
      <c r="E8" s="11" t="n">
        <v>238580</v>
      </c>
      <c r="F8" s="11" t="n">
        <v>598726</v>
      </c>
      <c r="G8" s="12" t="n">
        <v>6168027</v>
      </c>
      <c r="H8" s="10" t="n">
        <v>50148</v>
      </c>
      <c r="I8" s="11" t="n">
        <v>495025</v>
      </c>
      <c r="J8" s="11" t="n">
        <v>312589</v>
      </c>
      <c r="K8" s="11" t="n">
        <v>588648</v>
      </c>
      <c r="L8" s="12" t="n">
        <v>6183014</v>
      </c>
      <c r="M8" s="10" t="n">
        <v>132466</v>
      </c>
      <c r="N8" s="11" t="n">
        <v>515535</v>
      </c>
      <c r="O8" s="11" t="n">
        <v>237723</v>
      </c>
      <c r="P8" s="11" t="n">
        <v>594384</v>
      </c>
      <c r="Q8" s="12" t="n">
        <v>6149316</v>
      </c>
    </row>
    <row r="9" customFormat="false" ht="15" hidden="false" customHeight="false" outlineLevel="0" collapsed="false">
      <c r="A9" s="2"/>
      <c r="B9" s="2" t="n">
        <v>5</v>
      </c>
      <c r="C9" s="10" t="n">
        <v>185732</v>
      </c>
      <c r="D9" s="11" t="n">
        <v>523087</v>
      </c>
      <c r="E9" s="11" t="n">
        <v>244352</v>
      </c>
      <c r="F9" s="11" t="n">
        <v>450089</v>
      </c>
      <c r="G9" s="12" t="n">
        <v>6226164</v>
      </c>
      <c r="H9" s="10" t="n">
        <v>58788</v>
      </c>
      <c r="I9" s="11" t="n">
        <v>596521</v>
      </c>
      <c r="J9" s="11" t="n">
        <v>313544</v>
      </c>
      <c r="K9" s="11" t="n">
        <v>414714</v>
      </c>
      <c r="L9" s="12" t="n">
        <v>6245857</v>
      </c>
      <c r="M9" s="10" t="n">
        <v>159056</v>
      </c>
      <c r="N9" s="11" t="n">
        <v>573059</v>
      </c>
      <c r="O9" s="11" t="n">
        <v>244665</v>
      </c>
      <c r="P9" s="11" t="n">
        <v>435879</v>
      </c>
      <c r="Q9" s="12" t="n">
        <v>6216765</v>
      </c>
    </row>
    <row r="10" customFormat="false" ht="15" hidden="false" customHeight="false" outlineLevel="0" collapsed="false">
      <c r="A10" s="2"/>
      <c r="B10" s="2" t="n">
        <v>6</v>
      </c>
      <c r="C10" s="10" t="n">
        <v>198442</v>
      </c>
      <c r="D10" s="11" t="n">
        <v>538469</v>
      </c>
      <c r="E10" s="11" t="n">
        <v>228795</v>
      </c>
      <c r="F10" s="11" t="n">
        <v>482917</v>
      </c>
      <c r="G10" s="12" t="n">
        <v>6180801</v>
      </c>
      <c r="H10" s="10" t="n">
        <v>53260</v>
      </c>
      <c r="I10" s="11" t="n">
        <v>633541</v>
      </c>
      <c r="J10" s="11" t="n">
        <v>302691</v>
      </c>
      <c r="K10" s="11" t="n">
        <v>431555</v>
      </c>
      <c r="L10" s="12" t="n">
        <v>6208377</v>
      </c>
      <c r="M10" s="10" t="n">
        <v>165019</v>
      </c>
      <c r="N10" s="11" t="n">
        <v>597240</v>
      </c>
      <c r="O10" s="11" t="n">
        <v>228949</v>
      </c>
      <c r="P10" s="11" t="n">
        <v>471692</v>
      </c>
      <c r="Q10" s="12" t="n">
        <v>6166524</v>
      </c>
    </row>
    <row r="11" customFormat="false" ht="15" hidden="false" customHeight="false" outlineLevel="0" collapsed="false">
      <c r="A11" s="2"/>
      <c r="B11" s="2" t="n">
        <v>7</v>
      </c>
      <c r="C11" s="10" t="n">
        <v>118781</v>
      </c>
      <c r="D11" s="11" t="n">
        <v>377628</v>
      </c>
      <c r="E11" s="11" t="n">
        <v>186464</v>
      </c>
      <c r="F11" s="11" t="n">
        <v>591097</v>
      </c>
      <c r="G11" s="12" t="n">
        <v>6355454</v>
      </c>
      <c r="H11" s="10" t="n">
        <v>26765</v>
      </c>
      <c r="I11" s="11" t="n">
        <v>399566</v>
      </c>
      <c r="J11" s="11" t="n">
        <v>235053</v>
      </c>
      <c r="K11" s="11" t="n">
        <v>583214</v>
      </c>
      <c r="L11" s="12" t="n">
        <v>6384826</v>
      </c>
      <c r="M11" s="10" t="n">
        <v>93426</v>
      </c>
      <c r="N11" s="11" t="n">
        <v>420369</v>
      </c>
      <c r="O11" s="11" t="n">
        <v>183919</v>
      </c>
      <c r="P11" s="11" t="n">
        <v>591714</v>
      </c>
      <c r="Q11" s="12" t="n">
        <v>6339996</v>
      </c>
    </row>
    <row r="12" customFormat="false" ht="15" hidden="false" customHeight="false" outlineLevel="0" collapsed="false">
      <c r="A12" s="2"/>
      <c r="B12" s="2" t="n">
        <v>8</v>
      </c>
      <c r="C12" s="10" t="n">
        <v>130662</v>
      </c>
      <c r="D12" s="11" t="n">
        <v>390460</v>
      </c>
      <c r="E12" s="11" t="n">
        <v>210617</v>
      </c>
      <c r="F12" s="11" t="n">
        <v>558542</v>
      </c>
      <c r="G12" s="12" t="n">
        <v>6339143</v>
      </c>
      <c r="H12" s="10" t="n">
        <v>32809</v>
      </c>
      <c r="I12" s="11" t="n">
        <v>414390</v>
      </c>
      <c r="J12" s="11" t="n">
        <v>272458</v>
      </c>
      <c r="K12" s="11" t="n">
        <v>553127</v>
      </c>
      <c r="L12" s="12" t="n">
        <v>6356640</v>
      </c>
      <c r="M12" s="10" t="n">
        <v>103684</v>
      </c>
      <c r="N12" s="11" t="n">
        <v>436679</v>
      </c>
      <c r="O12" s="11" t="n">
        <v>209014</v>
      </c>
      <c r="P12" s="11" t="n">
        <v>556013</v>
      </c>
      <c r="Q12" s="12" t="n">
        <v>6324034</v>
      </c>
    </row>
    <row r="13" customFormat="false" ht="15" hidden="false" customHeight="false" outlineLevel="0" collapsed="false">
      <c r="A13" s="2"/>
      <c r="B13" s="2" t="n">
        <v>9</v>
      </c>
      <c r="C13" s="10" t="n">
        <v>362552</v>
      </c>
      <c r="D13" s="11" t="n">
        <v>673197</v>
      </c>
      <c r="E13" s="11" t="n">
        <v>244873</v>
      </c>
      <c r="F13" s="11" t="n">
        <v>305288</v>
      </c>
      <c r="G13" s="12" t="n">
        <v>6043514</v>
      </c>
      <c r="H13" s="10" t="n">
        <v>144306</v>
      </c>
      <c r="I13" s="11" t="n">
        <v>873145</v>
      </c>
      <c r="J13" s="11" t="n">
        <v>310898</v>
      </c>
      <c r="K13" s="11" t="n">
        <v>232367</v>
      </c>
      <c r="L13" s="12" t="n">
        <v>6068708</v>
      </c>
      <c r="M13" s="10" t="n">
        <v>334386</v>
      </c>
      <c r="N13" s="11" t="n">
        <v>731111</v>
      </c>
      <c r="O13" s="11" t="n">
        <v>243504</v>
      </c>
      <c r="P13" s="11" t="n">
        <v>284353</v>
      </c>
      <c r="Q13" s="12" t="n">
        <v>6036070</v>
      </c>
    </row>
    <row r="14" customFormat="false" ht="15" hidden="false" customHeight="false" outlineLevel="0" collapsed="false">
      <c r="A14" s="2"/>
      <c r="B14" s="2" t="n">
        <v>10</v>
      </c>
      <c r="C14" s="10" t="n">
        <v>330003</v>
      </c>
      <c r="D14" s="11" t="n">
        <v>714400</v>
      </c>
      <c r="E14" s="11" t="n">
        <v>256107</v>
      </c>
      <c r="F14" s="11" t="n">
        <v>317744</v>
      </c>
      <c r="G14" s="12" t="n">
        <v>6011170</v>
      </c>
      <c r="H14" s="10" t="n">
        <v>141272</v>
      </c>
      <c r="I14" s="11" t="n">
        <v>899446</v>
      </c>
      <c r="J14" s="11" t="n">
        <v>312120</v>
      </c>
      <c r="K14" s="11" t="n">
        <v>247803</v>
      </c>
      <c r="L14" s="12" t="n">
        <v>6028783</v>
      </c>
      <c r="M14" s="10" t="n">
        <v>303415</v>
      </c>
      <c r="N14" s="11" t="n">
        <v>768751</v>
      </c>
      <c r="O14" s="11" t="n">
        <v>255394</v>
      </c>
      <c r="P14" s="11" t="n">
        <v>297016</v>
      </c>
      <c r="Q14" s="12" t="n">
        <v>6004848</v>
      </c>
    </row>
    <row r="15" customFormat="false" ht="15" hidden="false" customHeight="false" outlineLevel="0" collapsed="false">
      <c r="A15" s="2"/>
      <c r="B15" s="2" t="n">
        <v>11</v>
      </c>
      <c r="C15" s="10" t="n">
        <v>427684</v>
      </c>
      <c r="D15" s="11" t="n">
        <v>703934</v>
      </c>
      <c r="E15" s="11" t="n">
        <v>220812</v>
      </c>
      <c r="F15" s="11" t="n">
        <v>246660</v>
      </c>
      <c r="G15" s="12" t="n">
        <v>6030334</v>
      </c>
      <c r="H15" s="10" t="n">
        <v>226334</v>
      </c>
      <c r="I15" s="11" t="n">
        <v>914853</v>
      </c>
      <c r="J15" s="11" t="n">
        <v>253357</v>
      </c>
      <c r="K15" s="11" t="n">
        <v>184631</v>
      </c>
      <c r="L15" s="12" t="n">
        <v>6050249</v>
      </c>
      <c r="M15" s="10" t="n">
        <v>405951</v>
      </c>
      <c r="N15" s="11" t="n">
        <v>754506</v>
      </c>
      <c r="O15" s="11" t="n">
        <v>217445</v>
      </c>
      <c r="P15" s="11" t="n">
        <v>226822</v>
      </c>
      <c r="Q15" s="12" t="n">
        <v>6024700</v>
      </c>
    </row>
    <row r="16" customFormat="false" ht="15" hidden="false" customHeight="false" outlineLevel="0" collapsed="false">
      <c r="A16" s="2"/>
      <c r="B16" s="2" t="n">
        <v>12</v>
      </c>
      <c r="C16" s="10" t="n">
        <v>240604</v>
      </c>
      <c r="D16" s="11" t="n">
        <v>648983</v>
      </c>
      <c r="E16" s="11" t="n">
        <v>251510</v>
      </c>
      <c r="F16" s="11" t="n">
        <v>402642</v>
      </c>
      <c r="G16" s="12" t="n">
        <v>6085685</v>
      </c>
      <c r="H16" s="10" t="n">
        <v>73642</v>
      </c>
      <c r="I16" s="11" t="n">
        <v>791676</v>
      </c>
      <c r="J16" s="11" t="n">
        <v>322906</v>
      </c>
      <c r="K16" s="11" t="n">
        <v>337822</v>
      </c>
      <c r="L16" s="12" t="n">
        <v>6103378</v>
      </c>
      <c r="M16" s="10" t="n">
        <v>206964</v>
      </c>
      <c r="N16" s="11" t="n">
        <v>710263</v>
      </c>
      <c r="O16" s="11" t="n">
        <v>251583</v>
      </c>
      <c r="P16" s="11" t="n">
        <v>386120</v>
      </c>
      <c r="Q16" s="12" t="n">
        <v>6074494</v>
      </c>
    </row>
    <row r="17" customFormat="false" ht="15" hidden="false" customHeight="false" outlineLevel="0" collapsed="false">
      <c r="A17" s="2"/>
      <c r="B17" s="2" t="n">
        <v>13</v>
      </c>
      <c r="C17" s="10" t="n">
        <v>549164</v>
      </c>
      <c r="D17" s="11" t="n">
        <v>649617</v>
      </c>
      <c r="E17" s="11" t="n">
        <v>175319</v>
      </c>
      <c r="F17" s="11" t="n">
        <v>220871</v>
      </c>
      <c r="G17" s="12" t="n">
        <v>6034453</v>
      </c>
      <c r="H17" s="10" t="n">
        <v>327450</v>
      </c>
      <c r="I17" s="11" t="n">
        <v>876384</v>
      </c>
      <c r="J17" s="11" t="n">
        <v>190236</v>
      </c>
      <c r="K17" s="11" t="n">
        <v>173029</v>
      </c>
      <c r="L17" s="12" t="n">
        <v>6062325</v>
      </c>
      <c r="M17" s="10" t="n">
        <v>529021</v>
      </c>
      <c r="N17" s="11" t="n">
        <v>704701</v>
      </c>
      <c r="O17" s="11" t="n">
        <v>170567</v>
      </c>
      <c r="P17" s="11" t="n">
        <v>197030</v>
      </c>
      <c r="Q17" s="12" t="n">
        <v>6028105</v>
      </c>
    </row>
    <row r="18" customFormat="false" ht="15" hidden="false" customHeight="false" outlineLevel="0" collapsed="false">
      <c r="A18" s="2"/>
      <c r="B18" s="2" t="n">
        <v>14</v>
      </c>
      <c r="C18" s="10" t="n">
        <v>447833</v>
      </c>
      <c r="D18" s="11" t="n">
        <v>692205</v>
      </c>
      <c r="E18" s="11" t="n">
        <v>175631</v>
      </c>
      <c r="F18" s="11" t="n">
        <v>255904</v>
      </c>
      <c r="G18" s="12" t="n">
        <v>6057851</v>
      </c>
      <c r="H18" s="10" t="n">
        <v>241303</v>
      </c>
      <c r="I18" s="11" t="n">
        <v>919478</v>
      </c>
      <c r="J18" s="11" t="n">
        <v>192445</v>
      </c>
      <c r="K18" s="11" t="n">
        <v>195326</v>
      </c>
      <c r="L18" s="12" t="n">
        <v>6080872</v>
      </c>
      <c r="M18" s="10" t="n">
        <v>424136</v>
      </c>
      <c r="N18" s="11" t="n">
        <v>749934</v>
      </c>
      <c r="O18" s="11" t="n">
        <v>171673</v>
      </c>
      <c r="P18" s="11" t="n">
        <v>231703</v>
      </c>
      <c r="Q18" s="12" t="n">
        <v>6051978</v>
      </c>
    </row>
    <row r="19" customFormat="false" ht="15" hidden="false" customHeight="false" outlineLevel="0" collapsed="false">
      <c r="A19" s="2"/>
      <c r="B19" s="2" t="n">
        <v>15</v>
      </c>
      <c r="C19" s="10" t="n">
        <v>134942</v>
      </c>
      <c r="D19" s="11" t="n">
        <v>438732</v>
      </c>
      <c r="E19" s="11" t="n">
        <v>196609</v>
      </c>
      <c r="F19" s="11" t="n">
        <v>573676</v>
      </c>
      <c r="G19" s="12" t="n">
        <v>6285465</v>
      </c>
      <c r="H19" s="10" t="n">
        <v>29416</v>
      </c>
      <c r="I19" s="11" t="n">
        <v>472671</v>
      </c>
      <c r="J19" s="11" t="n">
        <v>254102</v>
      </c>
      <c r="K19" s="11" t="n">
        <v>576086</v>
      </c>
      <c r="L19" s="12" t="n">
        <v>6297149</v>
      </c>
      <c r="M19" s="10" t="n">
        <v>104134</v>
      </c>
      <c r="N19" s="11" t="n">
        <v>489452</v>
      </c>
      <c r="O19" s="11" t="n">
        <v>196199</v>
      </c>
      <c r="P19" s="11" t="n">
        <v>571679</v>
      </c>
      <c r="Q19" s="12" t="n">
        <v>6267960</v>
      </c>
    </row>
    <row r="20" customFormat="false" ht="15" hidden="false" customHeight="false" outlineLevel="0" collapsed="false">
      <c r="A20" s="2"/>
      <c r="B20" s="2" t="n">
        <v>16</v>
      </c>
      <c r="C20" s="10" t="n">
        <v>411476</v>
      </c>
      <c r="D20" s="11" t="n">
        <v>702683</v>
      </c>
      <c r="E20" s="11" t="n">
        <v>166709</v>
      </c>
      <c r="F20" s="11" t="n">
        <v>235357</v>
      </c>
      <c r="G20" s="12" t="n">
        <v>6113199</v>
      </c>
      <c r="H20" s="10" t="n">
        <v>211466</v>
      </c>
      <c r="I20" s="11" t="n">
        <v>920971</v>
      </c>
      <c r="J20" s="11" t="n">
        <v>185039</v>
      </c>
      <c r="K20" s="11" t="n">
        <v>178867</v>
      </c>
      <c r="L20" s="12" t="n">
        <v>6133081</v>
      </c>
      <c r="M20" s="10" t="n">
        <v>390785</v>
      </c>
      <c r="N20" s="11" t="n">
        <v>751880</v>
      </c>
      <c r="O20" s="11" t="n">
        <v>163223</v>
      </c>
      <c r="P20" s="11" t="n">
        <v>215522</v>
      </c>
      <c r="Q20" s="12" t="n">
        <v>6108014</v>
      </c>
    </row>
    <row r="21" customFormat="false" ht="15" hidden="false" customHeight="false" outlineLevel="0" collapsed="false">
      <c r="A21" s="2"/>
      <c r="B21" s="2" t="n">
        <v>17</v>
      </c>
      <c r="C21" s="10" t="n">
        <v>252833</v>
      </c>
      <c r="D21" s="11" t="n">
        <v>574142</v>
      </c>
      <c r="E21" s="11" t="n">
        <v>179755</v>
      </c>
      <c r="F21" s="11" t="n">
        <v>389187</v>
      </c>
      <c r="G21" s="12" t="n">
        <v>6233507</v>
      </c>
      <c r="H21" s="10" t="n">
        <v>98710</v>
      </c>
      <c r="I21" s="11" t="n">
        <v>759803</v>
      </c>
      <c r="J21" s="11" t="n">
        <v>208648</v>
      </c>
      <c r="K21" s="11" t="n">
        <v>314242</v>
      </c>
      <c r="L21" s="12" t="n">
        <v>6248021</v>
      </c>
      <c r="M21" s="10" t="n">
        <v>206316</v>
      </c>
      <c r="N21" s="11" t="n">
        <v>662692</v>
      </c>
      <c r="O21" s="11" t="n">
        <v>179945</v>
      </c>
      <c r="P21" s="11" t="n">
        <v>359939</v>
      </c>
      <c r="Q21" s="12" t="n">
        <v>6220532</v>
      </c>
    </row>
    <row r="22" customFormat="false" ht="15" hidden="false" customHeight="false" outlineLevel="0" collapsed="false">
      <c r="A22" s="2"/>
      <c r="B22" s="2" t="n">
        <v>18</v>
      </c>
      <c r="C22" s="10" t="n">
        <v>100299</v>
      </c>
      <c r="D22" s="11" t="n">
        <v>331402</v>
      </c>
      <c r="E22" s="11" t="n">
        <v>198725</v>
      </c>
      <c r="F22" s="11" t="n">
        <v>657649</v>
      </c>
      <c r="G22" s="12" t="n">
        <v>6341349</v>
      </c>
      <c r="H22" s="10" t="n">
        <v>18842</v>
      </c>
      <c r="I22" s="11" t="n">
        <v>310660</v>
      </c>
      <c r="J22" s="11" t="n">
        <v>259514</v>
      </c>
      <c r="K22" s="11" t="n">
        <v>707336</v>
      </c>
      <c r="L22" s="12" t="n">
        <v>6333072</v>
      </c>
      <c r="M22" s="10" t="n">
        <v>74301</v>
      </c>
      <c r="N22" s="11" t="n">
        <v>372274</v>
      </c>
      <c r="O22" s="11" t="n">
        <v>197566</v>
      </c>
      <c r="P22" s="11" t="n">
        <v>661453</v>
      </c>
      <c r="Q22" s="12" t="n">
        <v>6323830</v>
      </c>
    </row>
    <row r="23" customFormat="false" ht="15" hidden="false" customHeight="false" outlineLevel="0" collapsed="false">
      <c r="A23" s="2"/>
      <c r="B23" s="2" t="n">
        <v>19</v>
      </c>
      <c r="C23" s="10" t="n">
        <v>143119</v>
      </c>
      <c r="D23" s="11" t="n">
        <v>516300</v>
      </c>
      <c r="E23" s="11" t="n">
        <v>213041</v>
      </c>
      <c r="F23" s="11" t="n">
        <v>486794</v>
      </c>
      <c r="G23" s="12" t="n">
        <v>6270170</v>
      </c>
      <c r="H23" s="10" t="n">
        <v>38418</v>
      </c>
      <c r="I23" s="11" t="n">
        <v>590371</v>
      </c>
      <c r="J23" s="11" t="n">
        <v>279718</v>
      </c>
      <c r="K23" s="11" t="n">
        <v>446898</v>
      </c>
      <c r="L23" s="12" t="n">
        <v>6274019</v>
      </c>
      <c r="M23" s="10" t="n">
        <v>117485</v>
      </c>
      <c r="N23" s="11" t="n">
        <v>563595</v>
      </c>
      <c r="O23" s="11" t="n">
        <v>212938</v>
      </c>
      <c r="P23" s="11" t="n">
        <v>476003</v>
      </c>
      <c r="Q23" s="12" t="n">
        <v>6259403</v>
      </c>
    </row>
    <row r="24" customFormat="false" ht="15" hidden="false" customHeight="false" outlineLevel="0" collapsed="false">
      <c r="A24" s="2"/>
      <c r="B24" s="2" t="n">
        <v>20</v>
      </c>
      <c r="C24" s="10" t="n">
        <v>118156</v>
      </c>
      <c r="D24" s="11" t="n">
        <v>507819</v>
      </c>
      <c r="E24" s="11" t="n">
        <v>216687</v>
      </c>
      <c r="F24" s="11" t="n">
        <v>507877</v>
      </c>
      <c r="G24" s="12" t="n">
        <v>6278885</v>
      </c>
      <c r="H24" s="10" t="n">
        <v>23626</v>
      </c>
      <c r="I24" s="11" t="n">
        <v>560463</v>
      </c>
      <c r="J24" s="11" t="n">
        <v>286750</v>
      </c>
      <c r="K24" s="11" t="n">
        <v>477325</v>
      </c>
      <c r="L24" s="12" t="n">
        <v>6281260</v>
      </c>
      <c r="M24" s="10" t="n">
        <v>97529</v>
      </c>
      <c r="N24" s="11" t="n">
        <v>548012</v>
      </c>
      <c r="O24" s="11" t="n">
        <v>216418</v>
      </c>
      <c r="P24" s="11" t="n">
        <v>497080</v>
      </c>
      <c r="Q24" s="12" t="n">
        <v>6270385</v>
      </c>
    </row>
    <row r="25" customFormat="false" ht="15" hidden="false" customHeight="false" outlineLevel="0" collapsed="false">
      <c r="A25" s="2"/>
      <c r="B25" s="2" t="n">
        <v>21</v>
      </c>
      <c r="C25" s="10" t="n">
        <v>354965</v>
      </c>
      <c r="D25" s="11" t="n">
        <v>629222</v>
      </c>
      <c r="E25" s="11" t="n">
        <v>168511</v>
      </c>
      <c r="F25" s="11" t="n">
        <v>227154</v>
      </c>
      <c r="G25" s="12" t="n">
        <v>6249572</v>
      </c>
      <c r="H25" s="10" t="n">
        <v>162538</v>
      </c>
      <c r="I25" s="11" t="n">
        <v>824443</v>
      </c>
      <c r="J25" s="11" t="n">
        <v>207815</v>
      </c>
      <c r="K25" s="11" t="n">
        <v>166902</v>
      </c>
      <c r="L25" s="12" t="n">
        <v>6267726</v>
      </c>
      <c r="M25" s="10" t="n">
        <v>331555</v>
      </c>
      <c r="N25" s="11" t="n">
        <v>680335</v>
      </c>
      <c r="O25" s="11" t="n">
        <v>167076</v>
      </c>
      <c r="P25" s="11" t="n">
        <v>205927</v>
      </c>
      <c r="Q25" s="12" t="n">
        <v>6244531</v>
      </c>
    </row>
    <row r="26" customFormat="false" ht="15" hidden="false" customHeight="false" outlineLevel="0" collapsed="false">
      <c r="A26" s="2"/>
      <c r="B26" s="2" t="n">
        <v>22</v>
      </c>
      <c r="C26" s="10" t="n">
        <v>130951</v>
      </c>
      <c r="D26" s="11" t="n">
        <v>444126</v>
      </c>
      <c r="E26" s="11" t="n">
        <v>205148</v>
      </c>
      <c r="F26" s="11" t="n">
        <v>528524</v>
      </c>
      <c r="G26" s="12" t="n">
        <v>6320675</v>
      </c>
      <c r="H26" s="10" t="n">
        <v>35235</v>
      </c>
      <c r="I26" s="11" t="n">
        <v>487123</v>
      </c>
      <c r="J26" s="11" t="n">
        <v>269074</v>
      </c>
      <c r="K26" s="11" t="n">
        <v>515339</v>
      </c>
      <c r="L26" s="12" t="n">
        <v>6322653</v>
      </c>
      <c r="M26" s="10" t="n">
        <v>106120</v>
      </c>
      <c r="N26" s="11" t="n">
        <v>490694</v>
      </c>
      <c r="O26" s="11" t="n">
        <v>204771</v>
      </c>
      <c r="P26" s="11" t="n">
        <v>516956</v>
      </c>
      <c r="Q26" s="12" t="n">
        <v>6310883</v>
      </c>
    </row>
    <row r="27" customFormat="false" ht="15" hidden="false" customHeight="false" outlineLevel="0" collapsed="false">
      <c r="A27" s="2"/>
      <c r="B27" s="2" t="n">
        <v>23</v>
      </c>
      <c r="C27" s="10" t="n">
        <v>121735</v>
      </c>
      <c r="D27" s="11" t="n">
        <v>448740</v>
      </c>
      <c r="E27" s="11" t="n">
        <v>202338</v>
      </c>
      <c r="F27" s="11" t="n">
        <v>492507</v>
      </c>
      <c r="G27" s="12" t="n">
        <v>6364104</v>
      </c>
      <c r="H27" s="10" t="n">
        <v>33197</v>
      </c>
      <c r="I27" s="11" t="n">
        <v>493488</v>
      </c>
      <c r="J27" s="11" t="n">
        <v>264806</v>
      </c>
      <c r="K27" s="11" t="n">
        <v>470350</v>
      </c>
      <c r="L27" s="12" t="n">
        <v>6367583</v>
      </c>
      <c r="M27" s="10" t="n">
        <v>98426</v>
      </c>
      <c r="N27" s="11" t="n">
        <v>493251</v>
      </c>
      <c r="O27" s="11" t="n">
        <v>202351</v>
      </c>
      <c r="P27" s="11" t="n">
        <v>479618</v>
      </c>
      <c r="Q27" s="12" t="n">
        <v>6355778</v>
      </c>
    </row>
    <row r="28" customFormat="false" ht="15" hidden="false" customHeight="false" outlineLevel="0" collapsed="false">
      <c r="A28" s="2"/>
      <c r="B28" s="2" t="n">
        <v>24</v>
      </c>
      <c r="C28" s="10" t="n">
        <v>299034</v>
      </c>
      <c r="D28" s="11" t="n">
        <v>602949</v>
      </c>
      <c r="E28" s="11" t="n">
        <v>163299</v>
      </c>
      <c r="F28" s="11" t="n">
        <v>260153</v>
      </c>
      <c r="G28" s="12" t="n">
        <v>6303989</v>
      </c>
      <c r="H28" s="10" t="n">
        <v>130115</v>
      </c>
      <c r="I28" s="11" t="n">
        <v>781822</v>
      </c>
      <c r="J28" s="11" t="n">
        <v>194480</v>
      </c>
      <c r="K28" s="11" t="n">
        <v>206294</v>
      </c>
      <c r="L28" s="12" t="n">
        <v>6316713</v>
      </c>
      <c r="M28" s="10" t="n">
        <v>273802</v>
      </c>
      <c r="N28" s="11" t="n">
        <v>655715</v>
      </c>
      <c r="O28" s="11" t="n">
        <v>162644</v>
      </c>
      <c r="P28" s="11" t="n">
        <v>238528</v>
      </c>
      <c r="Q28" s="12" t="n">
        <v>6298735</v>
      </c>
    </row>
    <row r="29" customFormat="false" ht="15" hidden="false" customHeight="false" outlineLevel="0" collapsed="false">
      <c r="A29" s="2"/>
      <c r="B29" s="2" t="n">
        <v>25</v>
      </c>
      <c r="C29" s="10" t="n">
        <v>128823</v>
      </c>
      <c r="D29" s="11" t="n">
        <v>344982</v>
      </c>
      <c r="E29" s="11" t="n">
        <v>163394</v>
      </c>
      <c r="F29" s="11" t="n">
        <v>570139</v>
      </c>
      <c r="G29" s="12" t="n">
        <v>6422086</v>
      </c>
      <c r="H29" s="10" t="n">
        <v>39900</v>
      </c>
      <c r="I29" s="11" t="n">
        <v>361898</v>
      </c>
      <c r="J29" s="11" t="n">
        <v>208870</v>
      </c>
      <c r="K29" s="11" t="n">
        <v>606109</v>
      </c>
      <c r="L29" s="12" t="n">
        <v>6412647</v>
      </c>
      <c r="M29" s="10" t="n">
        <v>99068</v>
      </c>
      <c r="N29" s="11" t="n">
        <v>394088</v>
      </c>
      <c r="O29" s="11" t="n">
        <v>162467</v>
      </c>
      <c r="P29" s="11" t="n">
        <v>568439</v>
      </c>
      <c r="Q29" s="12" t="n">
        <v>6405362</v>
      </c>
    </row>
    <row r="30" customFormat="false" ht="15" hidden="false" customHeight="false" outlineLevel="0" collapsed="false">
      <c r="A30" s="2"/>
      <c r="B30" s="2" t="n">
        <v>26</v>
      </c>
      <c r="C30" s="10" t="n">
        <v>122050</v>
      </c>
      <c r="D30" s="11" t="n">
        <v>392970</v>
      </c>
      <c r="E30" s="11" t="n">
        <v>181299</v>
      </c>
      <c r="F30" s="11" t="n">
        <v>513497</v>
      </c>
      <c r="G30" s="12" t="n">
        <v>6419608</v>
      </c>
      <c r="H30" s="10" t="n">
        <v>32038</v>
      </c>
      <c r="I30" s="11" t="n">
        <v>426671</v>
      </c>
      <c r="J30" s="11" t="n">
        <v>235532</v>
      </c>
      <c r="K30" s="11" t="n">
        <v>516272</v>
      </c>
      <c r="L30" s="12" t="n">
        <v>6418911</v>
      </c>
      <c r="M30" s="10" t="n">
        <v>95192</v>
      </c>
      <c r="N30" s="11" t="n">
        <v>439593</v>
      </c>
      <c r="O30" s="11" t="n">
        <v>180950</v>
      </c>
      <c r="P30" s="11" t="n">
        <v>507084</v>
      </c>
      <c r="Q30" s="12" t="n">
        <v>6406605</v>
      </c>
    </row>
    <row r="31" customFormat="false" ht="15" hidden="false" customHeight="false" outlineLevel="0" collapsed="false">
      <c r="A31" s="2"/>
      <c r="B31" s="2" t="n">
        <v>27</v>
      </c>
      <c r="C31" s="10" t="n">
        <v>210744</v>
      </c>
      <c r="D31" s="11" t="n">
        <v>441913</v>
      </c>
      <c r="E31" s="11" t="n">
        <v>140968</v>
      </c>
      <c r="F31" s="11" t="n">
        <v>375138</v>
      </c>
      <c r="G31" s="12" t="n">
        <v>6460661</v>
      </c>
      <c r="H31" s="10" t="n">
        <v>91271</v>
      </c>
      <c r="I31" s="11" t="n">
        <v>560790</v>
      </c>
      <c r="J31" s="11" t="n">
        <v>159555</v>
      </c>
      <c r="K31" s="11" t="n">
        <v>333799</v>
      </c>
      <c r="L31" s="12" t="n">
        <v>6484009</v>
      </c>
      <c r="M31" s="10" t="n">
        <v>166664</v>
      </c>
      <c r="N31" s="11" t="n">
        <v>521589</v>
      </c>
      <c r="O31" s="11" t="n">
        <v>140279</v>
      </c>
      <c r="P31" s="11" t="n">
        <v>356513</v>
      </c>
      <c r="Q31" s="12" t="n">
        <v>6444379</v>
      </c>
    </row>
    <row r="32" customFormat="false" ht="15" hidden="false" customHeight="false" outlineLevel="0" collapsed="false">
      <c r="A32" s="2"/>
      <c r="B32" s="2" t="n">
        <v>28</v>
      </c>
      <c r="C32" s="10" t="n">
        <v>101942</v>
      </c>
      <c r="D32" s="11" t="n">
        <v>179777</v>
      </c>
      <c r="E32" s="11" t="n">
        <v>101462</v>
      </c>
      <c r="F32" s="11" t="n">
        <v>507269</v>
      </c>
      <c r="G32" s="12" t="n">
        <v>6738974</v>
      </c>
      <c r="H32" s="10" t="n">
        <v>41114</v>
      </c>
      <c r="I32" s="11" t="n">
        <v>143984</v>
      </c>
      <c r="J32" s="11" t="n">
        <v>113927</v>
      </c>
      <c r="K32" s="11" t="n">
        <v>614013</v>
      </c>
      <c r="L32" s="12" t="n">
        <v>6716386</v>
      </c>
      <c r="M32" s="10" t="n">
        <v>66521</v>
      </c>
      <c r="N32" s="11" t="n">
        <v>223454</v>
      </c>
      <c r="O32" s="11" t="n">
        <v>98632</v>
      </c>
      <c r="P32" s="11" t="n">
        <v>534512</v>
      </c>
      <c r="Q32" s="12" t="n">
        <v>6706305</v>
      </c>
    </row>
    <row r="33" customFormat="false" ht="15" hidden="false" customHeight="false" outlineLevel="0" collapsed="false">
      <c r="A33" s="2"/>
      <c r="B33" s="2" t="n">
        <v>29</v>
      </c>
      <c r="C33" s="10" t="n">
        <v>165957</v>
      </c>
      <c r="D33" s="11" t="n">
        <v>330080</v>
      </c>
      <c r="E33" s="11" t="n">
        <v>130762</v>
      </c>
      <c r="F33" s="11" t="n">
        <v>474420</v>
      </c>
      <c r="G33" s="12" t="n">
        <v>6528205</v>
      </c>
      <c r="H33" s="10" t="n">
        <v>57851</v>
      </c>
      <c r="I33" s="11" t="n">
        <v>376474</v>
      </c>
      <c r="J33" s="11" t="n">
        <v>155739</v>
      </c>
      <c r="K33" s="11" t="n">
        <v>506147</v>
      </c>
      <c r="L33" s="12" t="n">
        <v>6533213</v>
      </c>
      <c r="M33" s="10" t="n">
        <v>114240</v>
      </c>
      <c r="N33" s="11" t="n">
        <v>408763</v>
      </c>
      <c r="O33" s="11" t="n">
        <v>129595</v>
      </c>
      <c r="P33" s="11" t="n">
        <v>479617</v>
      </c>
      <c r="Q33" s="12" t="n">
        <v>6497209</v>
      </c>
    </row>
    <row r="34" customFormat="false" ht="15" hidden="false" customHeight="false" outlineLevel="0" collapsed="false">
      <c r="A34" s="2"/>
      <c r="B34" s="2" t="n">
        <v>30</v>
      </c>
      <c r="C34" s="10" t="n">
        <v>290179</v>
      </c>
      <c r="D34" s="11" t="n">
        <v>509279</v>
      </c>
      <c r="E34" s="11" t="n">
        <v>132823</v>
      </c>
      <c r="F34" s="11" t="n">
        <v>192071</v>
      </c>
      <c r="G34" s="12" t="n">
        <v>6505072</v>
      </c>
      <c r="H34" s="10" t="n">
        <v>120983</v>
      </c>
      <c r="I34" s="11" t="n">
        <v>667264</v>
      </c>
      <c r="J34" s="11" t="n">
        <v>167899</v>
      </c>
      <c r="K34" s="11" t="n">
        <v>144088</v>
      </c>
      <c r="L34" s="12" t="n">
        <v>6529190</v>
      </c>
      <c r="M34" s="10" t="n">
        <v>270187</v>
      </c>
      <c r="N34" s="11" t="n">
        <v>552856</v>
      </c>
      <c r="O34" s="11" t="n">
        <v>131845</v>
      </c>
      <c r="P34" s="11" t="n">
        <v>174032</v>
      </c>
      <c r="Q34" s="12" t="n">
        <v>6500504</v>
      </c>
    </row>
    <row r="35" customFormat="false" ht="15" hidden="false" customHeight="false" outlineLevel="0" collapsed="false">
      <c r="A35" s="2"/>
      <c r="B35" s="13" t="n">
        <v>31</v>
      </c>
      <c r="C35" s="10" t="n">
        <v>81739</v>
      </c>
      <c r="D35" s="11" t="n">
        <v>162095</v>
      </c>
      <c r="E35" s="11" t="n">
        <v>120391</v>
      </c>
      <c r="F35" s="11" t="n">
        <v>591240</v>
      </c>
      <c r="G35" s="12" t="n">
        <v>6673959</v>
      </c>
      <c r="H35" s="10" t="n">
        <v>20879</v>
      </c>
      <c r="I35" s="11" t="n">
        <v>109615</v>
      </c>
      <c r="J35" s="11" t="n">
        <v>141909</v>
      </c>
      <c r="K35" s="11" t="n">
        <v>707839</v>
      </c>
      <c r="L35" s="12" t="n">
        <v>6649182</v>
      </c>
      <c r="M35" s="10" t="n">
        <v>57615</v>
      </c>
      <c r="N35" s="11" t="n">
        <v>192008</v>
      </c>
      <c r="O35" s="11" t="n">
        <v>118240</v>
      </c>
      <c r="P35" s="11" t="n">
        <v>611888</v>
      </c>
      <c r="Q35" s="12" t="n">
        <v>6649673</v>
      </c>
    </row>
    <row r="36" customFormat="false" ht="15" hidden="false" customHeight="false" outlineLevel="0" collapsed="false">
      <c r="A36" s="2"/>
      <c r="B36" s="2" t="n">
        <v>32</v>
      </c>
      <c r="C36" s="10" t="n">
        <v>100181</v>
      </c>
      <c r="D36" s="11" t="n">
        <v>295211</v>
      </c>
      <c r="E36" s="11" t="n">
        <v>155197</v>
      </c>
      <c r="F36" s="11" t="n">
        <v>512312</v>
      </c>
      <c r="G36" s="12" t="n">
        <v>6566523</v>
      </c>
      <c r="H36" s="10" t="n">
        <v>13159</v>
      </c>
      <c r="I36" s="11" t="n">
        <v>301158</v>
      </c>
      <c r="J36" s="11" t="n">
        <v>211062</v>
      </c>
      <c r="K36" s="11" t="n">
        <v>545057</v>
      </c>
      <c r="L36" s="12" t="n">
        <v>6558988</v>
      </c>
      <c r="M36" s="10" t="n">
        <v>75080</v>
      </c>
      <c r="N36" s="11" t="n">
        <v>336585</v>
      </c>
      <c r="O36" s="11" t="n">
        <v>154858</v>
      </c>
      <c r="P36" s="11" t="n">
        <v>510158</v>
      </c>
      <c r="Q36" s="12" t="n">
        <v>6552743</v>
      </c>
    </row>
    <row r="37" customFormat="false" ht="15" hidden="false" customHeight="false" outlineLevel="0" collapsed="false">
      <c r="A37" s="2"/>
      <c r="B37" s="2" t="s">
        <v>13</v>
      </c>
      <c r="C37" s="14" t="n">
        <f aca="false">SUM(C4:C36)</f>
        <v>7483998</v>
      </c>
      <c r="D37" s="15" t="n">
        <f aca="false">SUM(D4:D36)</f>
        <v>16373464</v>
      </c>
      <c r="E37" s="15" t="n">
        <f aca="false">SUM(E4:E36)</f>
        <v>6478497</v>
      </c>
      <c r="F37" s="15" t="n">
        <f aca="false">SUM(F4:F36)</f>
        <v>14433223</v>
      </c>
      <c r="G37" s="16" t="n">
        <f aca="false">SUM(G4:G36)</f>
        <v>207001810</v>
      </c>
      <c r="H37" s="14" t="n">
        <f aca="false">SUM(H4:H36)</f>
        <v>3195615</v>
      </c>
      <c r="I37" s="15" t="n">
        <f aca="false">SUM(I4:I36)</f>
        <v>19262524</v>
      </c>
      <c r="J37" s="15" t="n">
        <f aca="false">SUM(J4:J36)</f>
        <v>8102195</v>
      </c>
      <c r="K37" s="15" t="n">
        <f aca="false">SUM(K4:K36)</f>
        <v>13848332</v>
      </c>
      <c r="L37" s="16" t="n">
        <f aca="false">SUM(L4:L36)</f>
        <v>207362326</v>
      </c>
      <c r="M37" s="14" t="n">
        <f aca="false">SUM(M4:M36)</f>
        <v>6569762</v>
      </c>
      <c r="N37" s="15" t="n">
        <f aca="false">SUM(N4:N36)</f>
        <v>18045568</v>
      </c>
      <c r="O37" s="15" t="n">
        <f aca="false">SUM(O4:O36)</f>
        <v>6443841</v>
      </c>
      <c r="P37" s="15" t="n">
        <f aca="false">SUM(P4:P36)</f>
        <v>14120645</v>
      </c>
      <c r="Q37" s="16" t="n">
        <f aca="false">SUM(Q4:Q36)</f>
        <v>206591176</v>
      </c>
    </row>
    <row r="42" customFormat="false" ht="15" hidden="false" customHeight="false" outlineLevel="0" collapsed="false">
      <c r="A42" s="1"/>
      <c r="B42" s="2" t="s">
        <v>0</v>
      </c>
      <c r="C42" s="17" t="s">
        <v>14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customFormat="false" ht="15" hidden="false" customHeight="false" outlineLevel="0" collapsed="false">
      <c r="A43" s="1"/>
      <c r="B43" s="2"/>
      <c r="C43" s="18" t="s">
        <v>4</v>
      </c>
      <c r="D43" s="18"/>
      <c r="E43" s="18"/>
      <c r="F43" s="18"/>
      <c r="G43" s="18"/>
      <c r="H43" s="18"/>
      <c r="I43" s="19" t="s">
        <v>5</v>
      </c>
      <c r="J43" s="19"/>
      <c r="K43" s="19"/>
      <c r="L43" s="19"/>
      <c r="M43" s="19"/>
      <c r="N43" s="19"/>
    </row>
    <row r="44" customFormat="false" ht="15" hidden="false" customHeight="false" outlineLevel="0" collapsed="false">
      <c r="A44" s="2" t="s">
        <v>7</v>
      </c>
      <c r="B44" s="2"/>
      <c r="C44" s="5" t="s">
        <v>8</v>
      </c>
      <c r="D44" s="6" t="s">
        <v>9</v>
      </c>
      <c r="E44" s="7" t="s">
        <v>10</v>
      </c>
      <c r="F44" s="8" t="s">
        <v>11</v>
      </c>
      <c r="G44" s="9" t="s">
        <v>12</v>
      </c>
      <c r="H44" s="20"/>
      <c r="I44" s="5" t="s">
        <v>8</v>
      </c>
      <c r="J44" s="6" t="s">
        <v>9</v>
      </c>
      <c r="K44" s="7" t="s">
        <v>10</v>
      </c>
      <c r="L44" s="8" t="s">
        <v>11</v>
      </c>
      <c r="M44" s="9" t="s">
        <v>12</v>
      </c>
      <c r="N44" s="20"/>
    </row>
    <row r="45" customFormat="false" ht="15" hidden="false" customHeight="false" outlineLevel="0" collapsed="false">
      <c r="A45" s="2"/>
      <c r="B45" s="2" t="n">
        <v>0</v>
      </c>
      <c r="C45" s="21" t="n">
        <f aca="false">(ABS(C4-H4)/C4)*100</f>
        <v>0</v>
      </c>
      <c r="D45" s="22" t="n">
        <f aca="false">(ABS(D4-I4)/D4)*100</f>
        <v>0</v>
      </c>
      <c r="E45" s="22" t="n">
        <f aca="false">(ABS(E4-J4)/E4)*100</f>
        <v>0</v>
      </c>
      <c r="F45" s="22" t="n">
        <f aca="false">(ABS(F4-K4)/F4)*100</f>
        <v>0</v>
      </c>
      <c r="G45" s="23" t="n">
        <f aca="false">(ABS(G4-L4)/G4)*100</f>
        <v>0</v>
      </c>
      <c r="H45" s="20"/>
      <c r="I45" s="24" t="n">
        <f aca="false">(ABS(C4-M4)/C4)*100</f>
        <v>0</v>
      </c>
      <c r="J45" s="24" t="n">
        <f aca="false">(ABS(D4-N4)/D4)*100</f>
        <v>0</v>
      </c>
      <c r="K45" s="24" t="n">
        <f aca="false">(ABS(E4-O4)/E4)*100</f>
        <v>0</v>
      </c>
      <c r="L45" s="24" t="n">
        <f aca="false">(ABS(F4-P4)/F4)*100</f>
        <v>0</v>
      </c>
      <c r="M45" s="25" t="n">
        <f aca="false">(ABS(G4-Q4)/G4)*100</f>
        <v>0</v>
      </c>
      <c r="N45" s="20"/>
    </row>
    <row r="46" customFormat="false" ht="15" hidden="false" customHeight="false" outlineLevel="0" collapsed="false">
      <c r="A46" s="2"/>
      <c r="B46" s="2" t="n">
        <v>1</v>
      </c>
      <c r="C46" s="21" t="n">
        <f aca="false">(ABS(C5-H5)/C5)*100</f>
        <v>80.4075641558823</v>
      </c>
      <c r="D46" s="22" t="n">
        <f aca="false">(ABS(D5-I5)/D5)*100</f>
        <v>14.1473033165943</v>
      </c>
      <c r="E46" s="22" t="n">
        <f aca="false">(ABS(E5-J5)/E5)*100</f>
        <v>37.7526713909154</v>
      </c>
      <c r="F46" s="22" t="n">
        <f aca="false">(ABS(F5-K5)/F5)*100</f>
        <v>8.43167013577526</v>
      </c>
      <c r="G46" s="23" t="n">
        <f aca="false">(ABS(G5-L5)/G5)*100</f>
        <v>0.404984525754093</v>
      </c>
      <c r="H46" s="20"/>
      <c r="I46" s="24" t="n">
        <f aca="false">(ABS(C5-M5)/C5)*100</f>
        <v>16.1073464295325</v>
      </c>
      <c r="J46" s="24" t="n">
        <f aca="false">(ABS(D5-N5)/D5)*100</f>
        <v>10.1466082219763</v>
      </c>
      <c r="K46" s="24" t="n">
        <f aca="false">(ABS(E5-O5)/E5)*100</f>
        <v>0.664207468693763</v>
      </c>
      <c r="L46" s="24" t="n">
        <f aca="false">(ABS(F5-P5)/F5)*100</f>
        <v>2.63298192863373</v>
      </c>
      <c r="M46" s="25" t="n">
        <f aca="false">(ABS(G5-Q5)/G5)*100</f>
        <v>0.216098786144119</v>
      </c>
      <c r="N46" s="20"/>
    </row>
    <row r="47" customFormat="false" ht="15" hidden="false" customHeight="false" outlineLevel="0" collapsed="false">
      <c r="A47" s="2"/>
      <c r="B47" s="2" t="n">
        <v>2</v>
      </c>
      <c r="C47" s="21" t="n">
        <f aca="false">(ABS(C6-H6)/C6)*100</f>
        <v>80.7402035978246</v>
      </c>
      <c r="D47" s="22" t="n">
        <f aca="false">(ABS(D6-I6)/D6)*100</f>
        <v>11.3334141495064</v>
      </c>
      <c r="E47" s="22" t="n">
        <f aca="false">(ABS(E6-J6)/E6)*100</f>
        <v>32.7414980944005</v>
      </c>
      <c r="F47" s="22" t="n">
        <f aca="false">(ABS(F6-K6)/F6)*100</f>
        <v>5.42502328105752</v>
      </c>
      <c r="G47" s="23" t="n">
        <f aca="false">(ABS(G6-L6)/G6)*100</f>
        <v>0.306454039194161</v>
      </c>
      <c r="H47" s="20"/>
      <c r="I47" s="24" t="n">
        <f aca="false">(ABS(C6-M6)/C6)*100</f>
        <v>11.848277785525</v>
      </c>
      <c r="J47" s="24" t="n">
        <f aca="false">(ABS(D6-N6)/D6)*100</f>
        <v>7.38519272021968</v>
      </c>
      <c r="K47" s="24" t="n">
        <f aca="false">(ABS(E6-O6)/E6)*100</f>
        <v>0.103708589856347</v>
      </c>
      <c r="L47" s="24" t="n">
        <f aca="false">(ABS(F6-P6)/F6)*100</f>
        <v>2.53290096618829</v>
      </c>
      <c r="M47" s="25" t="n">
        <f aca="false">(ABS(G6-Q6)/G6)*100</f>
        <v>0.123657756407344</v>
      </c>
      <c r="N47" s="20"/>
    </row>
    <row r="48" customFormat="false" ht="15" hidden="false" customHeight="false" outlineLevel="0" collapsed="false">
      <c r="A48" s="2"/>
      <c r="B48" s="2" t="n">
        <v>3</v>
      </c>
      <c r="C48" s="21" t="n">
        <f aca="false">(ABS(C7-H7)/C7)*100</f>
        <v>83.1753991129361</v>
      </c>
      <c r="D48" s="22" t="n">
        <f aca="false">(ABS(D7-I7)/D7)*100</f>
        <v>0.645200966865601</v>
      </c>
      <c r="E48" s="22" t="n">
        <f aca="false">(ABS(E7-J7)/E7)*100</f>
        <v>35.4544136194448</v>
      </c>
      <c r="F48" s="22" t="n">
        <f aca="false">(ABS(F7-K7)/F7)*100</f>
        <v>5.25220342293513</v>
      </c>
      <c r="G48" s="23" t="n">
        <f aca="false">(ABS(G7-L7)/G7)*100</f>
        <v>0.142800441567323</v>
      </c>
      <c r="H48" s="20"/>
      <c r="I48" s="24" t="n">
        <f aca="false">(ABS(C7-M7)/C7)*100</f>
        <v>22.955080875482</v>
      </c>
      <c r="J48" s="24" t="n">
        <f aca="false">(ABS(D7-N7)/D7)*100</f>
        <v>14.7602087745192</v>
      </c>
      <c r="K48" s="24" t="n">
        <f aca="false">(ABS(E7-O7)/E7)*100</f>
        <v>0.178856286556775</v>
      </c>
      <c r="L48" s="24" t="n">
        <f aca="false">(ABS(F7-P7)/F7)*100</f>
        <v>0.1611367465026</v>
      </c>
      <c r="M48" s="25" t="n">
        <f aca="false">(ABS(G7-Q7)/G7)*100</f>
        <v>0.337075273982171</v>
      </c>
      <c r="N48" s="20"/>
    </row>
    <row r="49" customFormat="false" ht="15" hidden="false" customHeight="false" outlineLevel="0" collapsed="false">
      <c r="A49" s="2"/>
      <c r="B49" s="2" t="n">
        <v>4</v>
      </c>
      <c r="C49" s="21" t="n">
        <f aca="false">(ABS(C8-H8)/C8)*100</f>
        <v>69.9987436659827</v>
      </c>
      <c r="D49" s="22" t="n">
        <f aca="false">(ABS(D8-I8)/D8)*100</f>
        <v>8.33526649129641</v>
      </c>
      <c r="E49" s="22" t="n">
        <f aca="false">(ABS(E8-J8)/E8)*100</f>
        <v>31.0206220135804</v>
      </c>
      <c r="F49" s="22" t="n">
        <f aca="false">(ABS(F8-K8)/F8)*100</f>
        <v>1.68324074785461</v>
      </c>
      <c r="G49" s="23" t="n">
        <f aca="false">(ABS(G8-L8)/G8)*100</f>
        <v>0.242978832615357</v>
      </c>
      <c r="H49" s="20"/>
      <c r="I49" s="24" t="n">
        <f aca="false">(ABS(C8-M8)/C8)*100</f>
        <v>20.7516466949442</v>
      </c>
      <c r="J49" s="24" t="n">
        <f aca="false">(ABS(D8-N8)/D8)*100</f>
        <v>12.8238404334943</v>
      </c>
      <c r="K49" s="24" t="n">
        <f aca="false">(ABS(E8-O8)/E8)*100</f>
        <v>0.359208651186185</v>
      </c>
      <c r="L49" s="24" t="n">
        <f aca="false">(ABS(F8-P8)/F8)*100</f>
        <v>0.725206521848058</v>
      </c>
      <c r="M49" s="25" t="n">
        <f aca="false">(ABS(G8-Q8)/G8)*100</f>
        <v>0.303354703213848</v>
      </c>
      <c r="N49" s="20"/>
    </row>
    <row r="50" customFormat="false" ht="15" hidden="false" customHeight="false" outlineLevel="0" collapsed="false">
      <c r="A50" s="2"/>
      <c r="B50" s="2" t="n">
        <v>5</v>
      </c>
      <c r="C50" s="21" t="n">
        <f aca="false">(ABS(C9-H9)/C9)*100</f>
        <v>68.3479421962828</v>
      </c>
      <c r="D50" s="22" t="n">
        <f aca="false">(ABS(D9-I9)/D9)*100</f>
        <v>14.0385824920138</v>
      </c>
      <c r="E50" s="22" t="n">
        <f aca="false">(ABS(E9-J9)/E9)*100</f>
        <v>28.3165269774751</v>
      </c>
      <c r="F50" s="22" t="n">
        <f aca="false">(ABS(F9-K9)/F9)*100</f>
        <v>7.8595566654595</v>
      </c>
      <c r="G50" s="23" t="n">
        <f aca="false">(ABS(G9-L9)/G9)*100</f>
        <v>0.316294270436821</v>
      </c>
      <c r="H50" s="20"/>
      <c r="I50" s="24" t="n">
        <f aca="false">(ABS(C9-M9)/C9)*100</f>
        <v>14.3626300260591</v>
      </c>
      <c r="J50" s="24" t="n">
        <f aca="false">(ABS(D9-N9)/D9)*100</f>
        <v>9.55328654697976</v>
      </c>
      <c r="K50" s="24" t="n">
        <f aca="false">(ABS(E9-O9)/E9)*100</f>
        <v>0.128093897328444</v>
      </c>
      <c r="L50" s="24" t="n">
        <f aca="false">(ABS(F9-P9)/F9)*100</f>
        <v>3.15715336300154</v>
      </c>
      <c r="M50" s="25" t="n">
        <f aca="false">(ABS(G9-Q9)/G9)*100</f>
        <v>0.150959724157603</v>
      </c>
      <c r="N50" s="20"/>
    </row>
    <row r="51" customFormat="false" ht="15" hidden="false" customHeight="false" outlineLevel="0" collapsed="false">
      <c r="A51" s="2"/>
      <c r="B51" s="2" t="n">
        <v>6</v>
      </c>
      <c r="C51" s="21" t="n">
        <f aca="false">(ABS(C10-H10)/C10)*100</f>
        <v>73.1609235948035</v>
      </c>
      <c r="D51" s="22" t="n">
        <f aca="false">(ABS(D10-I10)/D10)*100</f>
        <v>17.6559839099372</v>
      </c>
      <c r="E51" s="22" t="n">
        <f aca="false">(ABS(E10-J10)/E10)*100</f>
        <v>32.2979086081427</v>
      </c>
      <c r="F51" s="22" t="n">
        <f aca="false">(ABS(F10-K10)/F10)*100</f>
        <v>10.6357821323333</v>
      </c>
      <c r="G51" s="23" t="n">
        <f aca="false">(ABS(G10-L10)/G10)*100</f>
        <v>0.446155765247902</v>
      </c>
      <c r="H51" s="20"/>
      <c r="I51" s="24" t="n">
        <f aca="false">(ABS(C10-M10)/C10)*100</f>
        <v>16.8427046693744</v>
      </c>
      <c r="J51" s="24" t="n">
        <f aca="false">(ABS(D10-N10)/D10)*100</f>
        <v>10.9144630424407</v>
      </c>
      <c r="K51" s="24" t="n">
        <f aca="false">(ABS(E10-O10)/E10)*100</f>
        <v>0.0673091632247208</v>
      </c>
      <c r="L51" s="24" t="n">
        <f aca="false">(ABS(F10-P10)/F10)*100</f>
        <v>2.32441599695186</v>
      </c>
      <c r="M51" s="25" t="n">
        <f aca="false">(ABS(G10-Q10)/G10)*100</f>
        <v>0.230989478548169</v>
      </c>
      <c r="N51" s="20"/>
    </row>
    <row r="52" customFormat="false" ht="15" hidden="false" customHeight="false" outlineLevel="0" collapsed="false">
      <c r="A52" s="2"/>
      <c r="B52" s="2" t="n">
        <v>7</v>
      </c>
      <c r="C52" s="21" t="n">
        <f aca="false">(ABS(C11-H11)/C11)*100</f>
        <v>77.4669349475084</v>
      </c>
      <c r="D52" s="22" t="n">
        <f aca="false">(ABS(D11-I11)/D11)*100</f>
        <v>5.80942091158495</v>
      </c>
      <c r="E52" s="22" t="n">
        <f aca="false">(ABS(E11-J11)/E11)*100</f>
        <v>26.0581130942166</v>
      </c>
      <c r="F52" s="22" t="n">
        <f aca="false">(ABS(F11-K11)/F11)*100</f>
        <v>1.33362206203043</v>
      </c>
      <c r="G52" s="23" t="n">
        <f aca="false">(ABS(G11-L11)/G11)*100</f>
        <v>0.462154237919116</v>
      </c>
      <c r="H52" s="20"/>
      <c r="I52" s="24" t="n">
        <f aca="false">(ABS(C11-M11)/C11)*100</f>
        <v>21.3460065161937</v>
      </c>
      <c r="J52" s="24" t="n">
        <f aca="false">(ABS(D11-N11)/D11)*100</f>
        <v>11.3182814833646</v>
      </c>
      <c r="K52" s="24" t="n">
        <f aca="false">(ABS(E11-O11)/E11)*100</f>
        <v>1.36487472112579</v>
      </c>
      <c r="L52" s="24" t="n">
        <f aca="false">(ABS(F11-P11)/F11)*100</f>
        <v>0.104382191078622</v>
      </c>
      <c r="M52" s="25" t="n">
        <f aca="false">(ABS(G11-Q11)/G11)*100</f>
        <v>0.243224166204334</v>
      </c>
      <c r="N52" s="20"/>
    </row>
    <row r="53" customFormat="false" ht="15" hidden="false" customHeight="false" outlineLevel="0" collapsed="false">
      <c r="A53" s="2"/>
      <c r="B53" s="2" t="n">
        <v>8</v>
      </c>
      <c r="C53" s="21" t="n">
        <f aca="false">(ABS(C12-H12)/C12)*100</f>
        <v>74.8901746490946</v>
      </c>
      <c r="D53" s="22" t="n">
        <f aca="false">(ABS(D12-I12)/D12)*100</f>
        <v>6.12866874967987</v>
      </c>
      <c r="E53" s="22" t="n">
        <f aca="false">(ABS(E12-J12)/E12)*100</f>
        <v>29.3618273928505</v>
      </c>
      <c r="F53" s="22" t="n">
        <f aca="false">(ABS(F12-K12)/F12)*100</f>
        <v>0.969488418059877</v>
      </c>
      <c r="G53" s="23" t="n">
        <f aca="false">(ABS(G12-L12)/G12)*100</f>
        <v>0.27601522792592</v>
      </c>
      <c r="H53" s="20"/>
      <c r="I53" s="24" t="n">
        <f aca="false">(ABS(C12-M12)/C12)*100</f>
        <v>20.6471659702132</v>
      </c>
      <c r="J53" s="24" t="n">
        <f aca="false">(ABS(D12-N12)/D12)*100</f>
        <v>11.8370639758234</v>
      </c>
      <c r="K53" s="24" t="n">
        <f aca="false">(ABS(E12-O12)/E12)*100</f>
        <v>0.76109715739945</v>
      </c>
      <c r="L53" s="24" t="n">
        <f aca="false">(ABS(F12-P12)/F12)*100</f>
        <v>0.452786003559267</v>
      </c>
      <c r="M53" s="25" t="n">
        <f aca="false">(ABS(G12-Q12)/G12)*100</f>
        <v>0.238344520702562</v>
      </c>
      <c r="N53" s="20"/>
    </row>
    <row r="54" customFormat="false" ht="15" hidden="false" customHeight="false" outlineLevel="0" collapsed="false">
      <c r="A54" s="2"/>
      <c r="B54" s="2" t="n">
        <v>9</v>
      </c>
      <c r="C54" s="21" t="n">
        <f aca="false">(ABS(C13-H13)/C13)*100</f>
        <v>60.1971579249321</v>
      </c>
      <c r="D54" s="22" t="n">
        <f aca="false">(ABS(D13-I13)/D13)*100</f>
        <v>29.701261294985</v>
      </c>
      <c r="E54" s="22" t="n">
        <f aca="false">(ABS(E13-J13)/E13)*100</f>
        <v>26.9629563079637</v>
      </c>
      <c r="F54" s="22" t="n">
        <f aca="false">(ABS(F13-K13)/F13)*100</f>
        <v>23.8859699693404</v>
      </c>
      <c r="G54" s="23" t="n">
        <f aca="false">(ABS(G13-L13)/G13)*100</f>
        <v>0.416876671419972</v>
      </c>
      <c r="H54" s="20"/>
      <c r="I54" s="24" t="n">
        <f aca="false">(ABS(C13-M13)/C13)*100</f>
        <v>7.7688166111344</v>
      </c>
      <c r="J54" s="24" t="n">
        <f aca="false">(ABS(D13-N13)/D13)*100</f>
        <v>8.6028309692408</v>
      </c>
      <c r="K54" s="24" t="n">
        <f aca="false">(ABS(E13-O13)/E13)*100</f>
        <v>0.559065311406321</v>
      </c>
      <c r="L54" s="24" t="n">
        <f aca="false">(ABS(F13-P13)/F13)*100</f>
        <v>6.85745918608003</v>
      </c>
      <c r="M54" s="25" t="n">
        <f aca="false">(ABS(G13-Q13)/G13)*100</f>
        <v>0.123173372312863</v>
      </c>
      <c r="N54" s="20"/>
    </row>
    <row r="55" customFormat="false" ht="15" hidden="false" customHeight="false" outlineLevel="0" collapsed="false">
      <c r="A55" s="2"/>
      <c r="B55" s="2" t="n">
        <v>10</v>
      </c>
      <c r="C55" s="21" t="n">
        <f aca="false">(ABS(C14-H14)/C14)*100</f>
        <v>57.1906922058284</v>
      </c>
      <c r="D55" s="22" t="n">
        <f aca="false">(ABS(D14-I14)/D14)*100</f>
        <v>25.9022956326988</v>
      </c>
      <c r="E55" s="22" t="n">
        <f aca="false">(ABS(E14-J14)/E14)*100</f>
        <v>21.8709367569024</v>
      </c>
      <c r="F55" s="22" t="n">
        <f aca="false">(ABS(F14-K14)/F14)*100</f>
        <v>22.011745304396</v>
      </c>
      <c r="G55" s="23" t="n">
        <f aca="false">(ABS(G14-L14)/G14)*100</f>
        <v>0.293004523245891</v>
      </c>
      <c r="H55" s="20"/>
      <c r="I55" s="24" t="n">
        <f aca="false">(ABS(C14-M14)/C14)*100</f>
        <v>8.05689645245649</v>
      </c>
      <c r="J55" s="24" t="n">
        <f aca="false">(ABS(D14-N14)/D14)*100</f>
        <v>7.60792273236282</v>
      </c>
      <c r="K55" s="24" t="n">
        <f aca="false">(ABS(E14-O14)/E14)*100</f>
        <v>0.278399262808123</v>
      </c>
      <c r="L55" s="24" t="n">
        <f aca="false">(ABS(F14-P14)/F14)*100</f>
        <v>6.52349060879198</v>
      </c>
      <c r="M55" s="25" t="n">
        <f aca="false">(ABS(G14-Q14)/G14)*100</f>
        <v>0.105170873557061</v>
      </c>
      <c r="N55" s="20"/>
    </row>
    <row r="56" customFormat="false" ht="15" hidden="false" customHeight="false" outlineLevel="0" collapsed="false">
      <c r="A56" s="2"/>
      <c r="B56" s="2" t="n">
        <v>11</v>
      </c>
      <c r="C56" s="21" t="n">
        <f aca="false">(ABS(C15-H15)/C15)*100</f>
        <v>47.0791518971951</v>
      </c>
      <c r="D56" s="22" t="n">
        <f aca="false">(ABS(D15-I15)/D15)*100</f>
        <v>29.9628942486085</v>
      </c>
      <c r="E56" s="22" t="n">
        <f aca="false">(ABS(E15-J15)/E15)*100</f>
        <v>14.7387823125555</v>
      </c>
      <c r="F56" s="22" t="n">
        <f aca="false">(ABS(F15-K15)/F15)*100</f>
        <v>25.147571555988</v>
      </c>
      <c r="G56" s="23" t="n">
        <f aca="false">(ABS(G15-L15)/G15)*100</f>
        <v>0.330247047675966</v>
      </c>
      <c r="H56" s="20"/>
      <c r="I56" s="24" t="n">
        <f aca="false">(ABS(C15-M15)/C15)*100</f>
        <v>5.08155554100691</v>
      </c>
      <c r="J56" s="24" t="n">
        <f aca="false">(ABS(D15-N15)/D15)*100</f>
        <v>7.18419624567076</v>
      </c>
      <c r="K56" s="24" t="n">
        <f aca="false">(ABS(E15-O15)/E15)*100</f>
        <v>1.52482654928174</v>
      </c>
      <c r="L56" s="24" t="n">
        <f aca="false">(ABS(F15-P15)/F15)*100</f>
        <v>8.04264980134598</v>
      </c>
      <c r="M56" s="25" t="n">
        <f aca="false">(ABS(G15-Q15)/G15)*100</f>
        <v>0.0934276608890984</v>
      </c>
      <c r="N56" s="20"/>
    </row>
    <row r="57" customFormat="false" ht="15" hidden="false" customHeight="false" outlineLevel="0" collapsed="false">
      <c r="A57" s="2"/>
      <c r="B57" s="2" t="n">
        <v>12</v>
      </c>
      <c r="C57" s="21" t="n">
        <f aca="false">(ABS(C16-H16)/C16)*100</f>
        <v>69.392861299064</v>
      </c>
      <c r="D57" s="22" t="n">
        <f aca="false">(ABS(D16-I16)/D16)*100</f>
        <v>21.9871706963048</v>
      </c>
      <c r="E57" s="22" t="n">
        <f aca="false">(ABS(E16-J16)/E16)*100</f>
        <v>28.3869428650948</v>
      </c>
      <c r="F57" s="22" t="n">
        <f aca="false">(ABS(F16-K16)/F16)*100</f>
        <v>16.0986682959055</v>
      </c>
      <c r="G57" s="23" t="n">
        <f aca="false">(ABS(G16-L16)/G16)*100</f>
        <v>0.290731446008132</v>
      </c>
      <c r="H57" s="20"/>
      <c r="I57" s="24" t="n">
        <f aca="false">(ABS(C16-M16)/C16)*100</f>
        <v>13.9814799421456</v>
      </c>
      <c r="J57" s="24" t="n">
        <f aca="false">(ABS(D16-N16)/D16)*100</f>
        <v>9.44246613547658</v>
      </c>
      <c r="K57" s="24" t="n">
        <f aca="false">(ABS(E16-O16)/E16)*100</f>
        <v>0.0290246908671623</v>
      </c>
      <c r="L57" s="24" t="n">
        <f aca="false">(ABS(F16-P16)/F16)*100</f>
        <v>4.10339706240283</v>
      </c>
      <c r="M57" s="25" t="n">
        <f aca="false">(ABS(G16-Q16)/G16)*100</f>
        <v>0.183890556280846</v>
      </c>
      <c r="N57" s="20"/>
    </row>
    <row r="58" customFormat="false" ht="15" hidden="false" customHeight="false" outlineLevel="0" collapsed="false">
      <c r="A58" s="2"/>
      <c r="B58" s="2" t="n">
        <v>13</v>
      </c>
      <c r="C58" s="21" t="n">
        <f aca="false">(ABS(C17-H17)/C17)*100</f>
        <v>40.373003328696</v>
      </c>
      <c r="D58" s="22" t="n">
        <f aca="false">(ABS(D17-I17)/D17)*100</f>
        <v>34.9077995187934</v>
      </c>
      <c r="E58" s="22" t="n">
        <f aca="false">(ABS(E17-J17)/E17)*100</f>
        <v>8.50849023779511</v>
      </c>
      <c r="F58" s="22" t="n">
        <f aca="false">(ABS(F17-K17)/F17)*100</f>
        <v>21.6606073228264</v>
      </c>
      <c r="G58" s="23" t="n">
        <f aca="false">(ABS(G17-L17)/G17)*100</f>
        <v>0.461881134876682</v>
      </c>
      <c r="H58" s="20"/>
      <c r="I58" s="24" t="n">
        <f aca="false">(ABS(C17-M17)/C17)*100</f>
        <v>3.66793890349695</v>
      </c>
      <c r="J58" s="24" t="n">
        <f aca="false">(ABS(D17-N17)/D17)*100</f>
        <v>8.47945789596024</v>
      </c>
      <c r="K58" s="24" t="n">
        <f aca="false">(ABS(E17-O17)/E17)*100</f>
        <v>2.71048773949201</v>
      </c>
      <c r="L58" s="24" t="n">
        <f aca="false">(ABS(F17-P17)/F17)*100</f>
        <v>10.7940834242612</v>
      </c>
      <c r="M58" s="25" t="n">
        <f aca="false">(ABS(G17-Q17)/G17)*100</f>
        <v>0.105195947337729</v>
      </c>
      <c r="N58" s="20"/>
    </row>
    <row r="59" customFormat="false" ht="15" hidden="false" customHeight="false" outlineLevel="0" collapsed="false">
      <c r="A59" s="2"/>
      <c r="B59" s="2" t="n">
        <v>14</v>
      </c>
      <c r="C59" s="21" t="n">
        <f aca="false">(ABS(C18-H18)/C18)*100</f>
        <v>46.1176376015166</v>
      </c>
      <c r="D59" s="22" t="n">
        <f aca="false">(ABS(D18-I18)/D18)*100</f>
        <v>32.8331924791066</v>
      </c>
      <c r="E59" s="22" t="n">
        <f aca="false">(ABS(E18-J18)/E18)*100</f>
        <v>9.57348076364651</v>
      </c>
      <c r="F59" s="22" t="n">
        <f aca="false">(ABS(F18-K18)/F18)*100</f>
        <v>23.672158309366</v>
      </c>
      <c r="G59" s="23" t="n">
        <f aca="false">(ABS(G18-L18)/G18)*100</f>
        <v>0.380019251051239</v>
      </c>
      <c r="H59" s="20"/>
      <c r="I59" s="24" t="n">
        <f aca="false">(ABS(C18-M18)/C18)*100</f>
        <v>5.2914814227625</v>
      </c>
      <c r="J59" s="24" t="n">
        <f aca="false">(ABS(D18-N18)/D18)*100</f>
        <v>8.33987041411143</v>
      </c>
      <c r="K59" s="24" t="n">
        <f aca="false">(ABS(E18-O18)/E18)*100</f>
        <v>2.25358848950356</v>
      </c>
      <c r="L59" s="24" t="n">
        <f aca="false">(ABS(F18-P18)/F18)*100</f>
        <v>9.45706202325872</v>
      </c>
      <c r="M59" s="25" t="n">
        <f aca="false">(ABS(G18-Q18)/G18)*100</f>
        <v>0.0969485713663146</v>
      </c>
      <c r="N59" s="20"/>
    </row>
    <row r="60" customFormat="false" ht="15" hidden="false" customHeight="false" outlineLevel="0" collapsed="false">
      <c r="A60" s="2"/>
      <c r="B60" s="2" t="n">
        <v>15</v>
      </c>
      <c r="C60" s="21" t="n">
        <f aca="false">(ABS(C19-H19)/C19)*100</f>
        <v>78.201004876169</v>
      </c>
      <c r="D60" s="22" t="n">
        <f aca="false">(ABS(D19-I19)/D19)*100</f>
        <v>7.73570197751703</v>
      </c>
      <c r="E60" s="22" t="n">
        <f aca="false">(ABS(E19-J19)/E19)*100</f>
        <v>29.2423032516314</v>
      </c>
      <c r="F60" s="22" t="n">
        <f aca="false">(ABS(F19-K19)/F19)*100</f>
        <v>0.42009775552751</v>
      </c>
      <c r="G60" s="23" t="n">
        <f aca="false">(ABS(G19-L19)/G19)*100</f>
        <v>0.185889190378118</v>
      </c>
      <c r="H60" s="20"/>
      <c r="I60" s="24" t="n">
        <f aca="false">(ABS(C19-M19)/C19)*100</f>
        <v>22.8305494212328</v>
      </c>
      <c r="J60" s="24" t="n">
        <f aca="false">(ABS(D19-N19)/D19)*100</f>
        <v>11.5605882406572</v>
      </c>
      <c r="K60" s="24" t="n">
        <f aca="false">(ABS(E19-O19)/E19)*100</f>
        <v>0.208535723186629</v>
      </c>
      <c r="L60" s="24" t="n">
        <f aca="false">(ABS(F19-P19)/F19)*100</f>
        <v>0.348105899497277</v>
      </c>
      <c r="M60" s="25" t="n">
        <f aca="false">(ABS(G19-Q19)/G19)*100</f>
        <v>0.278499681407819</v>
      </c>
      <c r="N60" s="20"/>
    </row>
    <row r="61" customFormat="false" ht="15" hidden="false" customHeight="false" outlineLevel="0" collapsed="false">
      <c r="A61" s="2"/>
      <c r="B61" s="2" t="n">
        <v>16</v>
      </c>
      <c r="C61" s="21" t="n">
        <f aca="false">(ABS(C20-H20)/C20)*100</f>
        <v>48.6079382515627</v>
      </c>
      <c r="D61" s="22" t="n">
        <f aca="false">(ABS(D20-I20)/D20)*100</f>
        <v>31.0649325513781</v>
      </c>
      <c r="E61" s="22" t="n">
        <f aca="false">(ABS(E20-J20)/E20)*100</f>
        <v>10.9952072173668</v>
      </c>
      <c r="F61" s="22" t="n">
        <f aca="false">(ABS(F20-K20)/F20)*100</f>
        <v>24.0018355094601</v>
      </c>
      <c r="G61" s="23" t="n">
        <f aca="false">(ABS(G20-L20)/G20)*100</f>
        <v>0.325230701634283</v>
      </c>
      <c r="H61" s="20"/>
      <c r="I61" s="24" t="n">
        <f aca="false">(ABS(C20-M20)/C20)*100</f>
        <v>5.02848282767403</v>
      </c>
      <c r="J61" s="24" t="n">
        <f aca="false">(ABS(D20-N20)/D20)*100</f>
        <v>7.00130784436225</v>
      </c>
      <c r="K61" s="24" t="n">
        <f aca="false">(ABS(E20-O20)/E20)*100</f>
        <v>2.0910688685074</v>
      </c>
      <c r="L61" s="24" t="n">
        <f aca="false">(ABS(F20-P20)/F20)*100</f>
        <v>8.42762271782866</v>
      </c>
      <c r="M61" s="25" t="n">
        <f aca="false">(ABS(G20-Q20)/G20)*100</f>
        <v>0.0848164766106911</v>
      </c>
      <c r="N61" s="20"/>
    </row>
    <row r="62" customFormat="false" ht="15" hidden="false" customHeight="false" outlineLevel="0" collapsed="false">
      <c r="A62" s="2"/>
      <c r="B62" s="2" t="n">
        <v>17</v>
      </c>
      <c r="C62" s="21" t="n">
        <f aca="false">(ABS(C21-H21)/C21)*100</f>
        <v>60.958419193697</v>
      </c>
      <c r="D62" s="22" t="n">
        <f aca="false">(ABS(D21-I21)/D21)*100</f>
        <v>32.3371221753503</v>
      </c>
      <c r="E62" s="22" t="n">
        <f aca="false">(ABS(E21-J21)/E21)*100</f>
        <v>16.0735445467442</v>
      </c>
      <c r="F62" s="22" t="n">
        <f aca="false">(ABS(F21-K21)/F21)*100</f>
        <v>19.2568097084435</v>
      </c>
      <c r="G62" s="23" t="n">
        <f aca="false">(ABS(G21-L21)/G21)*100</f>
        <v>0.232838432683239</v>
      </c>
      <c r="H62" s="20"/>
      <c r="I62" s="24" t="n">
        <f aca="false">(ABS(C21-M21)/C21)*100</f>
        <v>18.3983103471461</v>
      </c>
      <c r="J62" s="24" t="n">
        <f aca="false">(ABS(D21-N21)/D21)*100</f>
        <v>15.423013818881</v>
      </c>
      <c r="K62" s="24" t="n">
        <f aca="false">(ABS(E21-O21)/E21)*100</f>
        <v>0.105699424216294</v>
      </c>
      <c r="L62" s="24" t="n">
        <f aca="false">(ABS(F21-P21)/F21)*100</f>
        <v>7.5151533838489</v>
      </c>
      <c r="M62" s="25" t="n">
        <f aca="false">(ABS(G21-Q21)/G21)*100</f>
        <v>0.208149280974578</v>
      </c>
      <c r="N62" s="20"/>
    </row>
    <row r="63" customFormat="false" ht="15" hidden="false" customHeight="false" outlineLevel="0" collapsed="false">
      <c r="A63" s="2"/>
      <c r="B63" s="2" t="n">
        <v>18</v>
      </c>
      <c r="C63" s="21" t="n">
        <f aca="false">(ABS(C22-H22)/C22)*100</f>
        <v>81.2141696327979</v>
      </c>
      <c r="D63" s="22" t="n">
        <f aca="false">(ABS(D22-I22)/D22)*100</f>
        <v>6.25886385718855</v>
      </c>
      <c r="E63" s="22" t="n">
        <f aca="false">(ABS(E22-J22)/E22)*100</f>
        <v>30.5895081142282</v>
      </c>
      <c r="F63" s="22" t="n">
        <f aca="false">(ABS(F22-K22)/F22)*100</f>
        <v>7.55524603549918</v>
      </c>
      <c r="G63" s="23" t="n">
        <f aca="false">(ABS(G22-L22)/G22)*100</f>
        <v>0.130524278036109</v>
      </c>
      <c r="H63" s="20"/>
      <c r="I63" s="24" t="n">
        <f aca="false">(ABS(C22-M22)/C22)*100</f>
        <v>25.9204977118416</v>
      </c>
      <c r="J63" s="24" t="n">
        <f aca="false">(ABS(D22-N22)/D22)*100</f>
        <v>12.3330577365254</v>
      </c>
      <c r="K63" s="24" t="n">
        <f aca="false">(ABS(E22-O22)/E22)*100</f>
        <v>0.583218014844635</v>
      </c>
      <c r="L63" s="24" t="n">
        <f aca="false">(ABS(F22-P22)/F22)*100</f>
        <v>0.578424052952259</v>
      </c>
      <c r="M63" s="25" t="n">
        <f aca="false">(ABS(G22-Q22)/G22)*100</f>
        <v>0.276266138324827</v>
      </c>
      <c r="N63" s="20"/>
    </row>
    <row r="64" customFormat="false" ht="15" hidden="false" customHeight="false" outlineLevel="0" collapsed="false">
      <c r="A64" s="2"/>
      <c r="B64" s="2" t="n">
        <v>19</v>
      </c>
      <c r="C64" s="21" t="n">
        <f aca="false">(ABS(C23-H23)/C23)*100</f>
        <v>73.1566039449689</v>
      </c>
      <c r="D64" s="22" t="n">
        <f aca="false">(ABS(D23-I23)/D23)*100</f>
        <v>14.3465039705598</v>
      </c>
      <c r="E64" s="22" t="n">
        <f aca="false">(ABS(E23-J23)/E23)*100</f>
        <v>31.29773142259</v>
      </c>
      <c r="F64" s="22" t="n">
        <f aca="false">(ABS(F23-K23)/F23)*100</f>
        <v>8.1956638742466</v>
      </c>
      <c r="G64" s="23" t="n">
        <f aca="false">(ABS(G23-L23)/G23)*100</f>
        <v>0.0613858954382417</v>
      </c>
      <c r="H64" s="20"/>
      <c r="I64" s="24" t="n">
        <f aca="false">(ABS(C23-M23)/C23)*100</f>
        <v>17.9109691934684</v>
      </c>
      <c r="J64" s="24" t="n">
        <f aca="false">(ABS(D23-N23)/D23)*100</f>
        <v>9.16037187681581</v>
      </c>
      <c r="K64" s="24" t="n">
        <f aca="false">(ABS(E23-O23)/E23)*100</f>
        <v>0.0483475011852179</v>
      </c>
      <c r="L64" s="24" t="n">
        <f aca="false">(ABS(F23-P23)/F23)*100</f>
        <v>2.21674876847291</v>
      </c>
      <c r="M64" s="25" t="n">
        <f aca="false">(ABS(G23-Q23)/G23)*100</f>
        <v>0.171717832211886</v>
      </c>
      <c r="N64" s="20"/>
    </row>
    <row r="65" customFormat="false" ht="15" hidden="false" customHeight="false" outlineLevel="0" collapsed="false">
      <c r="A65" s="2"/>
      <c r="B65" s="2" t="n">
        <v>20</v>
      </c>
      <c r="C65" s="21" t="n">
        <f aca="false">(ABS(C24-H24)/C24)*100</f>
        <v>80.0044009614408</v>
      </c>
      <c r="D65" s="22" t="n">
        <f aca="false">(ABS(D24-I24)/D24)*100</f>
        <v>10.3666857679606</v>
      </c>
      <c r="E65" s="22" t="n">
        <f aca="false">(ABS(E24-J24)/E24)*100</f>
        <v>32.3337348341156</v>
      </c>
      <c r="F65" s="22" t="n">
        <f aca="false">(ABS(F24-K24)/F24)*100</f>
        <v>6.01562976862508</v>
      </c>
      <c r="G65" s="23" t="n">
        <f aca="false">(ABS(G24-L24)/G24)*100</f>
        <v>0.0378251871152283</v>
      </c>
      <c r="H65" s="20"/>
      <c r="I65" s="24" t="n">
        <f aca="false">(ABS(C24-M24)/C24)*100</f>
        <v>17.4574291614476</v>
      </c>
      <c r="J65" s="24" t="n">
        <f aca="false">(ABS(D24-N24)/D24)*100</f>
        <v>7.91482792097184</v>
      </c>
      <c r="K65" s="24" t="n">
        <f aca="false">(ABS(E24-O24)/E24)*100</f>
        <v>0.124142195886232</v>
      </c>
      <c r="L65" s="24" t="n">
        <f aca="false">(ABS(F24-P24)/F24)*100</f>
        <v>2.12590843846049</v>
      </c>
      <c r="M65" s="25" t="n">
        <f aca="false">(ABS(G24-Q24)/G24)*100</f>
        <v>0.13537435388608</v>
      </c>
      <c r="N65" s="20"/>
    </row>
    <row r="66" customFormat="false" ht="15" hidden="false" customHeight="false" outlineLevel="0" collapsed="false">
      <c r="A66" s="2"/>
      <c r="B66" s="2" t="n">
        <v>21</v>
      </c>
      <c r="C66" s="21" t="n">
        <f aca="false">(ABS(C25-H25)/C25)*100</f>
        <v>54.2101333934332</v>
      </c>
      <c r="D66" s="22" t="n">
        <f aca="false">(ABS(D25-I25)/D25)*100</f>
        <v>31.0257746868355</v>
      </c>
      <c r="E66" s="22" t="n">
        <f aca="false">(ABS(E25-J25)/E25)*100</f>
        <v>23.3242933695723</v>
      </c>
      <c r="F66" s="22" t="n">
        <f aca="false">(ABS(F25-K25)/F25)*100</f>
        <v>26.5247365223593</v>
      </c>
      <c r="G66" s="23" t="n">
        <f aca="false">(ABS(G25-L25)/G25)*100</f>
        <v>0.290483892336947</v>
      </c>
      <c r="H66" s="20"/>
      <c r="I66" s="24" t="n">
        <f aca="false">(ABS(C25-M25)/C25)*100</f>
        <v>6.5950164100686</v>
      </c>
      <c r="J66" s="24" t="n">
        <f aca="false">(ABS(D25-N25)/D25)*100</f>
        <v>8.12320611803147</v>
      </c>
      <c r="K66" s="24" t="n">
        <f aca="false">(ABS(E25-O25)/E25)*100</f>
        <v>0.851576454949529</v>
      </c>
      <c r="L66" s="24" t="n">
        <f aca="false">(ABS(F25-P25)/F25)*100</f>
        <v>9.34476170351392</v>
      </c>
      <c r="M66" s="25" t="n">
        <f aca="false">(ABS(G25-Q25)/G25)*100</f>
        <v>0.0806615237011431</v>
      </c>
      <c r="N66" s="20"/>
    </row>
    <row r="67" customFormat="false" ht="15" hidden="false" customHeight="false" outlineLevel="0" collapsed="false">
      <c r="A67" s="2"/>
      <c r="B67" s="2" t="n">
        <v>22</v>
      </c>
      <c r="C67" s="21" t="n">
        <f aca="false">(ABS(C26-H26)/C26)*100</f>
        <v>73.0929889806111</v>
      </c>
      <c r="D67" s="22" t="n">
        <f aca="false">(ABS(D26-I26)/D26)*100</f>
        <v>9.68126162395356</v>
      </c>
      <c r="E67" s="22" t="n">
        <f aca="false">(ABS(E26-J26)/E26)*100</f>
        <v>31.1609179714158</v>
      </c>
      <c r="F67" s="22" t="n">
        <f aca="false">(ABS(F26-K26)/F26)*100</f>
        <v>2.49468330671833</v>
      </c>
      <c r="G67" s="23" t="n">
        <f aca="false">(ABS(G26-L26)/G26)*100</f>
        <v>0.0312941260229327</v>
      </c>
      <c r="H67" s="20"/>
      <c r="I67" s="24" t="n">
        <f aca="false">(ABS(C26-M26)/C26)*100</f>
        <v>18.9620545089385</v>
      </c>
      <c r="J67" s="24" t="n">
        <f aca="false">(ABS(D26-N26)/D26)*100</f>
        <v>10.4853127265686</v>
      </c>
      <c r="K67" s="24" t="n">
        <f aca="false">(ABS(E26-O26)/E26)*100</f>
        <v>0.18376976621756</v>
      </c>
      <c r="L67" s="24" t="n">
        <f aca="false">(ABS(F26-P26)/F26)*100</f>
        <v>2.1887369353142</v>
      </c>
      <c r="M67" s="25" t="n">
        <f aca="false">(ABS(G26-Q26)/G26)*100</f>
        <v>0.154920162799068</v>
      </c>
      <c r="N67" s="20"/>
    </row>
    <row r="68" customFormat="false" ht="15" hidden="false" customHeight="false" outlineLevel="0" collapsed="false">
      <c r="A68" s="2"/>
      <c r="B68" s="2" t="n">
        <v>23</v>
      </c>
      <c r="C68" s="21" t="n">
        <f aca="false">(ABS(C27-H27)/C27)*100</f>
        <v>72.7301104858915</v>
      </c>
      <c r="D68" s="22" t="n">
        <f aca="false">(ABS(D27-I27)/D27)*100</f>
        <v>9.97192137986362</v>
      </c>
      <c r="E68" s="22" t="n">
        <f aca="false">(ABS(E27-J27)/E27)*100</f>
        <v>30.8730935365576</v>
      </c>
      <c r="F68" s="22" t="n">
        <f aca="false">(ABS(F27-K27)/F27)*100</f>
        <v>4.49881930612154</v>
      </c>
      <c r="G68" s="23" t="n">
        <f aca="false">(ABS(G27-L27)/G27)*100</f>
        <v>0.0546659828312045</v>
      </c>
      <c r="H68" s="20"/>
      <c r="I68" s="24" t="n">
        <f aca="false">(ABS(C27-M27)/C27)*100</f>
        <v>19.1473282129215</v>
      </c>
      <c r="J68" s="24" t="n">
        <f aca="false">(ABS(D27-N27)/D27)*100</f>
        <v>9.91910683246423</v>
      </c>
      <c r="K68" s="24" t="n">
        <f aca="false">(ABS(E27-O27)/E27)*100</f>
        <v>0.00642489300082041</v>
      </c>
      <c r="L68" s="24" t="n">
        <f aca="false">(ABS(F27-P27)/F27)*100</f>
        <v>2.61701864135941</v>
      </c>
      <c r="M68" s="25" t="n">
        <f aca="false">(ABS(G27-Q27)/G27)*100</f>
        <v>0.130827528902733</v>
      </c>
      <c r="N68" s="20"/>
    </row>
    <row r="69" customFormat="false" ht="15" hidden="false" customHeight="false" outlineLevel="0" collapsed="false">
      <c r="A69" s="2"/>
      <c r="B69" s="2" t="n">
        <v>24</v>
      </c>
      <c r="C69" s="21" t="n">
        <f aca="false">(ABS(C28-H28)/C28)*100</f>
        <v>56.4882254191831</v>
      </c>
      <c r="D69" s="22" t="n">
        <f aca="false">(ABS(D28-I28)/D28)*100</f>
        <v>29.6663565243495</v>
      </c>
      <c r="E69" s="22" t="n">
        <f aca="false">(ABS(E28-J28)/E28)*100</f>
        <v>19.0944218886827</v>
      </c>
      <c r="F69" s="22" t="n">
        <f aca="false">(ABS(F28-K28)/F28)*100</f>
        <v>20.7028171883469</v>
      </c>
      <c r="G69" s="23" t="n">
        <f aca="false">(ABS(G28-L28)/G28)*100</f>
        <v>0.201840453719066</v>
      </c>
      <c r="H69" s="20"/>
      <c r="I69" s="24" t="n">
        <f aca="false">(ABS(C28-M28)/C28)*100</f>
        <v>8.4378365001973</v>
      </c>
      <c r="J69" s="24" t="n">
        <f aca="false">(ABS(D28-N28)/D28)*100</f>
        <v>8.7513205926206</v>
      </c>
      <c r="K69" s="24" t="n">
        <f aca="false">(ABS(E28-O28)/E28)*100</f>
        <v>0.401104722012995</v>
      </c>
      <c r="L69" s="24" t="n">
        <f aca="false">(ABS(F28-P28)/F28)*100</f>
        <v>8.31241615510873</v>
      </c>
      <c r="M69" s="25" t="n">
        <f aca="false">(ABS(G28-Q28)/G28)*100</f>
        <v>0.08334405405847</v>
      </c>
      <c r="N69" s="20"/>
    </row>
    <row r="70" customFormat="false" ht="15" hidden="false" customHeight="false" outlineLevel="0" collapsed="false">
      <c r="A70" s="2"/>
      <c r="B70" s="2" t="n">
        <v>25</v>
      </c>
      <c r="C70" s="21" t="n">
        <f aca="false">(ABS(C29-H29)/C29)*100</f>
        <v>69.0272699750821</v>
      </c>
      <c r="D70" s="22" t="n">
        <f aca="false">(ABS(D29-I29)/D29)*100</f>
        <v>4.90344423767037</v>
      </c>
      <c r="E70" s="22" t="n">
        <f aca="false">(ABS(E29-J29)/E29)*100</f>
        <v>27.8321113382376</v>
      </c>
      <c r="F70" s="22" t="n">
        <f aca="false">(ABS(F29-K29)/F29)*100</f>
        <v>6.30898780823624</v>
      </c>
      <c r="G70" s="23" t="n">
        <f aca="false">(ABS(G29-L29)/G29)*100</f>
        <v>0.146977165986254</v>
      </c>
      <c r="H70" s="20"/>
      <c r="I70" s="24" t="n">
        <f aca="false">(ABS(C29-M29)/C29)*100</f>
        <v>23.0975835060509</v>
      </c>
      <c r="J70" s="24" t="n">
        <f aca="false">(ABS(D29-N29)/D29)*100</f>
        <v>14.2343658509719</v>
      </c>
      <c r="K70" s="24" t="n">
        <f aca="false">(ABS(E29-O29)/E29)*100</f>
        <v>0.567340294013244</v>
      </c>
      <c r="L70" s="24" t="n">
        <f aca="false">(ABS(F29-P29)/F29)*100</f>
        <v>0.298172901695902</v>
      </c>
      <c r="M70" s="25" t="n">
        <f aca="false">(ABS(G29-Q29)/G29)*100</f>
        <v>0.260413828154902</v>
      </c>
      <c r="N70" s="20"/>
    </row>
    <row r="71" customFormat="false" ht="15" hidden="false" customHeight="false" outlineLevel="0" collapsed="false">
      <c r="A71" s="2"/>
      <c r="B71" s="2" t="n">
        <v>26</v>
      </c>
      <c r="C71" s="21" t="n">
        <f aca="false">(ABS(C30-H30)/C30)*100</f>
        <v>73.7501024170422</v>
      </c>
      <c r="D71" s="22" t="n">
        <f aca="false">(ABS(D30-I30)/D30)*100</f>
        <v>8.57597272056391</v>
      </c>
      <c r="E71" s="22" t="n">
        <f aca="false">(ABS(E30-J30)/E30)*100</f>
        <v>29.9135681939779</v>
      </c>
      <c r="F71" s="22" t="n">
        <f aca="false">(ABS(F30-K30)/F30)*100</f>
        <v>0.540412115358026</v>
      </c>
      <c r="G71" s="23" t="n">
        <f aca="false">(ABS(G30-L30)/G30)*100</f>
        <v>0.0108573607609686</v>
      </c>
      <c r="H71" s="20"/>
      <c r="I71" s="24" t="n">
        <f aca="false">(ABS(C30-M30)/C30)*100</f>
        <v>22.005735354363</v>
      </c>
      <c r="J71" s="24" t="n">
        <f aca="false">(ABS(D30-N30)/D30)*100</f>
        <v>11.8642644476678</v>
      </c>
      <c r="K71" s="24" t="n">
        <f aca="false">(ABS(E30-O30)/E30)*100</f>
        <v>0.192499682844362</v>
      </c>
      <c r="L71" s="24" t="n">
        <f aca="false">(ABS(F30-P30)/F30)*100</f>
        <v>1.24888753001478</v>
      </c>
      <c r="M71" s="25" t="n">
        <f aca="false">(ABS(G30-Q30)/G30)*100</f>
        <v>0.202551308428801</v>
      </c>
      <c r="N71" s="20"/>
    </row>
    <row r="72" customFormat="false" ht="15" hidden="false" customHeight="false" outlineLevel="0" collapsed="false">
      <c r="A72" s="2"/>
      <c r="B72" s="2" t="n">
        <v>27</v>
      </c>
      <c r="C72" s="21" t="n">
        <f aca="false">(ABS(C31-H31)/C31)*100</f>
        <v>56.6910564476331</v>
      </c>
      <c r="D72" s="22" t="n">
        <f aca="false">(ABS(D31-I31)/D31)*100</f>
        <v>26.9005437721905</v>
      </c>
      <c r="E72" s="22" t="n">
        <f aca="false">(ABS(E31-J31)/E31)*100</f>
        <v>13.1852619034107</v>
      </c>
      <c r="F72" s="22" t="n">
        <f aca="false">(ABS(F31-K31)/F31)*100</f>
        <v>11.0196780917956</v>
      </c>
      <c r="G72" s="23" t="n">
        <f aca="false">(ABS(G31-L31)/G31)*100</f>
        <v>0.361387170755438</v>
      </c>
      <c r="H72" s="20"/>
      <c r="I72" s="24" t="n">
        <f aca="false">(ABS(C31-M31)/C31)*100</f>
        <v>20.9163724708651</v>
      </c>
      <c r="J72" s="24" t="n">
        <f aca="false">(ABS(D31-N31)/D31)*100</f>
        <v>18.0297931945881</v>
      </c>
      <c r="K72" s="24" t="n">
        <f aca="false">(ABS(E31-O31)/E31)*100</f>
        <v>0.48876340729811</v>
      </c>
      <c r="L72" s="24" t="n">
        <f aca="false">(ABS(F31-P31)/F31)*100</f>
        <v>4.96483960569177</v>
      </c>
      <c r="M72" s="25" t="n">
        <f aca="false">(ABS(G31-Q31)/G31)*100</f>
        <v>0.252017556717494</v>
      </c>
      <c r="N72" s="20"/>
    </row>
    <row r="73" customFormat="false" ht="15" hidden="false" customHeight="false" outlineLevel="0" collapsed="false">
      <c r="A73" s="2"/>
      <c r="B73" s="2" t="n">
        <v>28</v>
      </c>
      <c r="C73" s="21" t="n">
        <f aca="false">(ABS(C32-H32)/C32)*100</f>
        <v>59.669223676208</v>
      </c>
      <c r="D73" s="22" t="n">
        <f aca="false">(ABS(D32-I32)/D32)*100</f>
        <v>19.9096658638202</v>
      </c>
      <c r="E73" s="22" t="n">
        <f aca="false">(ABS(E32-J32)/E32)*100</f>
        <v>12.2853876328083</v>
      </c>
      <c r="F73" s="22" t="n">
        <f aca="false">(ABS(F32-K32)/F32)*100</f>
        <v>21.0428786304702</v>
      </c>
      <c r="G73" s="23" t="n">
        <f aca="false">(ABS(G32-L32)/G32)*100</f>
        <v>0.335184554800182</v>
      </c>
      <c r="H73" s="20"/>
      <c r="I73" s="24" t="n">
        <f aca="false">(ABS(C32-M32)/C32)*100</f>
        <v>34.7462282474348</v>
      </c>
      <c r="J73" s="24" t="n">
        <f aca="false">(ABS(D32-N32)/D32)*100</f>
        <v>24.2950989281165</v>
      </c>
      <c r="K73" s="24" t="n">
        <f aca="false">(ABS(E32-O32)/E32)*100</f>
        <v>2.78922158049319</v>
      </c>
      <c r="L73" s="24" t="n">
        <f aca="false">(ABS(F32-P32)/F32)*100</f>
        <v>5.37052333180226</v>
      </c>
      <c r="M73" s="25" t="n">
        <f aca="false">(ABS(G32-Q32)/G32)*100</f>
        <v>0.484777059534582</v>
      </c>
      <c r="N73" s="20"/>
    </row>
    <row r="74" customFormat="false" ht="15" hidden="false" customHeight="false" outlineLevel="0" collapsed="false">
      <c r="A74" s="2"/>
      <c r="B74" s="2" t="n">
        <v>29</v>
      </c>
      <c r="C74" s="21" t="n">
        <f aca="false">(ABS(C33-H33)/C33)*100</f>
        <v>65.1409702513302</v>
      </c>
      <c r="D74" s="22" t="n">
        <f aca="false">(ABS(D33-I33)/D33)*100</f>
        <v>14.0553805138148</v>
      </c>
      <c r="E74" s="22" t="n">
        <f aca="false">(ABS(E33-J33)/E33)*100</f>
        <v>19.1011150028296</v>
      </c>
      <c r="F74" s="22" t="n">
        <f aca="false">(ABS(F33-K33)/F33)*100</f>
        <v>6.68753425235024</v>
      </c>
      <c r="G74" s="23" t="n">
        <f aca="false">(ABS(G33-L33)/G33)*100</f>
        <v>0.0767132772331751</v>
      </c>
      <c r="H74" s="20"/>
      <c r="I74" s="24" t="n">
        <f aca="false">(ABS(C33-M33)/C33)*100</f>
        <v>31.1628915924004</v>
      </c>
      <c r="J74" s="24" t="n">
        <f aca="false">(ABS(D33-N33)/D33)*100</f>
        <v>23.8375545322346</v>
      </c>
      <c r="K74" s="24" t="n">
        <f aca="false">(ABS(E33-O33)/E33)*100</f>
        <v>0.892461112555635</v>
      </c>
      <c r="L74" s="24" t="n">
        <f aca="false">(ABS(F33-P33)/F33)*100</f>
        <v>1.09544285654062</v>
      </c>
      <c r="M74" s="25" t="n">
        <f aca="false">(ABS(G33-Q33)/G33)*100</f>
        <v>0.474801266197982</v>
      </c>
      <c r="N74" s="20"/>
    </row>
    <row r="75" customFormat="false" ht="15" hidden="false" customHeight="false" outlineLevel="0" collapsed="false">
      <c r="A75" s="2"/>
      <c r="B75" s="2" t="n">
        <v>30</v>
      </c>
      <c r="C75" s="21" t="n">
        <f aca="false">(ABS(C34-H34)/C34)*100</f>
        <v>58.3074584997536</v>
      </c>
      <c r="D75" s="22" t="n">
        <f aca="false">(ABS(D34-I34)/D34)*100</f>
        <v>31.0213065922608</v>
      </c>
      <c r="E75" s="22" t="n">
        <f aca="false">(ABS(E34-J34)/E34)*100</f>
        <v>26.4080769143898</v>
      </c>
      <c r="F75" s="22" t="n">
        <f aca="false">(ABS(F34-K34)/F34)*100</f>
        <v>24.9819077320366</v>
      </c>
      <c r="G75" s="23" t="n">
        <f aca="false">(ABS(G34-L34)/G34)*100</f>
        <v>0.370756849424572</v>
      </c>
      <c r="H75" s="20"/>
      <c r="I75" s="24" t="n">
        <f aca="false">(ABS(C34-M34)/C34)*100</f>
        <v>6.88954059390928</v>
      </c>
      <c r="J75" s="24" t="n">
        <f aca="false">(ABS(D34-N34)/D34)*100</f>
        <v>8.55660649663544</v>
      </c>
      <c r="K75" s="24" t="n">
        <f aca="false">(ABS(E34-O34)/E34)*100</f>
        <v>0.736318258133004</v>
      </c>
      <c r="L75" s="24" t="n">
        <f aca="false">(ABS(F34-P34)/F34)*100</f>
        <v>9.39183947602709</v>
      </c>
      <c r="M75" s="25" t="n">
        <f aca="false">(ABS(G34-Q34)/G34)*100</f>
        <v>0.0702221282101105</v>
      </c>
      <c r="N75" s="20"/>
    </row>
    <row r="76" customFormat="false" ht="15" hidden="false" customHeight="false" outlineLevel="0" collapsed="false">
      <c r="A76" s="2"/>
      <c r="B76" s="13" t="n">
        <v>31</v>
      </c>
      <c r="C76" s="21" t="n">
        <f aca="false">(ABS(C35-H35)/C35)*100</f>
        <v>74.4565017922901</v>
      </c>
      <c r="D76" s="22" t="n">
        <f aca="false">(ABS(D35-I35)/D35)*100</f>
        <v>32.3760757580431</v>
      </c>
      <c r="E76" s="22" t="n">
        <f aca="false">(ABS(E35-J35)/E35)*100</f>
        <v>17.8734290769244</v>
      </c>
      <c r="F76" s="22" t="n">
        <f aca="false">(ABS(F35-K35)/F35)*100</f>
        <v>19.7210946485353</v>
      </c>
      <c r="G76" s="23" t="n">
        <f aca="false">(ABS(G35-L35)/G35)*100</f>
        <v>0.371248909380474</v>
      </c>
      <c r="H76" s="20"/>
      <c r="I76" s="24" t="n">
        <f aca="false">(ABS(C35-M35)/C35)*100</f>
        <v>29.5134513512522</v>
      </c>
      <c r="J76" s="24" t="n">
        <f aca="false">(ABS(D35-N35)/D35)*100</f>
        <v>18.4539930287794</v>
      </c>
      <c r="K76" s="24" t="n">
        <f aca="false">(ABS(E35-O35)/E35)*100</f>
        <v>1.78667840619315</v>
      </c>
      <c r="L76" s="24" t="n">
        <f aca="false">(ABS(F35-P35)/F35)*100</f>
        <v>3.49232122319194</v>
      </c>
      <c r="M76" s="25" t="n">
        <f aca="false">(ABS(G35-Q35)/G35)*100</f>
        <v>0.363891956783073</v>
      </c>
      <c r="N76" s="20"/>
    </row>
    <row r="77" customFormat="false" ht="15" hidden="false" customHeight="false" outlineLevel="0" collapsed="false">
      <c r="A77" s="2"/>
      <c r="B77" s="2" t="n">
        <v>32</v>
      </c>
      <c r="C77" s="21" t="n">
        <f aca="false">(ABS(C36-H36)/C36)*100</f>
        <v>86.8647747576886</v>
      </c>
      <c r="D77" s="22" t="n">
        <f aca="false">(ABS(D36-I36)/D36)*100</f>
        <v>2.01449132993012</v>
      </c>
      <c r="E77" s="22" t="n">
        <f aca="false">(ABS(E36-J36)/E36)*100</f>
        <v>35.9961854932763</v>
      </c>
      <c r="F77" s="22" t="n">
        <f aca="false">(ABS(F36-K36)/F36)*100</f>
        <v>6.39161292337482</v>
      </c>
      <c r="G77" s="23" t="n">
        <f aca="false">(ABS(G36-L36)/G36)*100</f>
        <v>0.114748703385338</v>
      </c>
      <c r="H77" s="26" t="s">
        <v>15</v>
      </c>
      <c r="I77" s="24" t="n">
        <f aca="false">(ABS(C36-M36)/C36)*100</f>
        <v>25.0556492748126</v>
      </c>
      <c r="J77" s="24" t="n">
        <f aca="false">(ABS(D36-N36)/D36)*100</f>
        <v>14.0150604144155</v>
      </c>
      <c r="K77" s="24" t="n">
        <f aca="false">(ABS(E36-O36)/E36)*100</f>
        <v>0.218432057320696</v>
      </c>
      <c r="L77" s="24" t="n">
        <f aca="false">(ABS(F36-P36)/F36)*100</f>
        <v>0.420446915161074</v>
      </c>
      <c r="M77" s="25" t="n">
        <f aca="false">(ABS(G36-Q36)/G36)*100</f>
        <v>0.20985230692103</v>
      </c>
      <c r="N77" s="26" t="s">
        <v>15</v>
      </c>
    </row>
    <row r="78" customFormat="false" ht="15" hidden="false" customHeight="false" outlineLevel="0" collapsed="false">
      <c r="A78" s="2"/>
      <c r="B78" s="2" t="s">
        <v>13</v>
      </c>
      <c r="C78" s="27" t="n">
        <f aca="false">(ABS(SUM(C4:C36)-SUM(H4:H36))/SUM(C4:C36))*100</f>
        <v>57.3006967666213</v>
      </c>
      <c r="D78" s="27" t="n">
        <f aca="false">(ABS(SUM(D4:D36)-SUM(I4:I36))/SUM(D4:D36))*100</f>
        <v>17.6447696101448</v>
      </c>
      <c r="E78" s="27" t="n">
        <f aca="false">(ABS(SUM(E4:E36)-SUM(J4:J36))/SUM(E4:E36))*100</f>
        <v>25.0628810972669</v>
      </c>
      <c r="F78" s="27" t="n">
        <f aca="false">(ABS(SUM(F4:F36)-SUM(K4:K36))/SUM(F4:F36))*100</f>
        <v>4.0523935644866</v>
      </c>
      <c r="G78" s="27" t="n">
        <f aca="false">(ABS(SUM(G4:G36)-SUM(L4:L36))/SUM(G4:G36))*100</f>
        <v>0.17416079598531</v>
      </c>
      <c r="H78" s="28" t="n">
        <f aca="false">SUM(C45:G77)/COUNT(C45:G77)</f>
        <v>23.7931725320424</v>
      </c>
      <c r="I78" s="29" t="n">
        <f aca="false">(ABS(SUM(C4:C36)-SUM(M4:M36))/SUM(C4:C36))*100</f>
        <v>12.2158771287753</v>
      </c>
      <c r="J78" s="29" t="n">
        <f aca="false">(ABS(SUM(D4:D36)-SUM(N4:N36))/SUM(D4:D36))*100</f>
        <v>10.2122800648659</v>
      </c>
      <c r="K78" s="29" t="n">
        <f aca="false">(ABS(SUM(E4:E36)-SUM(O4:O36))/SUM(E4:E36))*100</f>
        <v>0.534938890918681</v>
      </c>
      <c r="L78" s="29" t="n">
        <f aca="false">(ABS(SUM(F4:F36)-SUM(P4:P36))/SUM(F4:F36))*100</f>
        <v>2.16568399171827</v>
      </c>
      <c r="M78" s="29" t="n">
        <f aca="false">(ABS(SUM(G4:G36)-SUM(Q4:Q36))/SUM(G4:G36))*100</f>
        <v>0.198372178484816</v>
      </c>
      <c r="N78" s="28" t="n">
        <f aca="false">SUM(I45:M77)/COUNT(I45:M77)</f>
        <v>6.50120568034064</v>
      </c>
    </row>
  </sheetData>
  <mergeCells count="11">
    <mergeCell ref="B1:B3"/>
    <mergeCell ref="C1:G2"/>
    <mergeCell ref="H1:Q1"/>
    <mergeCell ref="H2:L2"/>
    <mergeCell ref="M2:Q2"/>
    <mergeCell ref="A3:A37"/>
    <mergeCell ref="B42:B44"/>
    <mergeCell ref="C42:N42"/>
    <mergeCell ref="C43:H43"/>
    <mergeCell ref="I43:N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R66" activeCellId="0" sqref="R66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9.04"/>
    <col collapsed="false" customWidth="true" hidden="false" outlineLevel="0" max="4" min="4" style="0" width="7.65"/>
    <col collapsed="false" customWidth="true" hidden="false" outlineLevel="0" max="6" min="6" style="0" width="9.46"/>
    <col collapsed="false" customWidth="true" hidden="false" outlineLevel="0" max="8" min="8" style="0" width="9.18"/>
    <col collapsed="false" customWidth="true" hidden="false" outlineLevel="0" max="9" min="9" style="0" width="9.04"/>
    <col collapsed="false" customWidth="true" hidden="false" outlineLevel="0" max="10" min="10" style="0" width="9.32"/>
    <col collapsed="false" customWidth="true" hidden="false" outlineLevel="0" max="11" min="11" style="0" width="9.04"/>
    <col collapsed="false" customWidth="true" hidden="false" outlineLevel="0" max="12" min="12" style="0" width="11.12"/>
    <col collapsed="false" customWidth="true" hidden="false" outlineLevel="0" max="14" min="14" style="0" width="10.43"/>
  </cols>
  <sheetData>
    <row r="1" customFormat="false" ht="15" hidden="false" customHeight="false" outlineLevel="0" collapsed="false">
      <c r="A1" s="30"/>
      <c r="B1" s="2" t="s">
        <v>0</v>
      </c>
      <c r="C1" s="2" t="s">
        <v>1</v>
      </c>
      <c r="D1" s="2"/>
      <c r="E1" s="2"/>
      <c r="F1" s="2"/>
      <c r="G1" s="31" t="s">
        <v>16</v>
      </c>
      <c r="H1" s="31"/>
      <c r="I1" s="31"/>
      <c r="J1" s="31"/>
      <c r="K1" s="31"/>
      <c r="L1" s="31"/>
      <c r="M1" s="31"/>
      <c r="N1" s="31"/>
      <c r="P1" s="4" t="s">
        <v>3</v>
      </c>
    </row>
    <row r="2" customFormat="false" ht="15" hidden="false" customHeight="false" outlineLevel="0" collapsed="false">
      <c r="A2" s="30"/>
      <c r="B2" s="2"/>
      <c r="C2" s="2"/>
      <c r="D2" s="2"/>
      <c r="E2" s="2"/>
      <c r="F2" s="2"/>
      <c r="G2" s="2" t="s">
        <v>4</v>
      </c>
      <c r="H2" s="2"/>
      <c r="I2" s="2"/>
      <c r="J2" s="2"/>
      <c r="K2" s="2" t="s">
        <v>5</v>
      </c>
      <c r="L2" s="2"/>
      <c r="M2" s="2"/>
      <c r="N2" s="2"/>
      <c r="P2" s="4" t="s">
        <v>6</v>
      </c>
    </row>
    <row r="3" customFormat="false" ht="15" hidden="false" customHeight="false" outlineLevel="0" collapsed="false">
      <c r="A3" s="2" t="s">
        <v>17</v>
      </c>
      <c r="B3" s="2"/>
      <c r="C3" s="32" t="s">
        <v>18</v>
      </c>
      <c r="D3" s="33" t="s">
        <v>19</v>
      </c>
      <c r="E3" s="34" t="s">
        <v>20</v>
      </c>
      <c r="F3" s="9" t="s">
        <v>12</v>
      </c>
      <c r="G3" s="32" t="s">
        <v>18</v>
      </c>
      <c r="H3" s="33" t="s">
        <v>19</v>
      </c>
      <c r="I3" s="34" t="s">
        <v>20</v>
      </c>
      <c r="J3" s="9" t="s">
        <v>12</v>
      </c>
      <c r="K3" s="32" t="s">
        <v>18</v>
      </c>
      <c r="L3" s="33" t="s">
        <v>19</v>
      </c>
      <c r="M3" s="34" t="s">
        <v>20</v>
      </c>
      <c r="N3" s="9" t="s">
        <v>12</v>
      </c>
    </row>
    <row r="4" customFormat="false" ht="15" hidden="false" customHeight="false" outlineLevel="0" collapsed="false">
      <c r="A4" s="2"/>
      <c r="B4" s="2" t="n">
        <v>0</v>
      </c>
      <c r="C4" s="10" t="n">
        <v>682939</v>
      </c>
      <c r="D4" s="11" t="n">
        <v>184364</v>
      </c>
      <c r="E4" s="11" t="n">
        <v>767163</v>
      </c>
      <c r="F4" s="12" t="n">
        <v>5994958</v>
      </c>
      <c r="G4" s="10" t="n">
        <v>682939</v>
      </c>
      <c r="H4" s="11" t="n">
        <v>184364</v>
      </c>
      <c r="I4" s="11" t="n">
        <v>767163</v>
      </c>
      <c r="J4" s="12" t="n">
        <v>5994958</v>
      </c>
      <c r="K4" s="10" t="n">
        <v>682939</v>
      </c>
      <c r="L4" s="11" t="n">
        <v>184364</v>
      </c>
      <c r="M4" s="11" t="n">
        <v>767163</v>
      </c>
      <c r="N4" s="12" t="n">
        <v>5994958</v>
      </c>
    </row>
    <row r="5" customFormat="false" ht="15" hidden="false" customHeight="false" outlineLevel="0" collapsed="false">
      <c r="A5" s="2"/>
      <c r="B5" s="2" t="n">
        <v>1</v>
      </c>
      <c r="C5" s="10" t="n">
        <v>289060</v>
      </c>
      <c r="D5" s="11" t="n">
        <v>225852</v>
      </c>
      <c r="E5" s="11" t="n">
        <v>981437</v>
      </c>
      <c r="F5" s="12" t="n">
        <v>6133075</v>
      </c>
      <c r="G5" s="10" t="n">
        <v>213983</v>
      </c>
      <c r="H5" s="11" t="n">
        <v>173445</v>
      </c>
      <c r="I5" s="11" t="n">
        <v>1110490</v>
      </c>
      <c r="J5" s="12" t="n">
        <v>6131506</v>
      </c>
      <c r="K5" s="10" t="n">
        <v>222844</v>
      </c>
      <c r="L5" s="11" t="n">
        <v>323348</v>
      </c>
      <c r="M5" s="11" t="n">
        <v>963745</v>
      </c>
      <c r="N5" s="12" t="n">
        <v>6119487</v>
      </c>
    </row>
    <row r="6" customFormat="false" ht="15" hidden="false" customHeight="false" outlineLevel="0" collapsed="false">
      <c r="A6" s="2"/>
      <c r="B6" s="2" t="n">
        <v>2</v>
      </c>
      <c r="C6" s="10" t="n">
        <v>260986</v>
      </c>
      <c r="D6" s="11" t="n">
        <v>225950</v>
      </c>
      <c r="E6" s="11" t="n">
        <v>1017335</v>
      </c>
      <c r="F6" s="12" t="n">
        <v>6125153</v>
      </c>
      <c r="G6" s="10" t="n">
        <v>205848</v>
      </c>
      <c r="H6" s="11" t="n">
        <v>170241</v>
      </c>
      <c r="I6" s="11" t="n">
        <v>1126810</v>
      </c>
      <c r="J6" s="12" t="n">
        <v>6126525</v>
      </c>
      <c r="K6" s="10" t="n">
        <v>210867</v>
      </c>
      <c r="L6" s="11" t="n">
        <v>303670</v>
      </c>
      <c r="M6" s="11" t="n">
        <v>997704</v>
      </c>
      <c r="N6" s="12" t="n">
        <v>6117183</v>
      </c>
    </row>
    <row r="7" customFormat="false" ht="15" hidden="false" customHeight="false" outlineLevel="0" collapsed="false">
      <c r="A7" s="2"/>
      <c r="B7" s="2" t="n">
        <v>3</v>
      </c>
      <c r="C7" s="10" t="n">
        <v>202884</v>
      </c>
      <c r="D7" s="11" t="n">
        <v>197300</v>
      </c>
      <c r="E7" s="11" t="n">
        <v>967005</v>
      </c>
      <c r="F7" s="12" t="n">
        <v>6262235</v>
      </c>
      <c r="G7" s="10" t="n">
        <v>126370</v>
      </c>
      <c r="H7" s="11" t="n">
        <v>152983</v>
      </c>
      <c r="I7" s="11" t="n">
        <v>1104382</v>
      </c>
      <c r="J7" s="12" t="n">
        <v>6245689</v>
      </c>
      <c r="K7" s="10" t="n">
        <v>131945</v>
      </c>
      <c r="L7" s="11" t="n">
        <v>291277</v>
      </c>
      <c r="M7" s="11" t="n">
        <v>972864</v>
      </c>
      <c r="N7" s="12" t="n">
        <v>6233338</v>
      </c>
    </row>
    <row r="8" customFormat="false" ht="15" hidden="false" customHeight="false" outlineLevel="0" collapsed="false">
      <c r="A8" s="2"/>
      <c r="B8" s="2" t="n">
        <v>4</v>
      </c>
      <c r="C8" s="10" t="n">
        <v>227540</v>
      </c>
      <c r="D8" s="11" t="n">
        <v>203177</v>
      </c>
      <c r="E8" s="11" t="n">
        <v>995425</v>
      </c>
      <c r="F8" s="12" t="n">
        <v>6203282</v>
      </c>
      <c r="G8" s="10" t="n">
        <v>172209</v>
      </c>
      <c r="H8" s="11" t="n">
        <v>152278</v>
      </c>
      <c r="I8" s="11" t="n">
        <v>1114618</v>
      </c>
      <c r="J8" s="12" t="n">
        <v>6190319</v>
      </c>
      <c r="K8" s="10" t="n">
        <v>171091</v>
      </c>
      <c r="L8" s="11" t="n">
        <v>279689</v>
      </c>
      <c r="M8" s="11" t="n">
        <v>995399</v>
      </c>
      <c r="N8" s="12" t="n">
        <v>6183245</v>
      </c>
    </row>
    <row r="9" customFormat="false" ht="15" hidden="false" customHeight="false" outlineLevel="0" collapsed="false">
      <c r="A9" s="2"/>
      <c r="B9" s="2" t="n">
        <v>5</v>
      </c>
      <c r="C9" s="10" t="n">
        <v>262237</v>
      </c>
      <c r="D9" s="11" t="n">
        <v>203939</v>
      </c>
      <c r="E9" s="11" t="n">
        <v>911256</v>
      </c>
      <c r="F9" s="12" t="n">
        <v>6251992</v>
      </c>
      <c r="G9" s="10" t="n">
        <v>211868</v>
      </c>
      <c r="H9" s="11" t="n">
        <v>149175</v>
      </c>
      <c r="I9" s="11" t="n">
        <v>1013178</v>
      </c>
      <c r="J9" s="12" t="n">
        <v>6255203</v>
      </c>
      <c r="K9" s="10" t="n">
        <v>207259</v>
      </c>
      <c r="L9" s="11" t="n">
        <v>287515</v>
      </c>
      <c r="M9" s="11" t="n">
        <v>893021</v>
      </c>
      <c r="N9" s="12" t="n">
        <v>6241629</v>
      </c>
    </row>
    <row r="10" customFormat="false" ht="15" hidden="false" customHeight="false" outlineLevel="0" collapsed="false">
      <c r="A10" s="2"/>
      <c r="B10" s="2" t="n">
        <v>6</v>
      </c>
      <c r="C10" s="10" t="n">
        <v>279764</v>
      </c>
      <c r="D10" s="11" t="n">
        <v>186778</v>
      </c>
      <c r="E10" s="11" t="n">
        <v>949762</v>
      </c>
      <c r="F10" s="12" t="n">
        <v>6213120</v>
      </c>
      <c r="G10" s="10" t="n">
        <v>214772</v>
      </c>
      <c r="H10" s="11" t="n">
        <v>134274</v>
      </c>
      <c r="I10" s="11" t="n">
        <v>1068225</v>
      </c>
      <c r="J10" s="12" t="n">
        <v>6212153</v>
      </c>
      <c r="K10" s="10" t="n">
        <v>213421</v>
      </c>
      <c r="L10" s="11" t="n">
        <v>283216</v>
      </c>
      <c r="M10" s="11" t="n">
        <v>934711</v>
      </c>
      <c r="N10" s="12" t="n">
        <v>6198076</v>
      </c>
    </row>
    <row r="11" customFormat="false" ht="15" hidden="false" customHeight="false" outlineLevel="0" collapsed="false">
      <c r="A11" s="2"/>
      <c r="B11" s="2" t="n">
        <v>7</v>
      </c>
      <c r="C11" s="10" t="n">
        <v>161625</v>
      </c>
      <c r="D11" s="11" t="n">
        <v>160402</v>
      </c>
      <c r="E11" s="11" t="n">
        <v>910048</v>
      </c>
      <c r="F11" s="12" t="n">
        <v>6397349</v>
      </c>
      <c r="G11" s="10" t="n">
        <v>109460</v>
      </c>
      <c r="H11" s="11" t="n">
        <v>124362</v>
      </c>
      <c r="I11" s="11" t="n">
        <v>997380</v>
      </c>
      <c r="J11" s="12" t="n">
        <v>6398222</v>
      </c>
      <c r="K11" s="10" t="n">
        <v>120042</v>
      </c>
      <c r="L11" s="11" t="n">
        <v>213555</v>
      </c>
      <c r="M11" s="11" t="n">
        <v>915587</v>
      </c>
      <c r="N11" s="12" t="n">
        <v>6380240</v>
      </c>
    </row>
    <row r="12" customFormat="false" ht="15" hidden="false" customHeight="false" outlineLevel="0" collapsed="false">
      <c r="A12" s="2"/>
      <c r="B12" s="2" t="n">
        <v>8</v>
      </c>
      <c r="C12" s="10" t="n">
        <v>180417</v>
      </c>
      <c r="D12" s="11" t="n">
        <v>180051</v>
      </c>
      <c r="E12" s="11" t="n">
        <v>895696</v>
      </c>
      <c r="F12" s="12" t="n">
        <v>6373260</v>
      </c>
      <c r="G12" s="10" t="n">
        <v>125215</v>
      </c>
      <c r="H12" s="11" t="n">
        <v>145507</v>
      </c>
      <c r="I12" s="11" t="n">
        <v>995189</v>
      </c>
      <c r="J12" s="12" t="n">
        <v>6363513</v>
      </c>
      <c r="K12" s="10" t="n">
        <v>136083</v>
      </c>
      <c r="L12" s="11" t="n">
        <v>239327</v>
      </c>
      <c r="M12" s="11" t="n">
        <v>897176</v>
      </c>
      <c r="N12" s="12" t="n">
        <v>6356838</v>
      </c>
    </row>
    <row r="13" customFormat="false" ht="15" hidden="false" customHeight="false" outlineLevel="0" collapsed="false">
      <c r="A13" s="2"/>
      <c r="B13" s="2" t="n">
        <v>9</v>
      </c>
      <c r="C13" s="10" t="n">
        <v>501946</v>
      </c>
      <c r="D13" s="11" t="n">
        <v>187950</v>
      </c>
      <c r="E13" s="11" t="n">
        <v>874339</v>
      </c>
      <c r="F13" s="12" t="n">
        <v>6065189</v>
      </c>
      <c r="G13" s="10" t="n">
        <v>487366</v>
      </c>
      <c r="H13" s="11" t="n">
        <v>104757</v>
      </c>
      <c r="I13" s="11" t="n">
        <v>959848</v>
      </c>
      <c r="J13" s="12" t="n">
        <v>6077453</v>
      </c>
      <c r="K13" s="10" t="n">
        <v>413735</v>
      </c>
      <c r="L13" s="11" t="n">
        <v>338088</v>
      </c>
      <c r="M13" s="11" t="n">
        <v>820501</v>
      </c>
      <c r="N13" s="12" t="n">
        <v>6057100</v>
      </c>
    </row>
    <row r="14" customFormat="false" ht="15" hidden="false" customHeight="false" outlineLevel="0" collapsed="false">
      <c r="A14" s="2"/>
      <c r="B14" s="2" t="n">
        <v>10</v>
      </c>
      <c r="C14" s="10" t="n">
        <v>468563</v>
      </c>
      <c r="D14" s="11" t="n">
        <v>197740</v>
      </c>
      <c r="E14" s="11" t="n">
        <v>929943</v>
      </c>
      <c r="F14" s="12" t="n">
        <v>6033178</v>
      </c>
      <c r="G14" s="10" t="n">
        <v>443196</v>
      </c>
      <c r="H14" s="11" t="n">
        <v>120318</v>
      </c>
      <c r="I14" s="11" t="n">
        <v>1025254</v>
      </c>
      <c r="J14" s="12" t="n">
        <v>6040656</v>
      </c>
      <c r="K14" s="10" t="n">
        <v>384603</v>
      </c>
      <c r="L14" s="11" t="n">
        <v>340328</v>
      </c>
      <c r="M14" s="11" t="n">
        <v>878407</v>
      </c>
      <c r="N14" s="12" t="n">
        <v>6026086</v>
      </c>
    </row>
    <row r="15" customFormat="false" ht="15" hidden="false" customHeight="false" outlineLevel="0" collapsed="false">
      <c r="A15" s="2"/>
      <c r="B15" s="2" t="n">
        <v>11</v>
      </c>
      <c r="C15" s="10" t="n">
        <v>585165</v>
      </c>
      <c r="D15" s="11" t="n">
        <v>167094</v>
      </c>
      <c r="E15" s="11" t="n">
        <v>825568</v>
      </c>
      <c r="F15" s="12" t="n">
        <v>6051597</v>
      </c>
      <c r="G15" s="10" t="n">
        <v>602760</v>
      </c>
      <c r="H15" s="11" t="n">
        <v>86332</v>
      </c>
      <c r="I15" s="11" t="n">
        <v>878486</v>
      </c>
      <c r="J15" s="12" t="n">
        <v>6061846</v>
      </c>
      <c r="K15" s="10" t="n">
        <v>494352</v>
      </c>
      <c r="L15" s="11" t="n">
        <v>330804</v>
      </c>
      <c r="M15" s="11" t="n">
        <v>758608</v>
      </c>
      <c r="N15" s="12" t="n">
        <v>6045660</v>
      </c>
    </row>
    <row r="16" customFormat="false" ht="15" hidden="false" customHeight="false" outlineLevel="0" collapsed="false">
      <c r="A16" s="2"/>
      <c r="B16" s="2" t="n">
        <v>12</v>
      </c>
      <c r="C16" s="10" t="n">
        <v>345816</v>
      </c>
      <c r="D16" s="11" t="n">
        <v>202954</v>
      </c>
      <c r="E16" s="11" t="n">
        <v>970757</v>
      </c>
      <c r="F16" s="12" t="n">
        <v>6109897</v>
      </c>
      <c r="G16" s="10" t="n">
        <v>270191</v>
      </c>
      <c r="H16" s="11" t="n">
        <v>146538</v>
      </c>
      <c r="I16" s="11" t="n">
        <v>1103585</v>
      </c>
      <c r="J16" s="12" t="n">
        <v>6109110</v>
      </c>
      <c r="K16" s="10" t="n">
        <v>267204</v>
      </c>
      <c r="L16" s="11" t="n">
        <v>323517</v>
      </c>
      <c r="M16" s="11" t="n">
        <v>940638</v>
      </c>
      <c r="N16" s="12" t="n">
        <v>6098065</v>
      </c>
    </row>
    <row r="17" customFormat="false" ht="15" hidden="false" customHeight="false" outlineLevel="0" collapsed="false">
      <c r="A17" s="2"/>
      <c r="B17" s="2" t="n">
        <v>13</v>
      </c>
      <c r="C17" s="10" t="n">
        <v>703694</v>
      </c>
      <c r="D17" s="11" t="n">
        <v>136063</v>
      </c>
      <c r="E17" s="11" t="n">
        <v>737181</v>
      </c>
      <c r="F17" s="12" t="n">
        <v>6052486</v>
      </c>
      <c r="G17" s="10" t="n">
        <v>772535</v>
      </c>
      <c r="H17" s="11" t="n">
        <v>59824</v>
      </c>
      <c r="I17" s="11" t="n">
        <v>734518</v>
      </c>
      <c r="J17" s="12" t="n">
        <v>6062547</v>
      </c>
      <c r="K17" s="10" t="n">
        <v>600409</v>
      </c>
      <c r="L17" s="11" t="n">
        <v>330562</v>
      </c>
      <c r="M17" s="11" t="n">
        <v>652806</v>
      </c>
      <c r="N17" s="12" t="n">
        <v>6045647</v>
      </c>
    </row>
    <row r="18" customFormat="false" ht="15" hidden="false" customHeight="false" outlineLevel="0" collapsed="false">
      <c r="A18" s="2"/>
      <c r="B18" s="2" t="n">
        <v>14</v>
      </c>
      <c r="C18" s="10" t="n">
        <v>592575</v>
      </c>
      <c r="D18" s="11" t="n">
        <v>137767</v>
      </c>
      <c r="E18" s="11" t="n">
        <v>822425</v>
      </c>
      <c r="F18" s="12" t="n">
        <v>6076657</v>
      </c>
      <c r="G18" s="10" t="n">
        <v>614891</v>
      </c>
      <c r="H18" s="11" t="n">
        <v>64274</v>
      </c>
      <c r="I18" s="11" t="n">
        <v>866523</v>
      </c>
      <c r="J18" s="12" t="n">
        <v>6083736</v>
      </c>
      <c r="K18" s="10" t="n">
        <v>492969</v>
      </c>
      <c r="L18" s="11" t="n">
        <v>317980</v>
      </c>
      <c r="M18" s="11" t="n">
        <v>748243</v>
      </c>
      <c r="N18" s="12" t="n">
        <v>6070232</v>
      </c>
    </row>
    <row r="19" customFormat="false" ht="15" hidden="false" customHeight="false" outlineLevel="0" collapsed="false">
      <c r="A19" s="2"/>
      <c r="B19" s="2" t="n">
        <v>15</v>
      </c>
      <c r="C19" s="10" t="n">
        <v>190595</v>
      </c>
      <c r="D19" s="11" t="n">
        <v>163380</v>
      </c>
      <c r="E19" s="11" t="n">
        <v>955536</v>
      </c>
      <c r="F19" s="12" t="n">
        <v>6319913</v>
      </c>
      <c r="G19" s="10" t="n">
        <v>114911</v>
      </c>
      <c r="H19" s="11" t="n">
        <v>122818</v>
      </c>
      <c r="I19" s="11" t="n">
        <v>1090336</v>
      </c>
      <c r="J19" s="12" t="n">
        <v>6301359</v>
      </c>
      <c r="K19" s="10" t="n">
        <v>137266</v>
      </c>
      <c r="L19" s="11" t="n">
        <v>235574</v>
      </c>
      <c r="M19" s="11" t="n">
        <v>954568</v>
      </c>
      <c r="N19" s="12" t="n">
        <v>6302016</v>
      </c>
    </row>
    <row r="20" customFormat="false" ht="15" hidden="false" customHeight="false" outlineLevel="0" collapsed="false">
      <c r="A20" s="2"/>
      <c r="B20" s="2" t="n">
        <v>16</v>
      </c>
      <c r="C20" s="10" t="n">
        <v>560704</v>
      </c>
      <c r="D20" s="11" t="n">
        <v>123011</v>
      </c>
      <c r="E20" s="11" t="n">
        <v>814971</v>
      </c>
      <c r="F20" s="12" t="n">
        <v>6130738</v>
      </c>
      <c r="G20" s="10" t="n">
        <v>574223</v>
      </c>
      <c r="H20" s="11" t="n">
        <v>58459</v>
      </c>
      <c r="I20" s="11" t="n">
        <v>859400</v>
      </c>
      <c r="J20" s="12" t="n">
        <v>6137342</v>
      </c>
      <c r="K20" s="10" t="n">
        <v>466698</v>
      </c>
      <c r="L20" s="11" t="n">
        <v>292253</v>
      </c>
      <c r="M20" s="11" t="n">
        <v>745182</v>
      </c>
      <c r="N20" s="12" t="n">
        <v>6125291</v>
      </c>
    </row>
    <row r="21" customFormat="false" ht="15" hidden="false" customHeight="false" outlineLevel="0" collapsed="false">
      <c r="A21" s="2"/>
      <c r="B21" s="2" t="n">
        <v>17</v>
      </c>
      <c r="C21" s="10" t="n">
        <v>335788</v>
      </c>
      <c r="D21" s="11" t="n">
        <v>148634</v>
      </c>
      <c r="E21" s="11" t="n">
        <v>888370</v>
      </c>
      <c r="F21" s="12" t="n">
        <v>6256632</v>
      </c>
      <c r="G21" s="10" t="n">
        <v>243214</v>
      </c>
      <c r="H21" s="11" t="n">
        <v>77565</v>
      </c>
      <c r="I21" s="11" t="n">
        <v>1056361</v>
      </c>
      <c r="J21" s="12" t="n">
        <v>6252284</v>
      </c>
      <c r="K21" s="10" t="n">
        <v>243825</v>
      </c>
      <c r="L21" s="11" t="n">
        <v>291250</v>
      </c>
      <c r="M21" s="11" t="n">
        <v>851658</v>
      </c>
      <c r="N21" s="12" t="n">
        <v>6242691</v>
      </c>
    </row>
    <row r="22" customFormat="false" ht="15" hidden="false" customHeight="false" outlineLevel="0" collapsed="false">
      <c r="A22" s="2"/>
      <c r="B22" s="2" t="n">
        <v>18</v>
      </c>
      <c r="C22" s="10" t="n">
        <v>139751</v>
      </c>
      <c r="D22" s="11" t="n">
        <v>172720</v>
      </c>
      <c r="E22" s="11" t="n">
        <v>936268</v>
      </c>
      <c r="F22" s="12" t="n">
        <v>6380685</v>
      </c>
      <c r="G22" s="10" t="n">
        <v>75155</v>
      </c>
      <c r="H22" s="11" t="n">
        <v>140709</v>
      </c>
      <c r="I22" s="11" t="n">
        <v>1066816</v>
      </c>
      <c r="J22" s="12" t="n">
        <v>6346744</v>
      </c>
      <c r="K22" s="10" t="n">
        <v>99452</v>
      </c>
      <c r="L22" s="11" t="n">
        <v>224706</v>
      </c>
      <c r="M22" s="11" t="n">
        <v>943564</v>
      </c>
      <c r="N22" s="12" t="n">
        <v>6361702</v>
      </c>
    </row>
    <row r="23" customFormat="false" ht="15" hidden="false" customHeight="false" outlineLevel="0" collapsed="false">
      <c r="A23" s="2"/>
      <c r="B23" s="2" t="n">
        <v>19</v>
      </c>
      <c r="C23" s="10" t="n">
        <v>207811</v>
      </c>
      <c r="D23" s="11" t="n">
        <v>173444</v>
      </c>
      <c r="E23" s="11" t="n">
        <v>955915</v>
      </c>
      <c r="F23" s="12" t="n">
        <v>6292254</v>
      </c>
      <c r="G23" s="10" t="n">
        <v>149426</v>
      </c>
      <c r="H23" s="11" t="n">
        <v>133570</v>
      </c>
      <c r="I23" s="11" t="n">
        <v>1068160</v>
      </c>
      <c r="J23" s="12" t="n">
        <v>6278268</v>
      </c>
      <c r="K23" s="10" t="n">
        <v>157095</v>
      </c>
      <c r="L23" s="11" t="n">
        <v>246602</v>
      </c>
      <c r="M23" s="11" t="n">
        <v>945490</v>
      </c>
      <c r="N23" s="12" t="n">
        <v>6280237</v>
      </c>
    </row>
    <row r="24" customFormat="false" ht="15" hidden="false" customHeight="false" outlineLevel="0" collapsed="false">
      <c r="A24" s="2"/>
      <c r="B24" s="2" t="n">
        <v>20</v>
      </c>
      <c r="C24" s="10" t="n">
        <v>176052</v>
      </c>
      <c r="D24" s="11" t="n">
        <v>176829</v>
      </c>
      <c r="E24" s="11" t="n">
        <v>975982</v>
      </c>
      <c r="F24" s="12" t="n">
        <v>6300561</v>
      </c>
      <c r="G24" s="10" t="n">
        <v>119204</v>
      </c>
      <c r="H24" s="11" t="n">
        <v>141582</v>
      </c>
      <c r="I24" s="11" t="n">
        <v>1079036</v>
      </c>
      <c r="J24" s="12" t="n">
        <v>6289602</v>
      </c>
      <c r="K24" s="10" t="n">
        <v>134557</v>
      </c>
      <c r="L24" s="11" t="n">
        <v>236902</v>
      </c>
      <c r="M24" s="11" t="n">
        <v>967168</v>
      </c>
      <c r="N24" s="12" t="n">
        <v>6290797</v>
      </c>
    </row>
    <row r="25" customFormat="false" ht="15" hidden="false" customHeight="false" outlineLevel="0" collapsed="false">
      <c r="A25" s="2"/>
      <c r="B25" s="2" t="n">
        <v>21</v>
      </c>
      <c r="C25" s="10" t="n">
        <v>481050</v>
      </c>
      <c r="D25" s="11" t="n">
        <v>128016</v>
      </c>
      <c r="E25" s="11" t="n">
        <v>756509</v>
      </c>
      <c r="F25" s="12" t="n">
        <v>6263849</v>
      </c>
      <c r="G25" s="10" t="n">
        <v>480717</v>
      </c>
      <c r="H25" s="11" t="n">
        <v>63728</v>
      </c>
      <c r="I25" s="11" t="n">
        <v>816715</v>
      </c>
      <c r="J25" s="12" t="n">
        <v>6268264</v>
      </c>
      <c r="K25" s="10" t="n">
        <v>395483</v>
      </c>
      <c r="L25" s="11" t="n">
        <v>277896</v>
      </c>
      <c r="M25" s="11" t="n">
        <v>697675</v>
      </c>
      <c r="N25" s="12" t="n">
        <v>6258370</v>
      </c>
    </row>
    <row r="26" customFormat="false" ht="15" hidden="false" customHeight="false" outlineLevel="0" collapsed="false">
      <c r="A26" s="2"/>
      <c r="B26" s="2" t="n">
        <v>22</v>
      </c>
      <c r="C26" s="10" t="n">
        <v>184013</v>
      </c>
      <c r="D26" s="11" t="n">
        <v>171352</v>
      </c>
      <c r="E26" s="11" t="n">
        <v>929764</v>
      </c>
      <c r="F26" s="12" t="n">
        <v>6344295</v>
      </c>
      <c r="G26" s="10" t="n">
        <v>133889</v>
      </c>
      <c r="H26" s="11" t="n">
        <v>126089</v>
      </c>
      <c r="I26" s="11" t="n">
        <v>1037621</v>
      </c>
      <c r="J26" s="12" t="n">
        <v>6331825</v>
      </c>
      <c r="K26" s="10" t="n">
        <v>139464</v>
      </c>
      <c r="L26" s="11" t="n">
        <v>235368</v>
      </c>
      <c r="M26" s="11" t="n">
        <v>921845</v>
      </c>
      <c r="N26" s="12" t="n">
        <v>6332747</v>
      </c>
    </row>
    <row r="27" customFormat="false" ht="15" hidden="false" customHeight="false" outlineLevel="0" collapsed="false">
      <c r="A27" s="2"/>
      <c r="B27" s="2" t="n">
        <v>23</v>
      </c>
      <c r="C27" s="10" t="n">
        <v>173544</v>
      </c>
      <c r="D27" s="11" t="n">
        <v>170955</v>
      </c>
      <c r="E27" s="11" t="n">
        <v>900508</v>
      </c>
      <c r="F27" s="12" t="n">
        <v>6384417</v>
      </c>
      <c r="G27" s="10" t="n">
        <v>118459</v>
      </c>
      <c r="H27" s="11" t="n">
        <v>129794</v>
      </c>
      <c r="I27" s="11" t="n">
        <v>1007119</v>
      </c>
      <c r="J27" s="12" t="n">
        <v>6374052</v>
      </c>
      <c r="K27" s="10" t="n">
        <v>130247</v>
      </c>
      <c r="L27" s="11" t="n">
        <v>233382</v>
      </c>
      <c r="M27" s="11" t="n">
        <v>891326</v>
      </c>
      <c r="N27" s="12" t="n">
        <v>6374469</v>
      </c>
    </row>
    <row r="28" customFormat="false" ht="15" hidden="false" customHeight="false" outlineLevel="0" collapsed="false">
      <c r="A28" s="2"/>
      <c r="B28" s="2" t="n">
        <v>24</v>
      </c>
      <c r="C28" s="10" t="n">
        <v>409472</v>
      </c>
      <c r="D28" s="11" t="n">
        <v>124340</v>
      </c>
      <c r="E28" s="11" t="n">
        <v>776247</v>
      </c>
      <c r="F28" s="12" t="n">
        <v>6319365</v>
      </c>
      <c r="G28" s="10" t="n">
        <v>388786</v>
      </c>
      <c r="H28" s="11" t="n">
        <v>61771</v>
      </c>
      <c r="I28" s="11" t="n">
        <v>859450</v>
      </c>
      <c r="J28" s="12" t="n">
        <v>6319417</v>
      </c>
      <c r="K28" s="10" t="n">
        <v>329869</v>
      </c>
      <c r="L28" s="11" t="n">
        <v>259753</v>
      </c>
      <c r="M28" s="11" t="n">
        <v>726387</v>
      </c>
      <c r="N28" s="12" t="n">
        <v>6313415</v>
      </c>
    </row>
    <row r="29" customFormat="false" ht="15" hidden="false" customHeight="false" outlineLevel="0" collapsed="false">
      <c r="A29" s="2"/>
      <c r="B29" s="2" t="n">
        <v>25</v>
      </c>
      <c r="C29" s="10" t="n">
        <v>171411</v>
      </c>
      <c r="D29" s="11" t="n">
        <v>138654</v>
      </c>
      <c r="E29" s="11" t="n">
        <v>865694</v>
      </c>
      <c r="F29" s="12" t="n">
        <v>6453665</v>
      </c>
      <c r="G29" s="10" t="n">
        <v>125283</v>
      </c>
      <c r="H29" s="11" t="n">
        <v>94495</v>
      </c>
      <c r="I29" s="11" t="n">
        <v>991059</v>
      </c>
      <c r="J29" s="12" t="n">
        <v>6418587</v>
      </c>
      <c r="K29" s="10" t="n">
        <v>125548</v>
      </c>
      <c r="L29" s="11" t="n">
        <v>200462</v>
      </c>
      <c r="M29" s="11" t="n">
        <v>868458</v>
      </c>
      <c r="N29" s="12" t="n">
        <v>6434956</v>
      </c>
    </row>
    <row r="30" customFormat="false" ht="15" hidden="false" customHeight="false" outlineLevel="0" collapsed="false">
      <c r="A30" s="2"/>
      <c r="B30" s="2" t="n">
        <v>26</v>
      </c>
      <c r="C30" s="10" t="n">
        <v>168827</v>
      </c>
      <c r="D30" s="11" t="n">
        <v>153275</v>
      </c>
      <c r="E30" s="11" t="n">
        <v>862639</v>
      </c>
      <c r="F30" s="12" t="n">
        <v>6444683</v>
      </c>
      <c r="G30" s="10" t="n">
        <v>116050</v>
      </c>
      <c r="H30" s="11" t="n">
        <v>112219</v>
      </c>
      <c r="I30" s="11" t="n">
        <v>977835</v>
      </c>
      <c r="J30" s="12" t="n">
        <v>6423320</v>
      </c>
      <c r="K30" s="10" t="n">
        <v>123908</v>
      </c>
      <c r="L30" s="11" t="n">
        <v>214404</v>
      </c>
      <c r="M30" s="11" t="n">
        <v>861120</v>
      </c>
      <c r="N30" s="12" t="n">
        <v>6429992</v>
      </c>
    </row>
    <row r="31" customFormat="false" ht="15" hidden="false" customHeight="false" outlineLevel="0" collapsed="false">
      <c r="A31" s="2"/>
      <c r="B31" s="2" t="n">
        <v>27</v>
      </c>
      <c r="C31" s="10" t="n">
        <v>271761</v>
      </c>
      <c r="D31" s="11" t="n">
        <v>116281</v>
      </c>
      <c r="E31" s="11" t="n">
        <v>759942</v>
      </c>
      <c r="F31" s="12" t="n">
        <v>6481440</v>
      </c>
      <c r="G31" s="10" t="n">
        <v>220292</v>
      </c>
      <c r="H31" s="11" t="n">
        <v>48106</v>
      </c>
      <c r="I31" s="11" t="n">
        <v>888229</v>
      </c>
      <c r="J31" s="12" t="n">
        <v>6472797</v>
      </c>
      <c r="K31" s="10" t="n">
        <v>194245</v>
      </c>
      <c r="L31" s="11" t="n">
        <v>229043</v>
      </c>
      <c r="M31" s="11" t="n">
        <v>742224</v>
      </c>
      <c r="N31" s="12" t="n">
        <v>6463912</v>
      </c>
    </row>
    <row r="32" customFormat="false" ht="15" hidden="false" customHeight="false" outlineLevel="0" collapsed="false">
      <c r="A32" s="2"/>
      <c r="B32" s="2" t="n">
        <v>28</v>
      </c>
      <c r="C32" s="10" t="n">
        <v>123830</v>
      </c>
      <c r="D32" s="11" t="n">
        <v>90493</v>
      </c>
      <c r="E32" s="11" t="n">
        <v>633775</v>
      </c>
      <c r="F32" s="12" t="n">
        <v>6781326</v>
      </c>
      <c r="G32" s="10" t="n">
        <v>93116</v>
      </c>
      <c r="H32" s="11" t="n">
        <v>50579</v>
      </c>
      <c r="I32" s="11" t="n">
        <v>768349</v>
      </c>
      <c r="J32" s="12" t="n">
        <v>6717380</v>
      </c>
      <c r="K32" s="10" t="n">
        <v>80488</v>
      </c>
      <c r="L32" s="11" t="n">
        <v>138004</v>
      </c>
      <c r="M32" s="11" t="n">
        <v>663428</v>
      </c>
      <c r="N32" s="12" t="n">
        <v>6747504</v>
      </c>
    </row>
    <row r="33" customFormat="false" ht="15" hidden="false" customHeight="false" outlineLevel="0" collapsed="false">
      <c r="A33" s="2"/>
      <c r="B33" s="2" t="n">
        <v>29</v>
      </c>
      <c r="C33" s="10" t="n">
        <v>207073</v>
      </c>
      <c r="D33" s="11" t="n">
        <v>112937</v>
      </c>
      <c r="E33" s="11" t="n">
        <v>749017</v>
      </c>
      <c r="F33" s="12" t="n">
        <v>6560397</v>
      </c>
      <c r="G33" s="10" t="n">
        <v>135757</v>
      </c>
      <c r="H33" s="11" t="n">
        <v>57249</v>
      </c>
      <c r="I33" s="11" t="n">
        <v>914970</v>
      </c>
      <c r="J33" s="12" t="n">
        <v>6521448</v>
      </c>
      <c r="K33" s="10" t="n">
        <v>135850</v>
      </c>
      <c r="L33" s="11" t="n">
        <v>201863</v>
      </c>
      <c r="M33" s="11" t="n">
        <v>763754</v>
      </c>
      <c r="N33" s="12" t="n">
        <v>6527957</v>
      </c>
    </row>
    <row r="34" customFormat="false" ht="15" hidden="false" customHeight="false" outlineLevel="0" collapsed="false">
      <c r="A34" s="2"/>
      <c r="B34" s="2" t="n">
        <v>30</v>
      </c>
      <c r="C34" s="10" t="n">
        <v>384342</v>
      </c>
      <c r="D34" s="11" t="n">
        <v>103302</v>
      </c>
      <c r="E34" s="11" t="n">
        <v>626244</v>
      </c>
      <c r="F34" s="12" t="n">
        <v>6515536</v>
      </c>
      <c r="G34" s="10" t="n">
        <v>381455</v>
      </c>
      <c r="H34" s="11" t="n">
        <v>53064</v>
      </c>
      <c r="I34" s="11" t="n">
        <v>674950</v>
      </c>
      <c r="J34" s="12" t="n">
        <v>6519955</v>
      </c>
      <c r="K34" s="10" t="n">
        <v>316103</v>
      </c>
      <c r="L34" s="11" t="n">
        <v>222925</v>
      </c>
      <c r="M34" s="11" t="n">
        <v>579643</v>
      </c>
      <c r="N34" s="12" t="n">
        <v>6510753</v>
      </c>
    </row>
    <row r="35" customFormat="false" ht="15" hidden="false" customHeight="false" outlineLevel="0" collapsed="false">
      <c r="A35" s="2"/>
      <c r="B35" s="2" t="n">
        <v>31</v>
      </c>
      <c r="C35" s="10" t="n">
        <v>102931</v>
      </c>
      <c r="D35" s="11" t="n">
        <v>107662</v>
      </c>
      <c r="E35" s="11" t="n">
        <v>697093</v>
      </c>
      <c r="F35" s="12" t="n">
        <v>6721738</v>
      </c>
      <c r="G35" s="10" t="n">
        <v>71349</v>
      </c>
      <c r="H35" s="11" t="n">
        <v>81134</v>
      </c>
      <c r="I35" s="11" t="n">
        <v>812419</v>
      </c>
      <c r="J35" s="12" t="n">
        <v>6664522</v>
      </c>
      <c r="K35" s="10" t="n">
        <v>72333</v>
      </c>
      <c r="L35" s="11" t="n">
        <v>143496</v>
      </c>
      <c r="M35" s="11" t="n">
        <v>717645</v>
      </c>
      <c r="N35" s="12" t="n">
        <v>6695950</v>
      </c>
    </row>
    <row r="36" customFormat="false" ht="15" hidden="false" customHeight="false" outlineLevel="0" collapsed="false">
      <c r="A36" s="2"/>
      <c r="B36" s="2" t="n">
        <v>32</v>
      </c>
      <c r="C36" s="10" t="n">
        <v>134408</v>
      </c>
      <c r="D36" s="11" t="n">
        <v>134108</v>
      </c>
      <c r="E36" s="11" t="n">
        <v>767184</v>
      </c>
      <c r="F36" s="12" t="n">
        <v>6593724</v>
      </c>
      <c r="G36" s="10" t="n">
        <v>77837</v>
      </c>
      <c r="H36" s="11" t="n">
        <v>100220</v>
      </c>
      <c r="I36" s="11" t="n">
        <v>886609</v>
      </c>
      <c r="J36" s="12" t="n">
        <v>6564758</v>
      </c>
      <c r="K36" s="10" t="n">
        <v>127016</v>
      </c>
      <c r="L36" s="11" t="n">
        <v>140566</v>
      </c>
      <c r="M36" s="11" t="n">
        <v>774185</v>
      </c>
      <c r="N36" s="12" t="n">
        <v>6587657</v>
      </c>
    </row>
    <row r="37" customFormat="false" ht="15" hidden="false" customHeight="false" outlineLevel="0" collapsed="false">
      <c r="A37" s="2"/>
      <c r="B37" s="2" t="s">
        <v>13</v>
      </c>
      <c r="C37" s="14" t="n">
        <f aca="false">SUM(C4:C36)</f>
        <v>10168574</v>
      </c>
      <c r="D37" s="15" t="n">
        <f aca="false">SUM(D4:D36)</f>
        <v>5306774</v>
      </c>
      <c r="E37" s="15" t="n">
        <f aca="false">SUM(E4:E36)</f>
        <v>28406998</v>
      </c>
      <c r="F37" s="16" t="n">
        <f aca="false">SUM(F4:F36)</f>
        <v>207888646</v>
      </c>
      <c r="G37" s="14" t="n">
        <f aca="false">SUM(G4:G36)</f>
        <v>8872726</v>
      </c>
      <c r="H37" s="15" t="n">
        <f aca="false">SUM(H4:H36)</f>
        <v>3621823</v>
      </c>
      <c r="I37" s="15" t="n">
        <f aca="false">SUM(I4:I36)</f>
        <v>31721083</v>
      </c>
      <c r="J37" s="16" t="n">
        <f aca="false">SUM(J4:J36)</f>
        <v>207555360</v>
      </c>
      <c r="K37" s="14" t="n">
        <f aca="false">SUM(K4:K36)</f>
        <v>8159210</v>
      </c>
      <c r="L37" s="15" t="n">
        <f aca="false">SUM(L4:L36)</f>
        <v>8411689</v>
      </c>
      <c r="M37" s="15" t="n">
        <f aca="false">SUM(M4:M36)</f>
        <v>27751893</v>
      </c>
      <c r="N37" s="16" t="n">
        <f aca="false">SUM(N4:N36)</f>
        <v>207448200</v>
      </c>
    </row>
    <row r="42" customFormat="false" ht="15" hidden="false" customHeight="false" outlineLevel="0" collapsed="false">
      <c r="A42" s="1"/>
      <c r="B42" s="2" t="s">
        <v>0</v>
      </c>
      <c r="C42" s="17" t="s">
        <v>14</v>
      </c>
      <c r="D42" s="17"/>
      <c r="E42" s="17"/>
      <c r="F42" s="17"/>
      <c r="G42" s="17"/>
      <c r="H42" s="17"/>
      <c r="I42" s="17"/>
      <c r="J42" s="17"/>
      <c r="K42" s="17"/>
      <c r="L42" s="17"/>
    </row>
    <row r="43" customFormat="false" ht="15" hidden="false" customHeight="false" outlineLevel="0" collapsed="false">
      <c r="A43" s="1"/>
      <c r="B43" s="2"/>
      <c r="C43" s="18" t="s">
        <v>4</v>
      </c>
      <c r="D43" s="18"/>
      <c r="E43" s="18"/>
      <c r="F43" s="18"/>
      <c r="G43" s="18"/>
      <c r="H43" s="19" t="s">
        <v>5</v>
      </c>
      <c r="I43" s="19"/>
      <c r="J43" s="19"/>
      <c r="K43" s="19"/>
      <c r="L43" s="19"/>
    </row>
    <row r="44" customFormat="false" ht="15" hidden="false" customHeight="false" outlineLevel="0" collapsed="false">
      <c r="A44" s="2" t="s">
        <v>7</v>
      </c>
      <c r="B44" s="2"/>
      <c r="C44" s="32" t="s">
        <v>18</v>
      </c>
      <c r="D44" s="33" t="s">
        <v>19</v>
      </c>
      <c r="E44" s="34" t="s">
        <v>20</v>
      </c>
      <c r="F44" s="9" t="s">
        <v>12</v>
      </c>
      <c r="G44" s="20"/>
      <c r="H44" s="32" t="s">
        <v>18</v>
      </c>
      <c r="I44" s="33" t="s">
        <v>19</v>
      </c>
      <c r="J44" s="34" t="s">
        <v>20</v>
      </c>
      <c r="K44" s="9" t="s">
        <v>12</v>
      </c>
      <c r="L44" s="20"/>
    </row>
    <row r="45" customFormat="false" ht="15" hidden="false" customHeight="false" outlineLevel="0" collapsed="false">
      <c r="A45" s="2"/>
      <c r="B45" s="2" t="n">
        <v>0</v>
      </c>
      <c r="C45" s="21" t="n">
        <f aca="false">(ABS(C4-G4)/C4)*100</f>
        <v>0</v>
      </c>
      <c r="D45" s="22" t="n">
        <f aca="false">(ABS(D4-H4)/D4)*100</f>
        <v>0</v>
      </c>
      <c r="E45" s="22" t="n">
        <f aca="false">(ABS(E4-I4)/E4)*100</f>
        <v>0</v>
      </c>
      <c r="F45" s="22" t="n">
        <f aca="false">(ABS(F4-J4)/F4)*100</f>
        <v>0</v>
      </c>
      <c r="G45" s="35"/>
      <c r="H45" s="21" t="n">
        <f aca="false">(ABS(C4-K4)/C4)*100</f>
        <v>0</v>
      </c>
      <c r="I45" s="22" t="n">
        <f aca="false">(ABS(D4-L4)/D4)*100</f>
        <v>0</v>
      </c>
      <c r="J45" s="22" t="n">
        <f aca="false">(ABS(E4-M4)/E4)*100</f>
        <v>0</v>
      </c>
      <c r="K45" s="22" t="n">
        <f aca="false">(ABS(F4-N4)/F4)*100</f>
        <v>0</v>
      </c>
      <c r="L45" s="35"/>
    </row>
    <row r="46" customFormat="false" ht="15" hidden="false" customHeight="false" outlineLevel="0" collapsed="false">
      <c r="A46" s="2"/>
      <c r="B46" s="2" t="n">
        <v>1</v>
      </c>
      <c r="C46" s="21" t="n">
        <f aca="false">(ABS(C5-G5)/C5)*100</f>
        <v>25.9728084134782</v>
      </c>
      <c r="D46" s="22" t="n">
        <f aca="false">(ABS(D5-H5)/D5)*100</f>
        <v>23.2041336804633</v>
      </c>
      <c r="E46" s="22" t="n">
        <f aca="false">(ABS(E5-I5)/E5)*100</f>
        <v>13.1493921667922</v>
      </c>
      <c r="F46" s="22" t="n">
        <f aca="false">(ABS(F5-J5)/F5)*100</f>
        <v>0.0255825992670887</v>
      </c>
      <c r="G46" s="35"/>
      <c r="H46" s="21" t="n">
        <f aca="false">(ABS(C5-K5)/C5)*100</f>
        <v>22.9073548744205</v>
      </c>
      <c r="I46" s="22" t="n">
        <f aca="false">(ABS(D5-L5)/D5)*100</f>
        <v>43.1680923790801</v>
      </c>
      <c r="J46" s="22" t="n">
        <f aca="false">(ABS(E5-M5)/E5)*100</f>
        <v>1.80266283011543</v>
      </c>
      <c r="K46" s="22" t="n">
        <f aca="false">(ABS(F5-N5)/F5)*100</f>
        <v>0.221552809968898</v>
      </c>
      <c r="L46" s="35"/>
    </row>
    <row r="47" customFormat="false" ht="15" hidden="false" customHeight="false" outlineLevel="0" collapsed="false">
      <c r="A47" s="2"/>
      <c r="B47" s="2" t="n">
        <v>2</v>
      </c>
      <c r="C47" s="21" t="n">
        <f aca="false">(ABS(C6-G6)/C6)*100</f>
        <v>21.1268037365989</v>
      </c>
      <c r="D47" s="22" t="n">
        <f aca="false">(ABS(D6-H6)/D6)*100</f>
        <v>24.6554547466254</v>
      </c>
      <c r="E47" s="22" t="n">
        <f aca="false">(ABS(E6-I6)/E6)*100</f>
        <v>10.7609587795564</v>
      </c>
      <c r="F47" s="22" t="n">
        <f aca="false">(ABS(F6-J6)/F6)*100</f>
        <v>0.0223994404711197</v>
      </c>
      <c r="G47" s="35"/>
      <c r="H47" s="21" t="n">
        <f aca="false">(ABS(C6-K6)/C6)*100</f>
        <v>19.2037120765099</v>
      </c>
      <c r="I47" s="22" t="n">
        <f aca="false">(ABS(D6-L6)/D6)*100</f>
        <v>34.3969904846205</v>
      </c>
      <c r="J47" s="22" t="n">
        <f aca="false">(ABS(E6-M6)/E6)*100</f>
        <v>1.92964952547588</v>
      </c>
      <c r="K47" s="22" t="n">
        <f aca="false">(ABS(F6-N6)/F6)*100</f>
        <v>0.130119198655119</v>
      </c>
      <c r="L47" s="35"/>
    </row>
    <row r="48" customFormat="false" ht="15" hidden="false" customHeight="false" outlineLevel="0" collapsed="false">
      <c r="A48" s="2"/>
      <c r="B48" s="2" t="n">
        <v>3</v>
      </c>
      <c r="C48" s="21" t="n">
        <f aca="false">(ABS(C7-G7)/C7)*100</f>
        <v>37.7131760020504</v>
      </c>
      <c r="D48" s="22" t="n">
        <f aca="false">(ABS(D7-H7)/D7)*100</f>
        <v>22.4617334009123</v>
      </c>
      <c r="E48" s="22" t="n">
        <f aca="false">(ABS(E7-I7)/E7)*100</f>
        <v>14.206441538565</v>
      </c>
      <c r="F48" s="22" t="n">
        <f aca="false">(ABS(F7-J7)/F7)*100</f>
        <v>0.264218765344961</v>
      </c>
      <c r="G48" s="35"/>
      <c r="H48" s="21" t="n">
        <f aca="false">(ABS(C7-K7)/C7)*100</f>
        <v>34.9653003686836</v>
      </c>
      <c r="I48" s="22" t="n">
        <f aca="false">(ABS(D7-L7)/D7)*100</f>
        <v>47.6315255955398</v>
      </c>
      <c r="J48" s="22" t="n">
        <f aca="false">(ABS(E7-M7)/E7)*100</f>
        <v>0.60589138629066</v>
      </c>
      <c r="K48" s="22" t="n">
        <f aca="false">(ABS(F7-N7)/F7)*100</f>
        <v>0.461448668087352</v>
      </c>
      <c r="L48" s="35"/>
    </row>
    <row r="49" customFormat="false" ht="15" hidden="false" customHeight="false" outlineLevel="0" collapsed="false">
      <c r="A49" s="2"/>
      <c r="B49" s="2" t="n">
        <v>4</v>
      </c>
      <c r="C49" s="21" t="n">
        <f aca="false">(ABS(C8-G8)/C8)*100</f>
        <v>24.3170431572471</v>
      </c>
      <c r="D49" s="22" t="n">
        <f aca="false">(ABS(D8-H8)/D8)*100</f>
        <v>25.0515560324249</v>
      </c>
      <c r="E49" s="22" t="n">
        <f aca="false">(ABS(E8-I8)/E8)*100</f>
        <v>11.974081422508</v>
      </c>
      <c r="F49" s="22" t="n">
        <f aca="false">(ABS(F8-J8)/F8)*100</f>
        <v>0.208970025866952</v>
      </c>
      <c r="G49" s="35"/>
      <c r="H49" s="21" t="n">
        <f aca="false">(ABS(C8-K8)/C8)*100</f>
        <v>24.8083853388415</v>
      </c>
      <c r="I49" s="22" t="n">
        <f aca="false">(ABS(D8-L8)/D8)*100</f>
        <v>37.6578057555727</v>
      </c>
      <c r="J49" s="22" t="n">
        <f aca="false">(ABS(E8-M8)/E8)*100</f>
        <v>0.00261194966973906</v>
      </c>
      <c r="K49" s="22" t="n">
        <f aca="false">(ABS(F8-N8)/F8)*100</f>
        <v>0.323006434335889</v>
      </c>
      <c r="L49" s="35"/>
    </row>
    <row r="50" customFormat="false" ht="15" hidden="false" customHeight="false" outlineLevel="0" collapsed="false">
      <c r="A50" s="2"/>
      <c r="B50" s="2" t="n">
        <v>5</v>
      </c>
      <c r="C50" s="21" t="n">
        <f aca="false">(ABS(C9-G9)/C9)*100</f>
        <v>19.2074344962763</v>
      </c>
      <c r="D50" s="22" t="n">
        <f aca="false">(ABS(D9-H9)/D9)*100</f>
        <v>26.8531276509152</v>
      </c>
      <c r="E50" s="22" t="n">
        <f aca="false">(ABS(E9-I9)/E9)*100</f>
        <v>11.1847823224209</v>
      </c>
      <c r="F50" s="22" t="n">
        <f aca="false">(ABS(F9-J9)/F9)*100</f>
        <v>0.0513596306585165</v>
      </c>
      <c r="G50" s="35"/>
      <c r="H50" s="21" t="n">
        <f aca="false">(ABS(C9-K9)/C9)*100</f>
        <v>20.965004938281</v>
      </c>
      <c r="I50" s="22" t="n">
        <f aca="false">(ABS(D9-L9)/D9)*100</f>
        <v>40.980881538107</v>
      </c>
      <c r="J50" s="22" t="n">
        <f aca="false">(ABS(E9-M9)/E9)*100</f>
        <v>2.00108421782682</v>
      </c>
      <c r="K50" s="22" t="n">
        <f aca="false">(ABS(F9-N9)/F9)*100</f>
        <v>0.165755170512054</v>
      </c>
      <c r="L50" s="35"/>
    </row>
    <row r="51" customFormat="false" ht="15" hidden="false" customHeight="false" outlineLevel="0" collapsed="false">
      <c r="A51" s="2"/>
      <c r="B51" s="2" t="n">
        <v>6</v>
      </c>
      <c r="C51" s="21" t="n">
        <f aca="false">(ABS(C10-G10)/C10)*100</f>
        <v>23.2310089932943</v>
      </c>
      <c r="D51" s="22" t="n">
        <f aca="false">(ABS(D10-H10)/D10)*100</f>
        <v>28.1103770251314</v>
      </c>
      <c r="E51" s="22" t="n">
        <f aca="false">(ABS(E10-I10)/E10)*100</f>
        <v>12.4729142669427</v>
      </c>
      <c r="F51" s="22" t="n">
        <f aca="false">(ABS(F10-J10)/F10)*100</f>
        <v>0.0155638391017717</v>
      </c>
      <c r="G51" s="35"/>
      <c r="H51" s="21" t="n">
        <f aca="false">(ABS(C10-K10)/C10)*100</f>
        <v>23.7139160149269</v>
      </c>
      <c r="I51" s="22" t="n">
        <f aca="false">(ABS(D10-L10)/D10)*100</f>
        <v>51.6324192356702</v>
      </c>
      <c r="J51" s="22" t="n">
        <f aca="false">(ABS(E10-M10)/E10)*100</f>
        <v>1.58471280173349</v>
      </c>
      <c r="K51" s="22" t="n">
        <f aca="false">(ABS(F10-N10)/F10)*100</f>
        <v>0.242132777091059</v>
      </c>
      <c r="L51" s="35"/>
    </row>
    <row r="52" customFormat="false" ht="15" hidden="false" customHeight="false" outlineLevel="0" collapsed="false">
      <c r="A52" s="2"/>
      <c r="B52" s="2" t="n">
        <v>7</v>
      </c>
      <c r="C52" s="21" t="n">
        <f aca="false">(ABS(C11-G11)/C11)*100</f>
        <v>32.2753286929621</v>
      </c>
      <c r="D52" s="22" t="n">
        <f aca="false">(ABS(D11-H11)/D11)*100</f>
        <v>22.4685477737185</v>
      </c>
      <c r="E52" s="22" t="n">
        <f aca="false">(ABS(E11-I11)/E11)*100</f>
        <v>9.59641689229579</v>
      </c>
      <c r="F52" s="22" t="n">
        <f aca="false">(ABS(F11-J11)/F11)*100</f>
        <v>0.0136462775440264</v>
      </c>
      <c r="G52" s="35"/>
      <c r="H52" s="21" t="n">
        <f aca="false">(ABS(C11-K11)/C11)*100</f>
        <v>25.7280742459397</v>
      </c>
      <c r="I52" s="22" t="n">
        <f aca="false">(ABS(D11-L11)/D11)*100</f>
        <v>33.1373673644967</v>
      </c>
      <c r="J52" s="22" t="n">
        <f aca="false">(ABS(E11-M11)/E11)*100</f>
        <v>0.608649214107388</v>
      </c>
      <c r="K52" s="22" t="n">
        <f aca="false">(ABS(F11-N11)/F11)*100</f>
        <v>0.267438903208188</v>
      </c>
      <c r="L52" s="35"/>
    </row>
    <row r="53" customFormat="false" ht="15" hidden="false" customHeight="false" outlineLevel="0" collapsed="false">
      <c r="A53" s="2"/>
      <c r="B53" s="2" t="n">
        <v>8</v>
      </c>
      <c r="C53" s="21" t="n">
        <f aca="false">(ABS(C12-G12)/C12)*100</f>
        <v>30.5968949710947</v>
      </c>
      <c r="D53" s="22" t="n">
        <f aca="false">(ABS(D12-H12)/D12)*100</f>
        <v>19.185675169813</v>
      </c>
      <c r="E53" s="22" t="n">
        <f aca="false">(ABS(E12-I12)/E12)*100</f>
        <v>11.107898215466</v>
      </c>
      <c r="F53" s="22" t="n">
        <f aca="false">(ABS(F12-J12)/F12)*100</f>
        <v>0.15293586014065</v>
      </c>
      <c r="G53" s="35"/>
      <c r="H53" s="21" t="n">
        <f aca="false">(ABS(C12-K12)/C12)*100</f>
        <v>24.5730723823143</v>
      </c>
      <c r="I53" s="22" t="n">
        <f aca="false">(ABS(D12-L12)/D12)*100</f>
        <v>32.9217832725172</v>
      </c>
      <c r="J53" s="22" t="n">
        <f aca="false">(ABS(E12-M12)/E12)*100</f>
        <v>0.165234633179114</v>
      </c>
      <c r="K53" s="22" t="n">
        <f aca="false">(ABS(F12-N12)/F12)*100</f>
        <v>0.257670328842696</v>
      </c>
      <c r="L53" s="35"/>
    </row>
    <row r="54" customFormat="false" ht="15" hidden="false" customHeight="false" outlineLevel="0" collapsed="false">
      <c r="A54" s="2"/>
      <c r="B54" s="2" t="n">
        <v>9</v>
      </c>
      <c r="C54" s="21" t="n">
        <f aca="false">(ABS(C13-G13)/C13)*100</f>
        <v>2.90469492734278</v>
      </c>
      <c r="D54" s="22" t="n">
        <f aca="false">(ABS(D13-H13)/D13)*100</f>
        <v>44.2633679169992</v>
      </c>
      <c r="E54" s="22" t="n">
        <f aca="false">(ABS(E13-I13)/E13)*100</f>
        <v>9.77984511728288</v>
      </c>
      <c r="F54" s="22" t="n">
        <f aca="false">(ABS(F13-J13)/F13)*100</f>
        <v>0.202203097051056</v>
      </c>
      <c r="G54" s="35"/>
      <c r="H54" s="21" t="n">
        <f aca="false">(ABS(C13-K13)/C13)*100</f>
        <v>17.5738027596594</v>
      </c>
      <c r="I54" s="22" t="n">
        <f aca="false">(ABS(D13-L13)/D13)*100</f>
        <v>79.8818834796488</v>
      </c>
      <c r="J54" s="22" t="n">
        <f aca="false">(ABS(E13-M13)/E13)*100</f>
        <v>6.15756588691572</v>
      </c>
      <c r="K54" s="22" t="n">
        <f aca="false">(ABS(F13-N13)/F13)*100</f>
        <v>0.133367649384051</v>
      </c>
      <c r="L54" s="35"/>
    </row>
    <row r="55" customFormat="false" ht="15" hidden="false" customHeight="false" outlineLevel="0" collapsed="false">
      <c r="A55" s="2"/>
      <c r="B55" s="2" t="n">
        <v>10</v>
      </c>
      <c r="C55" s="21" t="n">
        <f aca="false">(ABS(C14-G14)/C14)*100</f>
        <v>5.41378640652378</v>
      </c>
      <c r="D55" s="22" t="n">
        <f aca="false">(ABS(D14-H14)/D14)*100</f>
        <v>39.1534338019622</v>
      </c>
      <c r="E55" s="22" t="n">
        <f aca="false">(ABS(E14-I14)/E14)*100</f>
        <v>10.2491227956982</v>
      </c>
      <c r="F55" s="22" t="n">
        <f aca="false">(ABS(F14-J14)/F14)*100</f>
        <v>0.123947942527139</v>
      </c>
      <c r="G55" s="35"/>
      <c r="H55" s="21" t="n">
        <f aca="false">(ABS(C14-K14)/C14)*100</f>
        <v>17.9186149994771</v>
      </c>
      <c r="I55" s="22" t="n">
        <f aca="false">(ABS(D14-L14)/D14)*100</f>
        <v>72.1088297764742</v>
      </c>
      <c r="J55" s="22" t="n">
        <f aca="false">(ABS(E14-M14)/E14)*100</f>
        <v>5.54184503781415</v>
      </c>
      <c r="K55" s="22" t="n">
        <f aca="false">(ABS(F14-N14)/F14)*100</f>
        <v>0.117549987751066</v>
      </c>
      <c r="L55" s="35"/>
    </row>
    <row r="56" customFormat="false" ht="15" hidden="false" customHeight="false" outlineLevel="0" collapsed="false">
      <c r="A56" s="2"/>
      <c r="B56" s="2" t="n">
        <v>11</v>
      </c>
      <c r="C56" s="21" t="n">
        <f aca="false">(ABS(C15-G15)/C15)*100</f>
        <v>3.00684422342416</v>
      </c>
      <c r="D56" s="22" t="n">
        <f aca="false">(ABS(D15-H15)/D15)*100</f>
        <v>48.3332734867799</v>
      </c>
      <c r="E56" s="22" t="n">
        <f aca="false">(ABS(E15-I15)/E15)*100</f>
        <v>6.40988991821389</v>
      </c>
      <c r="F56" s="22" t="n">
        <f aca="false">(ABS(F15-J15)/F15)*100</f>
        <v>0.169360253169535</v>
      </c>
      <c r="G56" s="35"/>
      <c r="H56" s="21" t="n">
        <f aca="false">(ABS(C15-K15)/C15)*100</f>
        <v>15.5192125297993</v>
      </c>
      <c r="I56" s="22" t="n">
        <f aca="false">(ABS(D15-L15)/D15)*100</f>
        <v>97.9747926316923</v>
      </c>
      <c r="J56" s="22" t="n">
        <f aca="false">(ABS(E15-M15)/E15)*100</f>
        <v>8.11077948757704</v>
      </c>
      <c r="K56" s="22" t="n">
        <f aca="false">(ABS(F15-N15)/F15)*100</f>
        <v>0.0981063345758153</v>
      </c>
      <c r="L56" s="35"/>
    </row>
    <row r="57" customFormat="false" ht="15" hidden="false" customHeight="false" outlineLevel="0" collapsed="false">
      <c r="A57" s="2"/>
      <c r="B57" s="2" t="n">
        <v>12</v>
      </c>
      <c r="C57" s="21" t="n">
        <f aca="false">(ABS(C16-G16)/C16)*100</f>
        <v>21.8685659425822</v>
      </c>
      <c r="D57" s="22" t="n">
        <f aca="false">(ABS(D16-H16)/D16)*100</f>
        <v>27.7974319303882</v>
      </c>
      <c r="E57" s="22" t="n">
        <f aca="false">(ABS(E16-I16)/E16)*100</f>
        <v>13.68292991964</v>
      </c>
      <c r="F57" s="22" t="n">
        <f aca="false">(ABS(F16-J16)/F16)*100</f>
        <v>0.0128807408700998</v>
      </c>
      <c r="G57" s="35"/>
      <c r="H57" s="21" t="n">
        <f aca="false">(ABS(C16-K16)/C16)*100</f>
        <v>22.7323200777292</v>
      </c>
      <c r="I57" s="22" t="n">
        <f aca="false">(ABS(D16-L16)/D16)*100</f>
        <v>59.4041014219971</v>
      </c>
      <c r="J57" s="22" t="n">
        <f aca="false">(ABS(E16-M16)/E16)*100</f>
        <v>3.10263021538861</v>
      </c>
      <c r="K57" s="22" t="n">
        <f aca="false">(ABS(F16-N16)/F16)*100</f>
        <v>0.19365301902798</v>
      </c>
      <c r="L57" s="35"/>
    </row>
    <row r="58" customFormat="false" ht="15" hidden="false" customHeight="false" outlineLevel="0" collapsed="false">
      <c r="A58" s="2"/>
      <c r="B58" s="2" t="n">
        <v>13</v>
      </c>
      <c r="C58" s="21" t="n">
        <f aca="false">(ABS(C17-G17)/C17)*100</f>
        <v>9.78280332076158</v>
      </c>
      <c r="D58" s="22" t="n">
        <f aca="false">(ABS(D17-H17)/D17)*100</f>
        <v>56.0321321740664</v>
      </c>
      <c r="E58" s="22" t="n">
        <f aca="false">(ABS(E17-I17)/E17)*100</f>
        <v>0.361240997801083</v>
      </c>
      <c r="F58" s="22" t="n">
        <f aca="false">(ABS(F17-J17)/F17)*100</f>
        <v>0.166229215565307</v>
      </c>
      <c r="G58" s="35"/>
      <c r="H58" s="21" t="n">
        <f aca="false">(ABS(C17-K17)/C17)*100</f>
        <v>14.6775445008768</v>
      </c>
      <c r="I58" s="22" t="n">
        <f aca="false">(ABS(D17-L17)/D17)*100</f>
        <v>142.947752144227</v>
      </c>
      <c r="J58" s="22" t="n">
        <f aca="false">(ABS(E17-M17)/E17)*100</f>
        <v>11.4456286854924</v>
      </c>
      <c r="K58" s="22" t="n">
        <f aca="false">(ABS(F17-N17)/F17)*100</f>
        <v>0.11299489168583</v>
      </c>
      <c r="L58" s="35"/>
    </row>
    <row r="59" customFormat="false" ht="15" hidden="false" customHeight="false" outlineLevel="0" collapsed="false">
      <c r="A59" s="2"/>
      <c r="B59" s="2" t="n">
        <v>14</v>
      </c>
      <c r="C59" s="21" t="n">
        <f aca="false">(ABS(C18-G18)/C18)*100</f>
        <v>3.76593680124879</v>
      </c>
      <c r="D59" s="22" t="n">
        <f aca="false">(ABS(D18-H18)/D18)*100</f>
        <v>53.3458665718205</v>
      </c>
      <c r="E59" s="22" t="n">
        <f aca="false">(ABS(E18-I18)/E18)*100</f>
        <v>5.36194789798462</v>
      </c>
      <c r="F59" s="22" t="n">
        <f aca="false">(ABS(F18-J18)/F18)*100</f>
        <v>0.116494974128044</v>
      </c>
      <c r="G59" s="35"/>
      <c r="H59" s="21" t="n">
        <f aca="false">(ABS(C18-K18)/C18)*100</f>
        <v>16.8090115175294</v>
      </c>
      <c r="I59" s="22" t="n">
        <f aca="false">(ABS(D18-L18)/D18)*100</f>
        <v>130.809990781537</v>
      </c>
      <c r="J59" s="22" t="n">
        <f aca="false">(ABS(E18-M18)/E18)*100</f>
        <v>9.01991063014865</v>
      </c>
      <c r="K59" s="22" t="n">
        <f aca="false">(ABS(F18-N18)/F18)*100</f>
        <v>0.105732477577721</v>
      </c>
      <c r="L59" s="35"/>
    </row>
    <row r="60" customFormat="false" ht="15" hidden="false" customHeight="false" outlineLevel="0" collapsed="false">
      <c r="A60" s="2"/>
      <c r="B60" s="2" t="n">
        <v>15</v>
      </c>
      <c r="C60" s="21" t="n">
        <f aca="false">(ABS(C19-G19)/C19)*100</f>
        <v>39.7093313045988</v>
      </c>
      <c r="D60" s="22" t="n">
        <f aca="false">(ABS(D19-H19)/D19)*100</f>
        <v>24.8267841841107</v>
      </c>
      <c r="E60" s="22" t="n">
        <f aca="false">(ABS(E19-I19)/E19)*100</f>
        <v>14.1072654510139</v>
      </c>
      <c r="F60" s="22" t="n">
        <f aca="false">(ABS(F19-J19)/F19)*100</f>
        <v>0.293579990737214</v>
      </c>
      <c r="G60" s="35"/>
      <c r="H60" s="21" t="n">
        <f aca="false">(ABS(C19-K19)/C19)*100</f>
        <v>27.9802723051497</v>
      </c>
      <c r="I60" s="22" t="n">
        <f aca="false">(ABS(D19-L19)/D19)*100</f>
        <v>44.1877830823846</v>
      </c>
      <c r="J60" s="22" t="n">
        <f aca="false">(ABS(E19-M19)/E19)*100</f>
        <v>0.101304398787696</v>
      </c>
      <c r="K60" s="22" t="n">
        <f aca="false">(ABS(F19-N19)/F19)*100</f>
        <v>0.283184278011422</v>
      </c>
      <c r="L60" s="35"/>
    </row>
    <row r="61" customFormat="false" ht="15" hidden="false" customHeight="false" outlineLevel="0" collapsed="false">
      <c r="A61" s="2"/>
      <c r="B61" s="2" t="n">
        <v>16</v>
      </c>
      <c r="C61" s="21" t="n">
        <f aca="false">(ABS(C20-G20)/C20)*100</f>
        <v>2.41107607579044</v>
      </c>
      <c r="D61" s="22" t="n">
        <f aca="false">(ABS(D20-H20)/D20)*100</f>
        <v>52.4766077830438</v>
      </c>
      <c r="E61" s="22" t="n">
        <f aca="false">(ABS(E20-I20)/E20)*100</f>
        <v>5.45160502643652</v>
      </c>
      <c r="F61" s="22" t="n">
        <f aca="false">(ABS(F20-J20)/F20)*100</f>
        <v>0.107719494781868</v>
      </c>
      <c r="G61" s="35"/>
      <c r="H61" s="21" t="n">
        <f aca="false">(ABS(C20-K20)/C20)*100</f>
        <v>16.7657088231937</v>
      </c>
      <c r="I61" s="22" t="n">
        <f aca="false">(ABS(D20-L20)/D20)*100</f>
        <v>137.582817796782</v>
      </c>
      <c r="J61" s="22" t="n">
        <f aca="false">(ABS(E20-M20)/E20)*100</f>
        <v>8.5633721936118</v>
      </c>
      <c r="K61" s="22" t="n">
        <f aca="false">(ABS(F20-N20)/F20)*100</f>
        <v>0.0888473785700841</v>
      </c>
      <c r="L61" s="35"/>
    </row>
    <row r="62" customFormat="false" ht="15" hidden="false" customHeight="false" outlineLevel="0" collapsed="false">
      <c r="A62" s="2"/>
      <c r="B62" s="2" t="n">
        <v>17</v>
      </c>
      <c r="C62" s="21" t="n">
        <f aca="false">(ABS(C21-G21)/C21)*100</f>
        <v>27.5691805543974</v>
      </c>
      <c r="D62" s="22" t="n">
        <f aca="false">(ABS(D21-H21)/D21)*100</f>
        <v>47.8147664733506</v>
      </c>
      <c r="E62" s="22" t="n">
        <f aca="false">(ABS(E21-I21)/E21)*100</f>
        <v>18.9100262278105</v>
      </c>
      <c r="F62" s="22" t="n">
        <f aca="false">(ABS(F21-J21)/F21)*100</f>
        <v>0.0694942582526829</v>
      </c>
      <c r="G62" s="35"/>
      <c r="H62" s="21" t="n">
        <f aca="false">(ABS(C21-K21)/C21)*100</f>
        <v>27.3872205081778</v>
      </c>
      <c r="I62" s="22" t="n">
        <f aca="false">(ABS(D21-L21)/D21)*100</f>
        <v>95.9511282748227</v>
      </c>
      <c r="J62" s="22" t="n">
        <f aca="false">(ABS(E21-M21)/E21)*100</f>
        <v>4.1325123540867</v>
      </c>
      <c r="K62" s="22" t="n">
        <f aca="false">(ABS(F21-N21)/F21)*100</f>
        <v>0.222819561706682</v>
      </c>
      <c r="L62" s="35"/>
    </row>
    <row r="63" customFormat="false" ht="15" hidden="false" customHeight="false" outlineLevel="0" collapsed="false">
      <c r="A63" s="2"/>
      <c r="B63" s="2" t="n">
        <v>18</v>
      </c>
      <c r="C63" s="21" t="n">
        <f aca="false">(ABS(C22-G22)/C22)*100</f>
        <v>46.2222095011842</v>
      </c>
      <c r="D63" s="22" t="n">
        <f aca="false">(ABS(D22-H22)/D22)*100</f>
        <v>18.5334645669291</v>
      </c>
      <c r="E63" s="22" t="n">
        <f aca="false">(ABS(E22-I22)/E22)*100</f>
        <v>13.9434435439425</v>
      </c>
      <c r="F63" s="22" t="n">
        <f aca="false">(ABS(F22-J22)/F22)*100</f>
        <v>0.531933483630676</v>
      </c>
      <c r="G63" s="35"/>
      <c r="H63" s="21" t="n">
        <f aca="false">(ABS(C22-K22)/C22)*100</f>
        <v>28.8362873968701</v>
      </c>
      <c r="I63" s="22" t="n">
        <f aca="false">(ABS(D22-L22)/D22)*100</f>
        <v>30.0984251968504</v>
      </c>
      <c r="J63" s="22" t="n">
        <f aca="false">(ABS(E22-M22)/E22)*100</f>
        <v>0.779264056872605</v>
      </c>
      <c r="K63" s="22" t="n">
        <f aca="false">(ABS(F22-N22)/F22)*100</f>
        <v>0.297507242560948</v>
      </c>
      <c r="L63" s="35"/>
    </row>
    <row r="64" customFormat="false" ht="15" hidden="false" customHeight="false" outlineLevel="0" collapsed="false">
      <c r="A64" s="2"/>
      <c r="B64" s="2" t="n">
        <v>19</v>
      </c>
      <c r="C64" s="21" t="n">
        <f aca="false">(ABS(C23-G23)/C23)*100</f>
        <v>28.0952403866975</v>
      </c>
      <c r="D64" s="22" t="n">
        <f aca="false">(ABS(D23-H23)/D23)*100</f>
        <v>22.9895528239662</v>
      </c>
      <c r="E64" s="22" t="n">
        <f aca="false">(ABS(E23-I23)/E23)*100</f>
        <v>11.7421528064734</v>
      </c>
      <c r="F64" s="22" t="n">
        <f aca="false">(ABS(F23-J23)/F23)*100</f>
        <v>0.222273290302648</v>
      </c>
      <c r="G64" s="35"/>
      <c r="H64" s="21" t="n">
        <f aca="false">(ABS(C23-K23)/C23)*100</f>
        <v>24.4048678847607</v>
      </c>
      <c r="I64" s="22" t="n">
        <f aca="false">(ABS(D23-L23)/D23)*100</f>
        <v>42.1796084038652</v>
      </c>
      <c r="J64" s="22" t="n">
        <f aca="false">(ABS(E23-M23)/E23)*100</f>
        <v>1.09057813717747</v>
      </c>
      <c r="K64" s="22" t="n">
        <f aca="false">(ABS(F23-N23)/F23)*100</f>
        <v>0.190980847244882</v>
      </c>
      <c r="L64" s="35"/>
    </row>
    <row r="65" customFormat="false" ht="15" hidden="false" customHeight="false" outlineLevel="0" collapsed="false">
      <c r="A65" s="2"/>
      <c r="B65" s="2" t="n">
        <v>20</v>
      </c>
      <c r="C65" s="21" t="n">
        <f aca="false">(ABS(C24-G24)/C24)*100</f>
        <v>32.2904596369255</v>
      </c>
      <c r="D65" s="22" t="n">
        <f aca="false">(ABS(D24-H24)/D24)*100</f>
        <v>19.9328164497905</v>
      </c>
      <c r="E65" s="22" t="n">
        <f aca="false">(ABS(E24-I24)/E24)*100</f>
        <v>10.5590062111801</v>
      </c>
      <c r="F65" s="22" t="n">
        <f aca="false">(ABS(F24-J24)/F24)*100</f>
        <v>0.173936892286258</v>
      </c>
      <c r="G65" s="35"/>
      <c r="H65" s="21" t="n">
        <f aca="false">(ABS(C24-K24)/C24)*100</f>
        <v>23.5697407584123</v>
      </c>
      <c r="I65" s="22" t="n">
        <f aca="false">(ABS(D24-L24)/D24)*100</f>
        <v>33.972368785663</v>
      </c>
      <c r="J65" s="22" t="n">
        <f aca="false">(ABS(E24-M24)/E24)*100</f>
        <v>0.903090425848018</v>
      </c>
      <c r="K65" s="22" t="n">
        <f aca="false">(ABS(F24-N24)/F24)*100</f>
        <v>0.154970327245463</v>
      </c>
      <c r="L65" s="35"/>
    </row>
    <row r="66" customFormat="false" ht="15" hidden="false" customHeight="false" outlineLevel="0" collapsed="false">
      <c r="A66" s="2"/>
      <c r="B66" s="2" t="n">
        <v>21</v>
      </c>
      <c r="C66" s="21" t="n">
        <f aca="false">(ABS(C25-G25)/C25)*100</f>
        <v>0.0692235734331151</v>
      </c>
      <c r="D66" s="22" t="n">
        <f aca="false">(ABS(D25-H25)/D25)*100</f>
        <v>50.2187226596675</v>
      </c>
      <c r="E66" s="22" t="n">
        <f aca="false">(ABS(E25-I25)/E25)*100</f>
        <v>7.95839837992674</v>
      </c>
      <c r="F66" s="22" t="n">
        <f aca="false">(ABS(F25-J25)/F25)*100</f>
        <v>0.0704838191342097</v>
      </c>
      <c r="G66" s="35"/>
      <c r="H66" s="21" t="n">
        <f aca="false">(ABS(C25-K25)/C25)*100</f>
        <v>17.787548071926</v>
      </c>
      <c r="I66" s="22" t="n">
        <f aca="false">(ABS(D25-L25)/D25)*100</f>
        <v>117.079115110611</v>
      </c>
      <c r="J66" s="22" t="n">
        <f aca="false">(ABS(E25-M25)/E25)*100</f>
        <v>7.77703900416254</v>
      </c>
      <c r="K66" s="22" t="n">
        <f aca="false">(ABS(F25-N25)/F25)*100</f>
        <v>0.08747018007618</v>
      </c>
      <c r="L66" s="35"/>
    </row>
    <row r="67" customFormat="false" ht="15" hidden="false" customHeight="false" outlineLevel="0" collapsed="false">
      <c r="A67" s="2"/>
      <c r="B67" s="2" t="n">
        <v>22</v>
      </c>
      <c r="C67" s="21" t="n">
        <f aca="false">(ABS(C26-G26)/C26)*100</f>
        <v>27.2393798264253</v>
      </c>
      <c r="D67" s="22" t="n">
        <f aca="false">(ABS(D26-H26)/D26)*100</f>
        <v>26.4152154629068</v>
      </c>
      <c r="E67" s="22" t="n">
        <f aca="false">(ABS(E26-I26)/E26)*100</f>
        <v>11.60047065707</v>
      </c>
      <c r="F67" s="22" t="n">
        <f aca="false">(ABS(F26-J26)/F26)*100</f>
        <v>0.196554542309272</v>
      </c>
      <c r="G67" s="35"/>
      <c r="H67" s="21" t="n">
        <f aca="false">(ABS(C26-K26)/C26)*100</f>
        <v>24.2097025753615</v>
      </c>
      <c r="I67" s="22" t="n">
        <f aca="false">(ABS(D26-L26)/D26)*100</f>
        <v>37.3593538447173</v>
      </c>
      <c r="J67" s="22" t="n">
        <f aca="false">(ABS(E26-M26)/E26)*100</f>
        <v>0.851721512125658</v>
      </c>
      <c r="K67" s="22" t="n">
        <f aca="false">(ABS(F26-N26)/F26)*100</f>
        <v>0.18202180068865</v>
      </c>
      <c r="L67" s="35"/>
    </row>
    <row r="68" customFormat="false" ht="15" hidden="false" customHeight="false" outlineLevel="0" collapsed="false">
      <c r="A68" s="2"/>
      <c r="B68" s="2" t="n">
        <v>23</v>
      </c>
      <c r="C68" s="21" t="n">
        <f aca="false">(ABS(C27-G27)/C27)*100</f>
        <v>31.7412298898262</v>
      </c>
      <c r="D68" s="22" t="n">
        <f aca="false">(ABS(D27-H27)/D27)*100</f>
        <v>24.0770963118949</v>
      </c>
      <c r="E68" s="22" t="n">
        <f aca="false">(ABS(E27-I27)/E27)*100</f>
        <v>11.8389842177971</v>
      </c>
      <c r="F68" s="22" t="n">
        <f aca="false">(ABS(F27-J27)/F27)*100</f>
        <v>0.162348418030965</v>
      </c>
      <c r="G68" s="35"/>
      <c r="H68" s="21" t="n">
        <f aca="false">(ABS(C27-K27)/C27)*100</f>
        <v>24.9487161757249</v>
      </c>
      <c r="I68" s="22" t="n">
        <f aca="false">(ABS(D27-L27)/D27)*100</f>
        <v>36.5166271825919</v>
      </c>
      <c r="J68" s="22" t="n">
        <f aca="false">(ABS(E27-M27)/E27)*100</f>
        <v>1.01964668831371</v>
      </c>
      <c r="K68" s="22" t="n">
        <f aca="false">(ABS(F27-N27)/F27)*100</f>
        <v>0.155816889780226</v>
      </c>
      <c r="L68" s="35"/>
    </row>
    <row r="69" customFormat="false" ht="15" hidden="false" customHeight="false" outlineLevel="0" collapsed="false">
      <c r="A69" s="2"/>
      <c r="B69" s="2" t="n">
        <v>24</v>
      </c>
      <c r="C69" s="21" t="n">
        <f aca="false">(ABS(C28-G28)/C28)*100</f>
        <v>5.05187167864958</v>
      </c>
      <c r="D69" s="22" t="n">
        <f aca="false">(ABS(D28-H28)/D28)*100</f>
        <v>50.3208943220203</v>
      </c>
      <c r="E69" s="22" t="n">
        <f aca="false">(ABS(E28-I28)/E28)*100</f>
        <v>10.718624355392</v>
      </c>
      <c r="F69" s="22" t="n">
        <f aca="false">(ABS(F28-J28)/F28)*100</f>
        <v>0.000822867487476985</v>
      </c>
      <c r="G69" s="35"/>
      <c r="H69" s="21" t="n">
        <f aca="false">(ABS(C28-K28)/C28)*100</f>
        <v>19.4404012972804</v>
      </c>
      <c r="I69" s="22" t="n">
        <f aca="false">(ABS(D28-L28)/D28)*100</f>
        <v>108.905420620878</v>
      </c>
      <c r="J69" s="22" t="n">
        <f aca="false">(ABS(E28-M28)/E28)*100</f>
        <v>6.42321322980958</v>
      </c>
      <c r="K69" s="22" t="n">
        <f aca="false">(ABS(F28-N28)/F28)*100</f>
        <v>0.0941550298170781</v>
      </c>
      <c r="L69" s="35"/>
    </row>
    <row r="70" customFormat="false" ht="15" hidden="false" customHeight="false" outlineLevel="0" collapsed="false">
      <c r="A70" s="2"/>
      <c r="B70" s="2" t="n">
        <v>25</v>
      </c>
      <c r="C70" s="21" t="n">
        <f aca="false">(ABS(C29-G29)/C29)*100</f>
        <v>26.9107583527312</v>
      </c>
      <c r="D70" s="22" t="n">
        <f aca="false">(ABS(D29-H29)/D29)*100</f>
        <v>31.8483419158481</v>
      </c>
      <c r="E70" s="22" t="n">
        <f aca="false">(ABS(E29-I29)/E29)*100</f>
        <v>14.4814449447495</v>
      </c>
      <c r="F70" s="22" t="n">
        <f aca="false">(ABS(F29-J29)/F29)*100</f>
        <v>0.543536114750301</v>
      </c>
      <c r="G70" s="35"/>
      <c r="H70" s="21" t="n">
        <f aca="false">(ABS(C29-K29)/C29)*100</f>
        <v>26.7561591729819</v>
      </c>
      <c r="I70" s="22" t="n">
        <f aca="false">(ABS(D29-L29)/D29)*100</f>
        <v>44.577148874176</v>
      </c>
      <c r="J70" s="22" t="n">
        <f aca="false">(ABS(E29-M29)/E29)*100</f>
        <v>0.319281408904301</v>
      </c>
      <c r="K70" s="22" t="n">
        <f aca="false">(ABS(F29-N29)/F29)*100</f>
        <v>0.289897290919191</v>
      </c>
      <c r="L70" s="35"/>
    </row>
    <row r="71" customFormat="false" ht="15" hidden="false" customHeight="false" outlineLevel="0" collapsed="false">
      <c r="A71" s="2"/>
      <c r="B71" s="2" t="n">
        <v>26</v>
      </c>
      <c r="C71" s="21" t="n">
        <f aca="false">(ABS(C30-G30)/C30)*100</f>
        <v>31.26099498303</v>
      </c>
      <c r="D71" s="22" t="n">
        <f aca="false">(ABS(D30-H30)/D30)*100</f>
        <v>26.7858424400587</v>
      </c>
      <c r="E71" s="22" t="n">
        <f aca="false">(ABS(E30-I30)/E30)*100</f>
        <v>13.353905863287</v>
      </c>
      <c r="F71" s="22" t="n">
        <f aca="false">(ABS(F30-J30)/F30)*100</f>
        <v>0.331482557016381</v>
      </c>
      <c r="G71" s="35"/>
      <c r="H71" s="21" t="n">
        <f aca="false">(ABS(C30-K30)/C30)*100</f>
        <v>26.606526207301</v>
      </c>
      <c r="I71" s="22" t="n">
        <f aca="false">(ABS(D30-L30)/D30)*100</f>
        <v>39.8819115968031</v>
      </c>
      <c r="J71" s="22" t="n">
        <f aca="false">(ABS(E30-M30)/E30)*100</f>
        <v>0.176087563859274</v>
      </c>
      <c r="K71" s="22" t="n">
        <f aca="false">(ABS(F30-N30)/F30)*100</f>
        <v>0.227955354825055</v>
      </c>
      <c r="L71" s="35"/>
    </row>
    <row r="72" customFormat="false" ht="15" hidden="false" customHeight="false" outlineLevel="0" collapsed="false">
      <c r="A72" s="2"/>
      <c r="B72" s="2" t="n">
        <v>27</v>
      </c>
      <c r="C72" s="21" t="n">
        <f aca="false">(ABS(C31-G31)/C31)*100</f>
        <v>18.9390677838248</v>
      </c>
      <c r="D72" s="22" t="n">
        <f aca="false">(ABS(D31-H31)/D31)*100</f>
        <v>58.629526749856</v>
      </c>
      <c r="E72" s="22" t="n">
        <f aca="false">(ABS(E31-I31)/E31)*100</f>
        <v>16.8811567198549</v>
      </c>
      <c r="F72" s="22" t="n">
        <f aca="false">(ABS(F31-J31)/F31)*100</f>
        <v>0.133349996297119</v>
      </c>
      <c r="G72" s="35"/>
      <c r="H72" s="21" t="n">
        <f aca="false">(ABS(C31-K31)/C31)*100</f>
        <v>28.5235924212819</v>
      </c>
      <c r="I72" s="22" t="n">
        <f aca="false">(ABS(D31-L31)/D31)*100</f>
        <v>96.9737102364101</v>
      </c>
      <c r="J72" s="22" t="n">
        <f aca="false">(ABS(E31-M31)/E31)*100</f>
        <v>2.33149371925752</v>
      </c>
      <c r="K72" s="22" t="n">
        <f aca="false">(ABS(F31-N31)/F31)*100</f>
        <v>0.270433730775877</v>
      </c>
      <c r="L72" s="35"/>
    </row>
    <row r="73" customFormat="false" ht="15" hidden="false" customHeight="false" outlineLevel="0" collapsed="false">
      <c r="A73" s="2"/>
      <c r="B73" s="2" t="n">
        <v>28</v>
      </c>
      <c r="C73" s="21" t="n">
        <f aca="false">(ABS(C32-G32)/C32)*100</f>
        <v>24.8033594443996</v>
      </c>
      <c r="D73" s="22" t="n">
        <f aca="false">(ABS(D32-H32)/D32)*100</f>
        <v>44.1072790160565</v>
      </c>
      <c r="E73" s="22" t="n">
        <f aca="false">(ABS(E32-I32)/E32)*100</f>
        <v>21.2337185909826</v>
      </c>
      <c r="F73" s="22" t="n">
        <f aca="false">(ABS(F32-J32)/F32)*100</f>
        <v>0.942971920240968</v>
      </c>
      <c r="G73" s="35"/>
      <c r="H73" s="21" t="n">
        <f aca="false">(ABS(C32-K32)/C32)*100</f>
        <v>35.0012113381249</v>
      </c>
      <c r="I73" s="22" t="n">
        <f aca="false">(ABS(D32-L32)/D32)*100</f>
        <v>52.5024035008233</v>
      </c>
      <c r="J73" s="22" t="n">
        <f aca="false">(ABS(E32-M32)/E32)*100</f>
        <v>4.67878979132973</v>
      </c>
      <c r="K73" s="22" t="n">
        <f aca="false">(ABS(F32-N32)/F32)*100</f>
        <v>0.498752013986645</v>
      </c>
      <c r="L73" s="35"/>
    </row>
    <row r="74" customFormat="false" ht="15" hidden="false" customHeight="false" outlineLevel="0" collapsed="false">
      <c r="A74" s="2"/>
      <c r="B74" s="2" t="n">
        <v>29</v>
      </c>
      <c r="C74" s="21" t="n">
        <f aca="false">(ABS(C33-G33)/C33)*100</f>
        <v>34.4400283957831</v>
      </c>
      <c r="D74" s="22" t="n">
        <f aca="false">(ABS(D33-H33)/D33)*100</f>
        <v>49.3089067356137</v>
      </c>
      <c r="E74" s="22" t="n">
        <f aca="false">(ABS(E33-I33)/E33)*100</f>
        <v>22.1561059361804</v>
      </c>
      <c r="F74" s="22" t="n">
        <f aca="false">(ABS(F33-J33)/F33)*100</f>
        <v>0.593698826458216</v>
      </c>
      <c r="G74" s="35"/>
      <c r="H74" s="21" t="n">
        <f aca="false">(ABS(C33-K33)/C33)*100</f>
        <v>34.3951166979761</v>
      </c>
      <c r="I74" s="22" t="n">
        <f aca="false">(ABS(D33-L33)/D33)*100</f>
        <v>78.7394742201404</v>
      </c>
      <c r="J74" s="22" t="n">
        <f aca="false">(ABS(E33-M33)/E33)*100</f>
        <v>1.96751208584051</v>
      </c>
      <c r="K74" s="22" t="n">
        <f aca="false">(ABS(F33-N33)/F33)*100</f>
        <v>0.494482269899215</v>
      </c>
      <c r="L74" s="35"/>
    </row>
    <row r="75" customFormat="false" ht="15" hidden="false" customHeight="false" outlineLevel="0" collapsed="false">
      <c r="A75" s="2"/>
      <c r="B75" s="2" t="n">
        <v>30</v>
      </c>
      <c r="C75" s="21" t="n">
        <f aca="false">(ABS(C34-G34)/C34)*100</f>
        <v>0.751153920206483</v>
      </c>
      <c r="D75" s="22" t="n">
        <f aca="false">(ABS(D34-H34)/D34)*100</f>
        <v>48.6321658825579</v>
      </c>
      <c r="E75" s="22" t="n">
        <f aca="false">(ABS(E34-I34)/E34)*100</f>
        <v>7.77747970439637</v>
      </c>
      <c r="F75" s="22" t="n">
        <f aca="false">(ABS(F34-J34)/F34)*100</f>
        <v>0.0678225091535063</v>
      </c>
      <c r="G75" s="35"/>
      <c r="H75" s="21" t="n">
        <f aca="false">(ABS(C34-K34)/C34)*100</f>
        <v>17.7547600834673</v>
      </c>
      <c r="I75" s="22" t="n">
        <f aca="false">(ABS(D34-L34)/D34)*100</f>
        <v>115.799306886604</v>
      </c>
      <c r="J75" s="22" t="n">
        <f aca="false">(ABS(E34-M34)/E34)*100</f>
        <v>7.44134873946896</v>
      </c>
      <c r="K75" s="22" t="n">
        <f aca="false">(ABS(F34-N34)/F34)*100</f>
        <v>0.073409156207563</v>
      </c>
      <c r="L75" s="35"/>
    </row>
    <row r="76" customFormat="false" ht="15" hidden="false" customHeight="false" outlineLevel="0" collapsed="false">
      <c r="A76" s="2"/>
      <c r="B76" s="13" t="n">
        <v>31</v>
      </c>
      <c r="C76" s="21" t="n">
        <f aca="false">(ABS(C35-G35)/C35)*100</f>
        <v>30.6826903459599</v>
      </c>
      <c r="D76" s="22" t="n">
        <f aca="false">(ABS(D35-H35)/D35)*100</f>
        <v>24.6400772788913</v>
      </c>
      <c r="E76" s="22" t="n">
        <f aca="false">(ABS(E35-I35)/E35)*100</f>
        <v>16.5438470907038</v>
      </c>
      <c r="F76" s="22" t="n">
        <f aca="false">(ABS(F35-J35)/F35)*100</f>
        <v>0.851208422583564</v>
      </c>
      <c r="G76" s="35"/>
      <c r="H76" s="21" t="n">
        <f aca="false">(ABS(C35-K35)/C35)*100</f>
        <v>29.726710126201</v>
      </c>
      <c r="I76" s="22" t="n">
        <f aca="false">(ABS(D35-L35)/D35)*100</f>
        <v>33.2837955824711</v>
      </c>
      <c r="J76" s="22" t="n">
        <f aca="false">(ABS(E35-M35)/E35)*100</f>
        <v>2.94824363463699</v>
      </c>
      <c r="K76" s="22" t="n">
        <f aca="false">(ABS(F35-N35)/F35)*100</f>
        <v>0.383650776034413</v>
      </c>
      <c r="L76" s="35"/>
    </row>
    <row r="77" customFormat="false" ht="15" hidden="false" customHeight="false" outlineLevel="0" collapsed="false">
      <c r="A77" s="2"/>
      <c r="B77" s="2" t="n">
        <v>32</v>
      </c>
      <c r="C77" s="21" t="n">
        <f aca="false">(ABS(C36-G36)/C36)*100</f>
        <v>42.0890125587763</v>
      </c>
      <c r="D77" s="22" t="n">
        <f aca="false">(ABS(D36-H36)/D36)*100</f>
        <v>25.2691860291705</v>
      </c>
      <c r="E77" s="22" t="n">
        <f aca="false">(ABS(E36-I36)/E36)*100</f>
        <v>15.5666697949905</v>
      </c>
      <c r="F77" s="22" t="n">
        <f aca="false">(ABS(F36-J36)/F36)*100</f>
        <v>0.439296518932245</v>
      </c>
      <c r="G77" s="26" t="s">
        <v>15</v>
      </c>
      <c r="H77" s="21" t="n">
        <f aca="false">(ABS(C36-K36)/C36)*100</f>
        <v>5.49967263853342</v>
      </c>
      <c r="I77" s="22" t="n">
        <f aca="false">(ABS(D36-L36)/D36)*100</f>
        <v>4.81552181823605</v>
      </c>
      <c r="J77" s="22" t="n">
        <f aca="false">(ABS(E36-M36)/E36)*100</f>
        <v>0.912558134684769</v>
      </c>
      <c r="K77" s="22" t="n">
        <f aca="false">(ABS(F36-N36)/F36)*100</f>
        <v>0.0920117372216368</v>
      </c>
      <c r="L77" s="26" t="s">
        <v>15</v>
      </c>
    </row>
    <row r="78" customFormat="false" ht="15" hidden="false" customHeight="false" outlineLevel="0" collapsed="false">
      <c r="A78" s="2"/>
      <c r="B78" s="2" t="s">
        <v>13</v>
      </c>
      <c r="C78" s="27" t="n">
        <f aca="false">(ABS(SUM(C4:C36)-SUM(G4:G36))/SUM(C4:C36))*100</f>
        <v>12.7436551083761</v>
      </c>
      <c r="D78" s="27" t="n">
        <f aca="false">(ABS(SUM(D4:D36)-SUM(H4:H36))/SUM(D4:D36))*100</f>
        <v>31.7509469971776</v>
      </c>
      <c r="E78" s="27" t="n">
        <f aca="false">(ABS(SUM(E4:E36)-SUM(I4:I36))/SUM(E4:E36))*100</f>
        <v>11.6664386712035</v>
      </c>
      <c r="F78" s="27" t="n">
        <f aca="false">(ABS(SUM(F4:F36)-SUM(J4:J36))/SUM(F4:F36))*100</f>
        <v>0.160319481805659</v>
      </c>
      <c r="G78" s="28" t="n">
        <f aca="false">SUM(C45:F77)/COUNT(C45:F77)</f>
        <v>16.7545699325964</v>
      </c>
      <c r="H78" s="27" t="n">
        <f aca="false">(ABS(SUM(C4:C36)-SUM(K4:K36))/SUM(C4:C36))*100</f>
        <v>19.7605288607823</v>
      </c>
      <c r="I78" s="27" t="n">
        <f aca="false">(ABS(SUM(D4:D36)-SUM(L4:L36))/SUM(D4:D36))*100</f>
        <v>58.5085213728717</v>
      </c>
      <c r="J78" s="27" t="n">
        <f aca="false">(ABS(SUM(E4:E36)-SUM(M4:M36))/SUM(E4:E36))*100</f>
        <v>2.306139494219</v>
      </c>
      <c r="K78" s="27" t="n">
        <f aca="false">(ABS(SUM(F4:F36)-SUM(N4:N36))/SUM(F4:F36))*100</f>
        <v>0.211866308465927</v>
      </c>
      <c r="L78" s="28" t="n">
        <f aca="false">SUM(H45:K77)/COUNT(H45:K77)</f>
        <v>22.0315491369736</v>
      </c>
    </row>
  </sheetData>
  <mergeCells count="11">
    <mergeCell ref="B1:B3"/>
    <mergeCell ref="C1:F2"/>
    <mergeCell ref="G1:N1"/>
    <mergeCell ref="G2:J2"/>
    <mergeCell ref="K2:N2"/>
    <mergeCell ref="A3:A37"/>
    <mergeCell ref="B42:B44"/>
    <mergeCell ref="C42:L42"/>
    <mergeCell ref="C43:G43"/>
    <mergeCell ref="H43:L43"/>
    <mergeCell ref="A44:A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2026-03-27T10:30:36Z</dcterms:created>
  <dc:creator>openpyxl</dc:creator>
  <dc:description/>
  <dc:language>fr-FR</dc:language>
  <cp:lastModifiedBy/>
  <dcterms:modified xsi:type="dcterms:W3CDTF">2026-08-28T20:55:43Z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