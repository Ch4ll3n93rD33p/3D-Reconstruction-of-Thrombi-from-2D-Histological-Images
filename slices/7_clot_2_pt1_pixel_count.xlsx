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 clustering" sheetId="1" state="visible" r:id="rId3"/>
    <sheet name="Color classific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<sst xmlns="http://schemas.openxmlformats.org/spreadsheetml/2006/main" count="77" uniqueCount="20">
  <si>
    <t xml:space="preserve">image</t>
  </si>
  <si>
    <t xml:space="preserve">Pre-alignement</t>
  </si>
  <si>
    <t xml:space="preserve">Shape of the array images</t>
  </si>
  <si>
    <t xml:space="preserve">Random correction</t>
  </si>
  <si>
    <t xml:space="preserve">Color classification</t>
  </si>
  <si>
    <t xml:space="preserve">(33, 2182, 1666, 3)</t>
  </si>
  <si>
    <t xml:space="preserve">7_clot_2_pt1/Col_clust</t>
  </si>
  <si>
    <t xml:space="preserve">#d4753d</t>
  </si>
  <si>
    <t xml:space="preserve">#e7aa56</t>
  </si>
  <si>
    <t xml:space="preserve">#f18c84</t>
  </si>
  <si>
    <t xml:space="preserve">#f4bfb3</t>
  </si>
  <si>
    <t xml:space="preserve">#ffffff</t>
  </si>
  <si>
    <t xml:space="preserve">Total</t>
  </si>
  <si>
    <t xml:space="preserve">Error</t>
  </si>
  <si>
    <t xml:space="preserve">6_clot_1/Col_clust</t>
  </si>
  <si>
    <t xml:space="preserve">MAPE</t>
  </si>
  <si>
    <t xml:space="preserve">7_clot_2_pt1/Col_class</t>
  </si>
  <si>
    <t xml:space="preserve">#d76c3a</t>
  </si>
  <si>
    <t xml:space="preserve">#f6b354</t>
  </si>
  <si>
    <t xml:space="preserve">#fabeb3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</si>
</sst>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D4753D"/>
        <bgColor rgb="FFD76C3A"/>
      </patternFill>
    </fill>
    <fill>
      <patternFill patternType="solid">
        <fgColor rgb="FFE7AA56"/>
        <bgColor rgb="FFF6B354"/>
      </patternFill>
    </fill>
    <fill>
      <patternFill patternType="solid">
        <fgColor rgb="FFF18C84"/>
        <bgColor rgb="FFFF99CC"/>
      </patternFill>
    </fill>
    <fill>
      <patternFill patternType="solid">
        <fgColor rgb="FFF4BFB3"/>
        <bgColor rgb="FFFABEB3"/>
      </patternFill>
    </fill>
    <fill>
      <patternFill patternType="solid">
        <fgColor rgb="FFFFFFFF"/>
        <bgColor rgb="FFF2F2F2"/>
      </patternFill>
    </fill>
    <fill>
      <patternFill patternType="solid">
        <fgColor rgb="FFEEEEEE"/>
        <bgColor rgb="FFF2F2F2"/>
      </patternFill>
    </fill>
    <fill>
      <patternFill patternType="solid">
        <fgColor theme="0" tint="-0.05"/>
        <bgColor rgb="FFEEEEEE"/>
      </patternFill>
    </fill>
    <fill>
      <patternFill patternType="solid">
        <fgColor rgb="FFD76C3A"/>
        <bgColor rgb="FFD4753D"/>
      </patternFill>
    </fill>
    <fill>
      <patternFill patternType="solid">
        <fgColor rgb="FFF6B354"/>
        <bgColor rgb="FFE7AA56"/>
      </patternFill>
    </fill>
    <fill>
      <patternFill patternType="solid">
        <fgColor rgb="FFFABEB3"/>
        <bgColor rgb="FFF4BFB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4753D"/>
      <rgbColor rgb="FF800080"/>
      <rgbColor rgb="FF008080"/>
      <rgbColor rgb="FFF4BFB3"/>
      <rgbColor rgb="FF808080"/>
      <rgbColor rgb="FF9999FF"/>
      <rgbColor rgb="FF993366"/>
      <rgbColor rgb="FFF2F2F2"/>
      <rgbColor rgb="FFEEEEEE"/>
      <rgbColor rgb="FF660066"/>
      <rgbColor rgb="FFF18C8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EB3"/>
      <rgbColor rgb="FF3366FF"/>
      <rgbColor rgb="FF33CCCC"/>
      <rgbColor rgb="FF99CC00"/>
      <rgbColor rgb="FFF6B354"/>
      <rgbColor rgb="FFE7AA56"/>
      <rgbColor rgb="FFD76C3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S32" activeCellId="0" sqref="S32"/>
    </sheetView>
  </sheetViews>
  <sheetFormatPr defaultColWidth="8.6796875" defaultRowHeight="15" zeroHeight="false" outlineLevelRow="0" outlineLevelCol="0"/>
  <cols>
    <col collapsed="false" customWidth="true" hidden="false" outlineLevel="0" max="8" min="8" style="1" width="12.1"/>
    <col collapsed="false" customWidth="true" hidden="false" outlineLevel="0" max="14" min="14" style="1" width="11.12"/>
  </cols>
  <sheetData>
    <row r="1" customFormat="false" ht="15" hidden="false" customHeight="false" outlineLevel="0" collapsed="false">
      <c r="B1" s="2" t="s">
        <v>0</v>
      </c>
      <c r="C1" s="2" t="s">
        <v>1</v>
      </c>
      <c r="D1" s="2"/>
      <c r="E1" s="2"/>
      <c r="F1" s="2"/>
      <c r="G1" s="2"/>
      <c r="S1" s="3" t="s">
        <v>2</v>
      </c>
    </row>
    <row r="2" customFormat="false" ht="15" hidden="false" customHeight="false" outlineLevel="0" collapsed="false">
      <c r="B2" s="2"/>
      <c r="C2" s="2"/>
      <c r="D2" s="2"/>
      <c r="E2" s="2"/>
      <c r="F2" s="2"/>
      <c r="G2" s="2"/>
      <c r="H2" s="4" t="s">
        <v>3</v>
      </c>
      <c r="I2" s="4"/>
      <c r="J2" s="4"/>
      <c r="K2" s="4"/>
      <c r="L2" s="4"/>
      <c r="M2" s="2" t="s">
        <v>4</v>
      </c>
      <c r="N2" s="2"/>
      <c r="O2" s="2"/>
      <c r="P2" s="2"/>
      <c r="Q2" s="2"/>
      <c r="S2" s="3" t="s">
        <v>5</v>
      </c>
    </row>
    <row r="3" customFormat="false" ht="15" hidden="false" customHeight="false" outlineLevel="0" collapsed="false">
      <c r="A3" s="2" t="s">
        <v>6</v>
      </c>
      <c r="B3" s="2"/>
      <c r="C3" s="5" t="s">
        <v>7</v>
      </c>
      <c r="D3" s="6" t="s">
        <v>8</v>
      </c>
      <c r="E3" s="7" t="s">
        <v>9</v>
      </c>
      <c r="F3" s="8" t="s">
        <v>10</v>
      </c>
      <c r="G3" s="9" t="s">
        <v>11</v>
      </c>
      <c r="H3" s="5" t="s">
        <v>7</v>
      </c>
      <c r="I3" s="6" t="s">
        <v>8</v>
      </c>
      <c r="J3" s="7" t="s">
        <v>9</v>
      </c>
      <c r="K3" s="8" t="s">
        <v>10</v>
      </c>
      <c r="L3" s="9" t="s">
        <v>11</v>
      </c>
      <c r="M3" s="5" t="s">
        <v>7</v>
      </c>
      <c r="N3" s="6" t="s">
        <v>8</v>
      </c>
      <c r="O3" s="7" t="s">
        <v>9</v>
      </c>
      <c r="P3" s="8" t="s">
        <v>10</v>
      </c>
      <c r="Q3" s="9" t="s">
        <v>11</v>
      </c>
    </row>
    <row r="4" customFormat="false" ht="15" hidden="false" customHeight="false" outlineLevel="0" collapsed="false">
      <c r="A4" s="2"/>
      <c r="B4" s="1" t="n">
        <v>0</v>
      </c>
      <c r="C4" s="1" t="n">
        <v>281704</v>
      </c>
      <c r="D4" s="1" t="n">
        <v>87038</v>
      </c>
      <c r="E4" s="1" t="n">
        <v>215136</v>
      </c>
      <c r="F4" s="1" t="n">
        <v>59855</v>
      </c>
      <c r="G4" s="1" t="n">
        <v>2991479</v>
      </c>
      <c r="H4" s="1" t="n">
        <v>281704</v>
      </c>
      <c r="I4" s="1" t="n">
        <v>87038</v>
      </c>
      <c r="J4" s="1" t="n">
        <v>215136</v>
      </c>
      <c r="K4" s="1" t="n">
        <v>59855</v>
      </c>
      <c r="L4" s="1" t="n">
        <v>2991479</v>
      </c>
      <c r="M4" s="1" t="n">
        <v>281704</v>
      </c>
      <c r="N4" s="1" t="n">
        <v>87038</v>
      </c>
      <c r="O4" s="1" t="n">
        <v>215136</v>
      </c>
      <c r="P4" s="1" t="n">
        <v>59855</v>
      </c>
      <c r="Q4" s="1" t="n">
        <v>2991479</v>
      </c>
    </row>
    <row r="5" customFormat="false" ht="15" hidden="false" customHeight="false" outlineLevel="0" collapsed="false">
      <c r="A5" s="2"/>
      <c r="B5" s="1" t="n">
        <v>1</v>
      </c>
      <c r="C5" s="1" t="n">
        <v>106180</v>
      </c>
      <c r="D5" s="1" t="n">
        <v>136955</v>
      </c>
      <c r="E5" s="1" t="n">
        <v>201218</v>
      </c>
      <c r="F5" s="1" t="n">
        <v>156382</v>
      </c>
      <c r="G5" s="1" t="n">
        <v>3034477</v>
      </c>
      <c r="H5" s="1" t="n">
        <v>60111</v>
      </c>
      <c r="I5" s="1" t="n">
        <v>314933</v>
      </c>
      <c r="J5" s="1" t="n">
        <v>59618</v>
      </c>
      <c r="K5" s="1" t="n">
        <v>2943</v>
      </c>
      <c r="L5" s="1" t="n">
        <v>3197607</v>
      </c>
      <c r="M5" s="1" t="n">
        <v>94592</v>
      </c>
      <c r="N5" s="1" t="n">
        <v>133902</v>
      </c>
      <c r="O5" s="1" t="n">
        <v>233378</v>
      </c>
      <c r="P5" s="1" t="n">
        <v>142071</v>
      </c>
      <c r="Q5" s="1" t="n">
        <v>3031269</v>
      </c>
    </row>
    <row r="6" customFormat="false" ht="15" hidden="false" customHeight="false" outlineLevel="0" collapsed="false">
      <c r="A6" s="2"/>
      <c r="B6" s="1" t="n">
        <v>2</v>
      </c>
      <c r="C6" s="1" t="n">
        <v>103088</v>
      </c>
      <c r="D6" s="1" t="n">
        <v>138014</v>
      </c>
      <c r="E6" s="1" t="n">
        <v>211751</v>
      </c>
      <c r="F6" s="1" t="n">
        <v>164505</v>
      </c>
      <c r="G6" s="1" t="n">
        <v>3017854</v>
      </c>
      <c r="H6" s="1" t="n">
        <v>107325</v>
      </c>
      <c r="I6" s="1" t="n">
        <v>233339</v>
      </c>
      <c r="J6" s="1" t="n">
        <v>184546</v>
      </c>
      <c r="K6" s="1" t="n">
        <v>19060</v>
      </c>
      <c r="L6" s="1" t="n">
        <v>3090942</v>
      </c>
      <c r="M6" s="1" t="n">
        <v>94069</v>
      </c>
      <c r="N6" s="1" t="n">
        <v>137941</v>
      </c>
      <c r="O6" s="1" t="n">
        <v>234740</v>
      </c>
      <c r="P6" s="1" t="n">
        <v>152822</v>
      </c>
      <c r="Q6" s="1" t="n">
        <v>3015640</v>
      </c>
    </row>
    <row r="7" customFormat="false" ht="15" hidden="false" customHeight="false" outlineLevel="0" collapsed="false">
      <c r="A7" s="2"/>
      <c r="B7" s="1" t="n">
        <v>3</v>
      </c>
      <c r="C7" s="1" t="n">
        <v>66527</v>
      </c>
      <c r="D7" s="1" t="n">
        <v>113227</v>
      </c>
      <c r="E7" s="1" t="n">
        <v>135862</v>
      </c>
      <c r="F7" s="1" t="n">
        <v>205724</v>
      </c>
      <c r="G7" s="1" t="n">
        <v>3113872</v>
      </c>
      <c r="H7" s="1" t="n">
        <v>45885</v>
      </c>
      <c r="I7" s="1" t="n">
        <v>223029</v>
      </c>
      <c r="J7" s="1" t="n">
        <v>162062</v>
      </c>
      <c r="K7" s="1" t="n">
        <v>18098</v>
      </c>
      <c r="L7" s="1" t="n">
        <v>3186138</v>
      </c>
      <c r="M7" s="1" t="n">
        <v>56855</v>
      </c>
      <c r="N7" s="1" t="n">
        <v>111452</v>
      </c>
      <c r="O7" s="1" t="n">
        <v>159279</v>
      </c>
      <c r="P7" s="1" t="n">
        <v>196387</v>
      </c>
      <c r="Q7" s="1" t="n">
        <v>3111239</v>
      </c>
    </row>
    <row r="8" customFormat="false" ht="15" hidden="false" customHeight="false" outlineLevel="0" collapsed="false">
      <c r="A8" s="2"/>
      <c r="B8" s="1" t="n">
        <v>4</v>
      </c>
      <c r="C8" s="1" t="n">
        <v>91225</v>
      </c>
      <c r="D8" s="1" t="n">
        <v>129631</v>
      </c>
      <c r="E8" s="1" t="n">
        <v>188893</v>
      </c>
      <c r="F8" s="1" t="n">
        <v>172668</v>
      </c>
      <c r="G8" s="1" t="n">
        <v>3052795</v>
      </c>
      <c r="H8" s="1" t="n">
        <v>84846</v>
      </c>
      <c r="I8" s="1" t="n">
        <v>224363</v>
      </c>
      <c r="J8" s="1" t="n">
        <v>189365</v>
      </c>
      <c r="K8" s="1" t="n">
        <v>12344</v>
      </c>
      <c r="L8" s="1" t="n">
        <v>3124294</v>
      </c>
      <c r="M8" s="1" t="n">
        <v>78730</v>
      </c>
      <c r="N8" s="1" t="n">
        <v>130449</v>
      </c>
      <c r="O8" s="1" t="n">
        <v>215462</v>
      </c>
      <c r="P8" s="1" t="n">
        <v>160981</v>
      </c>
      <c r="Q8" s="1" t="n">
        <v>3049590</v>
      </c>
    </row>
    <row r="9" customFormat="false" ht="15" hidden="false" customHeight="false" outlineLevel="0" collapsed="false">
      <c r="A9" s="2"/>
      <c r="B9" s="1" t="n">
        <v>5</v>
      </c>
      <c r="C9" s="1" t="n">
        <v>91986</v>
      </c>
      <c r="D9" s="1" t="n">
        <v>126675</v>
      </c>
      <c r="E9" s="1" t="n">
        <v>179359</v>
      </c>
      <c r="F9" s="1" t="n">
        <v>140904</v>
      </c>
      <c r="G9" s="1" t="n">
        <v>3096288</v>
      </c>
      <c r="H9" s="1" t="n">
        <v>78952</v>
      </c>
      <c r="I9" s="1" t="n">
        <v>227275</v>
      </c>
      <c r="J9" s="1" t="n">
        <v>147356</v>
      </c>
      <c r="K9" s="1" t="n">
        <v>11577</v>
      </c>
      <c r="L9" s="1" t="n">
        <v>3170052</v>
      </c>
      <c r="M9" s="1" t="n">
        <v>84514</v>
      </c>
      <c r="N9" s="1" t="n">
        <v>126748</v>
      </c>
      <c r="O9" s="1" t="n">
        <v>196970</v>
      </c>
      <c r="P9" s="1" t="n">
        <v>132657</v>
      </c>
      <c r="Q9" s="1" t="n">
        <v>3094323</v>
      </c>
    </row>
    <row r="10" customFormat="false" ht="15" hidden="false" customHeight="false" outlineLevel="0" collapsed="false">
      <c r="A10" s="2"/>
      <c r="B10" s="1" t="n">
        <v>6</v>
      </c>
      <c r="C10" s="1" t="n">
        <v>112005</v>
      </c>
      <c r="D10" s="1" t="n">
        <v>103424</v>
      </c>
      <c r="E10" s="1" t="n">
        <v>212956</v>
      </c>
      <c r="F10" s="1" t="n">
        <v>116333</v>
      </c>
      <c r="G10" s="1" t="n">
        <v>3090494</v>
      </c>
      <c r="H10" s="1" t="n">
        <v>124931</v>
      </c>
      <c r="I10" s="1" t="n">
        <v>158192</v>
      </c>
      <c r="J10" s="1" t="n">
        <v>161811</v>
      </c>
      <c r="K10" s="1" t="n">
        <v>14111</v>
      </c>
      <c r="L10" s="1" t="n">
        <v>3176167</v>
      </c>
      <c r="M10" s="1" t="n">
        <v>106448</v>
      </c>
      <c r="N10" s="1" t="n">
        <v>103435</v>
      </c>
      <c r="O10" s="1" t="n">
        <v>227214</v>
      </c>
      <c r="P10" s="1" t="n">
        <v>109101</v>
      </c>
      <c r="Q10" s="1" t="n">
        <v>3089014</v>
      </c>
    </row>
    <row r="11" customFormat="false" ht="15" hidden="false" customHeight="false" outlineLevel="0" collapsed="false">
      <c r="A11" s="2"/>
      <c r="B11" s="1" t="n">
        <v>7</v>
      </c>
      <c r="C11" s="1" t="n">
        <v>70077</v>
      </c>
      <c r="D11" s="1" t="n">
        <v>101422</v>
      </c>
      <c r="E11" s="1" t="n">
        <v>150812</v>
      </c>
      <c r="F11" s="1" t="n">
        <v>196529</v>
      </c>
      <c r="G11" s="1" t="n">
        <v>3116372</v>
      </c>
      <c r="H11" s="1" t="n">
        <v>46716</v>
      </c>
      <c r="I11" s="1" t="n">
        <v>193882</v>
      </c>
      <c r="J11" s="1" t="n">
        <v>149146</v>
      </c>
      <c r="K11" s="1" t="n">
        <v>15239</v>
      </c>
      <c r="L11" s="1" t="n">
        <v>3230229</v>
      </c>
      <c r="M11" s="1" t="n">
        <v>55841</v>
      </c>
      <c r="N11" s="1" t="n">
        <v>101138</v>
      </c>
      <c r="O11" s="1" t="n">
        <v>178750</v>
      </c>
      <c r="P11" s="1" t="n">
        <v>188052</v>
      </c>
      <c r="Q11" s="1" t="n">
        <v>3111431</v>
      </c>
    </row>
    <row r="12" customFormat="false" ht="15" hidden="false" customHeight="false" outlineLevel="0" collapsed="false">
      <c r="A12" s="2"/>
      <c r="B12" s="1" t="n">
        <v>8</v>
      </c>
      <c r="C12" s="1" t="n">
        <v>35902</v>
      </c>
      <c r="D12" s="1" t="n">
        <v>72074</v>
      </c>
      <c r="E12" s="1" t="n">
        <v>110189</v>
      </c>
      <c r="F12" s="1" t="n">
        <v>182194</v>
      </c>
      <c r="G12" s="1" t="n">
        <v>3234853</v>
      </c>
      <c r="H12" s="1" t="n">
        <v>18715</v>
      </c>
      <c r="I12" s="1" t="n">
        <v>146407</v>
      </c>
      <c r="J12" s="1" t="n">
        <v>118396</v>
      </c>
      <c r="K12" s="1" t="n">
        <v>14240</v>
      </c>
      <c r="L12" s="1" t="n">
        <v>3337454</v>
      </c>
      <c r="M12" s="1" t="n">
        <v>25040</v>
      </c>
      <c r="N12" s="1" t="n">
        <v>70949</v>
      </c>
      <c r="O12" s="1" t="n">
        <v>131546</v>
      </c>
      <c r="P12" s="1" t="n">
        <v>176808</v>
      </c>
      <c r="Q12" s="1" t="n">
        <v>3230869</v>
      </c>
    </row>
    <row r="13" customFormat="false" ht="15" hidden="false" customHeight="false" outlineLevel="0" collapsed="false">
      <c r="A13" s="2"/>
      <c r="B13" s="1" t="n">
        <v>9</v>
      </c>
      <c r="C13" s="1" t="n">
        <v>212837</v>
      </c>
      <c r="D13" s="1" t="n">
        <v>116294</v>
      </c>
      <c r="E13" s="1" t="n">
        <v>255069</v>
      </c>
      <c r="F13" s="1" t="n">
        <v>83816</v>
      </c>
      <c r="G13" s="1" t="n">
        <v>2967196</v>
      </c>
      <c r="H13" s="1" t="n">
        <v>315809</v>
      </c>
      <c r="I13" s="1" t="n">
        <v>140948</v>
      </c>
      <c r="J13" s="1" t="n">
        <v>128376</v>
      </c>
      <c r="K13" s="1" t="n">
        <v>11803</v>
      </c>
      <c r="L13" s="1" t="n">
        <v>3038276</v>
      </c>
      <c r="M13" s="1" t="n">
        <v>209082</v>
      </c>
      <c r="N13" s="1" t="n">
        <v>114513</v>
      </c>
      <c r="O13" s="1" t="n">
        <v>270570</v>
      </c>
      <c r="P13" s="1" t="n">
        <v>76045</v>
      </c>
      <c r="Q13" s="1" t="n">
        <v>2965002</v>
      </c>
    </row>
    <row r="14" customFormat="false" ht="15" hidden="false" customHeight="false" outlineLevel="0" collapsed="false">
      <c r="A14" s="2"/>
      <c r="B14" s="1" t="n">
        <v>10</v>
      </c>
      <c r="C14" s="1" t="n">
        <v>179662</v>
      </c>
      <c r="D14" s="1" t="n">
        <v>125870</v>
      </c>
      <c r="E14" s="1" t="n">
        <v>257016</v>
      </c>
      <c r="F14" s="1" t="n">
        <v>103190</v>
      </c>
      <c r="G14" s="1" t="n">
        <v>2969474</v>
      </c>
      <c r="H14" s="1" t="n">
        <v>253382</v>
      </c>
      <c r="I14" s="1" t="n">
        <v>165108</v>
      </c>
      <c r="J14" s="1" t="n">
        <v>166028</v>
      </c>
      <c r="K14" s="1" t="n">
        <v>10662</v>
      </c>
      <c r="L14" s="1" t="n">
        <v>3040032</v>
      </c>
      <c r="M14" s="1" t="n">
        <v>173273</v>
      </c>
      <c r="N14" s="1" t="n">
        <v>125037</v>
      </c>
      <c r="O14" s="1" t="n">
        <v>275635</v>
      </c>
      <c r="P14" s="1" t="n">
        <v>94245</v>
      </c>
      <c r="Q14" s="1" t="n">
        <v>2967022</v>
      </c>
    </row>
    <row r="15" customFormat="false" ht="15" hidden="false" customHeight="false" outlineLevel="0" collapsed="false">
      <c r="A15" s="2"/>
      <c r="B15" s="1" t="n">
        <v>11</v>
      </c>
      <c r="C15" s="1" t="n">
        <v>326650</v>
      </c>
      <c r="D15" s="1" t="n">
        <v>82421</v>
      </c>
      <c r="E15" s="1" t="n">
        <v>209608</v>
      </c>
      <c r="F15" s="1" t="n">
        <v>57613</v>
      </c>
      <c r="G15" s="1" t="n">
        <v>2958920</v>
      </c>
      <c r="H15" s="1" t="n">
        <v>444066</v>
      </c>
      <c r="I15" s="1" t="n">
        <v>75036</v>
      </c>
      <c r="J15" s="1" t="n">
        <v>76303</v>
      </c>
      <c r="K15" s="1" t="n">
        <v>10098</v>
      </c>
      <c r="L15" s="1" t="n">
        <v>3029709</v>
      </c>
      <c r="M15" s="1" t="n">
        <v>328975</v>
      </c>
      <c r="N15" s="1" t="n">
        <v>77929</v>
      </c>
      <c r="O15" s="1" t="n">
        <v>219112</v>
      </c>
      <c r="P15" s="1" t="n">
        <v>52378</v>
      </c>
      <c r="Q15" s="1" t="n">
        <v>2956818</v>
      </c>
    </row>
    <row r="16" customFormat="false" ht="15" hidden="false" customHeight="false" outlineLevel="0" collapsed="false">
      <c r="A16" s="2"/>
      <c r="B16" s="1" t="n">
        <v>12</v>
      </c>
      <c r="C16" s="1" t="n">
        <v>95341</v>
      </c>
      <c r="D16" s="1" t="n">
        <v>168249</v>
      </c>
      <c r="E16" s="1" t="n">
        <v>208036</v>
      </c>
      <c r="F16" s="1" t="n">
        <v>167315</v>
      </c>
      <c r="G16" s="1" t="n">
        <v>2996271</v>
      </c>
      <c r="H16" s="1" t="n">
        <v>83568</v>
      </c>
      <c r="I16" s="1" t="n">
        <v>294534</v>
      </c>
      <c r="J16" s="1" t="n">
        <v>184817</v>
      </c>
      <c r="K16" s="1" t="n">
        <v>17131</v>
      </c>
      <c r="L16" s="1" t="n">
        <v>3055162</v>
      </c>
      <c r="M16" s="1" t="n">
        <v>84575</v>
      </c>
      <c r="N16" s="1" t="n">
        <v>169483</v>
      </c>
      <c r="O16" s="1" t="n">
        <v>231002</v>
      </c>
      <c r="P16" s="1" t="n">
        <v>156695</v>
      </c>
      <c r="Q16" s="1" t="n">
        <v>2993457</v>
      </c>
    </row>
    <row r="17" customFormat="false" ht="15" hidden="false" customHeight="false" outlineLevel="0" collapsed="false">
      <c r="A17" s="2"/>
      <c r="B17" s="1" t="n">
        <v>13</v>
      </c>
      <c r="C17" s="1" t="n">
        <v>351497</v>
      </c>
      <c r="D17" s="1" t="n">
        <v>83927</v>
      </c>
      <c r="E17" s="1" t="n">
        <v>192613</v>
      </c>
      <c r="F17" s="1" t="n">
        <v>55997</v>
      </c>
      <c r="G17" s="1" t="n">
        <v>2951178</v>
      </c>
      <c r="H17" s="1" t="n">
        <v>466361</v>
      </c>
      <c r="I17" s="1" t="n">
        <v>67601</v>
      </c>
      <c r="J17" s="1" t="n">
        <v>71091</v>
      </c>
      <c r="K17" s="1" t="n">
        <v>9908</v>
      </c>
      <c r="L17" s="1" t="n">
        <v>3020251</v>
      </c>
      <c r="M17" s="1" t="n">
        <v>354666</v>
      </c>
      <c r="N17" s="1" t="n">
        <v>79534</v>
      </c>
      <c r="O17" s="1" t="n">
        <v>201604</v>
      </c>
      <c r="P17" s="1" t="n">
        <v>50256</v>
      </c>
      <c r="Q17" s="1" t="n">
        <v>2949152</v>
      </c>
    </row>
    <row r="18" customFormat="false" ht="15" hidden="false" customHeight="false" outlineLevel="0" collapsed="false">
      <c r="A18" s="2"/>
      <c r="B18" s="1" t="n">
        <v>14</v>
      </c>
      <c r="C18" s="1" t="n">
        <v>288182</v>
      </c>
      <c r="D18" s="1" t="n">
        <v>94806</v>
      </c>
      <c r="E18" s="1" t="n">
        <v>226925</v>
      </c>
      <c r="F18" s="1" t="n">
        <v>72534</v>
      </c>
      <c r="G18" s="1" t="n">
        <v>2952765</v>
      </c>
      <c r="H18" s="1" t="n">
        <v>409081</v>
      </c>
      <c r="I18" s="1" t="n">
        <v>83845</v>
      </c>
      <c r="J18" s="1" t="n">
        <v>105292</v>
      </c>
      <c r="K18" s="1" t="n">
        <v>8589</v>
      </c>
      <c r="L18" s="1" t="n">
        <v>3028405</v>
      </c>
      <c r="M18" s="1" t="n">
        <v>286077</v>
      </c>
      <c r="N18" s="1" t="n">
        <v>92362</v>
      </c>
      <c r="O18" s="1" t="n">
        <v>242252</v>
      </c>
      <c r="P18" s="1" t="n">
        <v>64437</v>
      </c>
      <c r="Q18" s="1" t="n">
        <v>2950084</v>
      </c>
    </row>
    <row r="19" customFormat="false" ht="15" hidden="false" customHeight="false" outlineLevel="0" collapsed="false">
      <c r="A19" s="2"/>
      <c r="B19" s="1" t="n">
        <v>15</v>
      </c>
      <c r="C19" s="1" t="n">
        <v>76151</v>
      </c>
      <c r="D19" s="1" t="n">
        <v>124244</v>
      </c>
      <c r="E19" s="1" t="n">
        <v>152785</v>
      </c>
      <c r="F19" s="1" t="n">
        <v>209670</v>
      </c>
      <c r="G19" s="1" t="n">
        <v>3072362</v>
      </c>
      <c r="H19" s="1" t="n">
        <v>42274</v>
      </c>
      <c r="I19" s="1" t="n">
        <v>249170</v>
      </c>
      <c r="J19" s="1" t="n">
        <v>169316</v>
      </c>
      <c r="K19" s="1" t="n">
        <v>28017</v>
      </c>
      <c r="L19" s="1" t="n">
        <v>3146435</v>
      </c>
      <c r="M19" s="1" t="n">
        <v>58857</v>
      </c>
      <c r="N19" s="1" t="n">
        <v>126473</v>
      </c>
      <c r="O19" s="1" t="n">
        <v>184717</v>
      </c>
      <c r="P19" s="1" t="n">
        <v>198054</v>
      </c>
      <c r="Q19" s="1" t="n">
        <v>3067111</v>
      </c>
    </row>
    <row r="20" customFormat="false" ht="15" hidden="false" customHeight="false" outlineLevel="0" collapsed="false">
      <c r="A20" s="2"/>
      <c r="B20" s="1" t="n">
        <v>16</v>
      </c>
      <c r="C20" s="1" t="n">
        <v>273210</v>
      </c>
      <c r="D20" s="1" t="n">
        <v>93596</v>
      </c>
      <c r="E20" s="1" t="n">
        <v>222158</v>
      </c>
      <c r="F20" s="1" t="n">
        <v>66237</v>
      </c>
      <c r="G20" s="1" t="n">
        <v>2980011</v>
      </c>
      <c r="H20" s="1" t="n">
        <v>376871</v>
      </c>
      <c r="I20" s="1" t="n">
        <v>99615</v>
      </c>
      <c r="J20" s="1" t="n">
        <v>102404</v>
      </c>
      <c r="K20" s="1" t="n">
        <v>8752</v>
      </c>
      <c r="L20" s="1" t="n">
        <v>3047570</v>
      </c>
      <c r="M20" s="1" t="n">
        <v>271114</v>
      </c>
      <c r="N20" s="1" t="n">
        <v>91458</v>
      </c>
      <c r="O20" s="1" t="n">
        <v>235943</v>
      </c>
      <c r="P20" s="1" t="n">
        <v>59103</v>
      </c>
      <c r="Q20" s="1" t="n">
        <v>2977594</v>
      </c>
    </row>
    <row r="21" customFormat="false" ht="15" hidden="false" customHeight="false" outlineLevel="0" collapsed="false">
      <c r="A21" s="2"/>
      <c r="B21" s="1" t="n">
        <v>17</v>
      </c>
      <c r="C21" s="1" t="n">
        <v>134309</v>
      </c>
      <c r="D21" s="1" t="n">
        <v>125959</v>
      </c>
      <c r="E21" s="1" t="n">
        <v>233214</v>
      </c>
      <c r="F21" s="1" t="n">
        <v>126535</v>
      </c>
      <c r="G21" s="1" t="n">
        <v>3015195</v>
      </c>
      <c r="H21" s="1" t="n">
        <v>171517</v>
      </c>
      <c r="I21" s="1" t="n">
        <v>175832</v>
      </c>
      <c r="J21" s="1" t="n">
        <v>189185</v>
      </c>
      <c r="K21" s="1" t="n">
        <v>14726</v>
      </c>
      <c r="L21" s="1" t="n">
        <v>3083952</v>
      </c>
      <c r="M21" s="1" t="n">
        <v>124280</v>
      </c>
      <c r="N21" s="1" t="n">
        <v>126630</v>
      </c>
      <c r="O21" s="1" t="n">
        <v>256729</v>
      </c>
      <c r="P21" s="1" t="n">
        <v>115126</v>
      </c>
      <c r="Q21" s="1" t="n">
        <v>3012447</v>
      </c>
    </row>
    <row r="22" customFormat="false" ht="15" hidden="false" customHeight="false" outlineLevel="0" collapsed="false">
      <c r="A22" s="2"/>
      <c r="B22" s="1" t="n">
        <v>18</v>
      </c>
      <c r="C22" s="1" t="n">
        <v>71236</v>
      </c>
      <c r="D22" s="1" t="n">
        <v>136869</v>
      </c>
      <c r="E22" s="1" t="n">
        <v>158762</v>
      </c>
      <c r="F22" s="1" t="n">
        <v>204735</v>
      </c>
      <c r="G22" s="1" t="n">
        <v>3063610</v>
      </c>
      <c r="H22" s="1" t="n">
        <v>46845</v>
      </c>
      <c r="I22" s="1" t="n">
        <v>257783</v>
      </c>
      <c r="J22" s="1" t="n">
        <v>176448</v>
      </c>
      <c r="K22" s="1" t="n">
        <v>22873</v>
      </c>
      <c r="L22" s="1" t="n">
        <v>3131263</v>
      </c>
      <c r="M22" s="1" t="n">
        <v>55231</v>
      </c>
      <c r="N22" s="1" t="n">
        <v>138602</v>
      </c>
      <c r="O22" s="1" t="n">
        <v>190202</v>
      </c>
      <c r="P22" s="1" t="n">
        <v>191946</v>
      </c>
      <c r="Q22" s="1" t="n">
        <v>3059231</v>
      </c>
    </row>
    <row r="23" customFormat="false" ht="15" hidden="false" customHeight="false" outlineLevel="0" collapsed="false">
      <c r="A23" s="2"/>
      <c r="B23" s="1" t="n">
        <v>19</v>
      </c>
      <c r="C23" s="1" t="n">
        <v>91712</v>
      </c>
      <c r="D23" s="1" t="n">
        <v>136451</v>
      </c>
      <c r="E23" s="1" t="n">
        <v>213063</v>
      </c>
      <c r="F23" s="1" t="n">
        <v>168189</v>
      </c>
      <c r="G23" s="1" t="n">
        <v>3025797</v>
      </c>
      <c r="H23" s="1" t="n">
        <v>75526</v>
      </c>
      <c r="I23" s="1" t="n">
        <v>239998</v>
      </c>
      <c r="J23" s="1" t="n">
        <v>212374</v>
      </c>
      <c r="K23" s="1" t="n">
        <v>15819</v>
      </c>
      <c r="L23" s="1" t="n">
        <v>3091495</v>
      </c>
      <c r="M23" s="1" t="n">
        <v>75558</v>
      </c>
      <c r="N23" s="1" t="n">
        <v>139114</v>
      </c>
      <c r="O23" s="1" t="n">
        <v>244772</v>
      </c>
      <c r="P23" s="1" t="n">
        <v>154120</v>
      </c>
      <c r="Q23" s="1" t="n">
        <v>3021648</v>
      </c>
    </row>
    <row r="24" customFormat="false" ht="15" hidden="false" customHeight="false" outlineLevel="0" collapsed="false">
      <c r="A24" s="2"/>
      <c r="B24" s="1" t="n">
        <v>20</v>
      </c>
      <c r="C24" s="1" t="n">
        <v>72143</v>
      </c>
      <c r="D24" s="1" t="n">
        <v>144743</v>
      </c>
      <c r="E24" s="1" t="n">
        <v>197156</v>
      </c>
      <c r="F24" s="1" t="n">
        <v>184693</v>
      </c>
      <c r="G24" s="1" t="n">
        <v>3036477</v>
      </c>
      <c r="H24" s="1" t="n">
        <v>37264</v>
      </c>
      <c r="I24" s="1" t="n">
        <v>296238</v>
      </c>
      <c r="J24" s="1" t="n">
        <v>175252</v>
      </c>
      <c r="K24" s="1" t="n">
        <v>12396</v>
      </c>
      <c r="L24" s="1" t="n">
        <v>3114062</v>
      </c>
      <c r="M24" s="1" t="n">
        <v>57865</v>
      </c>
      <c r="N24" s="1" t="n">
        <v>145500</v>
      </c>
      <c r="O24" s="1" t="n">
        <v>228343</v>
      </c>
      <c r="P24" s="1" t="n">
        <v>170564</v>
      </c>
      <c r="Q24" s="1" t="n">
        <v>3032940</v>
      </c>
    </row>
    <row r="25" customFormat="false" ht="15" hidden="false" customHeight="false" outlineLevel="0" collapsed="false">
      <c r="A25" s="2"/>
      <c r="B25" s="1" t="n">
        <v>21</v>
      </c>
      <c r="C25" s="1" t="n">
        <v>267105</v>
      </c>
      <c r="D25" s="1" t="n">
        <v>95276</v>
      </c>
      <c r="E25" s="1" t="n">
        <v>214276</v>
      </c>
      <c r="F25" s="1" t="n">
        <v>67332</v>
      </c>
      <c r="G25" s="1" t="n">
        <v>2991223</v>
      </c>
      <c r="H25" s="1" t="n">
        <v>380650</v>
      </c>
      <c r="I25" s="1" t="n">
        <v>89004</v>
      </c>
      <c r="J25" s="1" t="n">
        <v>91713</v>
      </c>
      <c r="K25" s="1" t="n">
        <v>9974</v>
      </c>
      <c r="L25" s="1" t="n">
        <v>3063871</v>
      </c>
      <c r="M25" s="1" t="n">
        <v>264527</v>
      </c>
      <c r="N25" s="1" t="n">
        <v>93494</v>
      </c>
      <c r="O25" s="1" t="n">
        <v>228938</v>
      </c>
      <c r="P25" s="1" t="n">
        <v>59344</v>
      </c>
      <c r="Q25" s="1" t="n">
        <v>2988909</v>
      </c>
    </row>
    <row r="26" customFormat="false" ht="15" hidden="false" customHeight="false" outlineLevel="0" collapsed="false">
      <c r="A26" s="2"/>
      <c r="B26" s="1" t="n">
        <v>22</v>
      </c>
      <c r="C26" s="1" t="n">
        <v>84670</v>
      </c>
      <c r="D26" s="1" t="n">
        <v>136330</v>
      </c>
      <c r="E26" s="1" t="n">
        <v>193977</v>
      </c>
      <c r="F26" s="1" t="n">
        <v>172876</v>
      </c>
      <c r="G26" s="1" t="n">
        <v>3047359</v>
      </c>
      <c r="H26" s="1" t="n">
        <v>71894</v>
      </c>
      <c r="I26" s="1" t="n">
        <v>230763</v>
      </c>
      <c r="J26" s="1" t="n">
        <v>196860</v>
      </c>
      <c r="K26" s="1" t="n">
        <v>16853</v>
      </c>
      <c r="L26" s="1" t="n">
        <v>3118842</v>
      </c>
      <c r="M26" s="1" t="n">
        <v>72416</v>
      </c>
      <c r="N26" s="1" t="n">
        <v>136968</v>
      </c>
      <c r="O26" s="1" t="n">
        <v>221120</v>
      </c>
      <c r="P26" s="1" t="n">
        <v>160215</v>
      </c>
      <c r="Q26" s="1" t="n">
        <v>3044493</v>
      </c>
    </row>
    <row r="27" customFormat="false" ht="15" hidden="false" customHeight="false" outlineLevel="0" collapsed="false">
      <c r="A27" s="2"/>
      <c r="B27" s="1" t="n">
        <v>23</v>
      </c>
      <c r="C27" s="1" t="n">
        <v>74294</v>
      </c>
      <c r="D27" s="1" t="n">
        <v>146596</v>
      </c>
      <c r="E27" s="1" t="n">
        <v>194567</v>
      </c>
      <c r="F27" s="1" t="n">
        <v>177678</v>
      </c>
      <c r="G27" s="1" t="n">
        <v>3042077</v>
      </c>
      <c r="H27" s="1" t="n">
        <v>48549</v>
      </c>
      <c r="I27" s="1" t="n">
        <v>282630</v>
      </c>
      <c r="J27" s="1" t="n">
        <v>167643</v>
      </c>
      <c r="K27" s="1" t="n">
        <v>15258</v>
      </c>
      <c r="L27" s="1" t="n">
        <v>3121132</v>
      </c>
      <c r="M27" s="1" t="n">
        <v>62327</v>
      </c>
      <c r="N27" s="1" t="n">
        <v>147648</v>
      </c>
      <c r="O27" s="1" t="n">
        <v>220662</v>
      </c>
      <c r="P27" s="1" t="n">
        <v>165216</v>
      </c>
      <c r="Q27" s="1" t="n">
        <v>3039359</v>
      </c>
    </row>
    <row r="28" customFormat="false" ht="15" hidden="false" customHeight="false" outlineLevel="0" collapsed="false">
      <c r="A28" s="2"/>
      <c r="B28" s="1" t="n">
        <v>24</v>
      </c>
      <c r="C28" s="1" t="n">
        <v>191845</v>
      </c>
      <c r="D28" s="1" t="n">
        <v>110426</v>
      </c>
      <c r="E28" s="1" t="n">
        <v>242362</v>
      </c>
      <c r="F28" s="1" t="n">
        <v>90852</v>
      </c>
      <c r="G28" s="1" t="n">
        <v>2999727</v>
      </c>
      <c r="H28" s="1" t="n">
        <v>268768</v>
      </c>
      <c r="I28" s="1" t="n">
        <v>130343</v>
      </c>
      <c r="J28" s="1" t="n">
        <v>153913</v>
      </c>
      <c r="K28" s="1" t="n">
        <v>10297</v>
      </c>
      <c r="L28" s="1" t="n">
        <v>3071891</v>
      </c>
      <c r="M28" s="1" t="n">
        <v>184006</v>
      </c>
      <c r="N28" s="1" t="n">
        <v>110789</v>
      </c>
      <c r="O28" s="1" t="n">
        <v>262445</v>
      </c>
      <c r="P28" s="1" t="n">
        <v>80542</v>
      </c>
      <c r="Q28" s="1" t="n">
        <v>2997430</v>
      </c>
    </row>
    <row r="29" customFormat="false" ht="15" hidden="false" customHeight="false" outlineLevel="0" collapsed="false">
      <c r="A29" s="2"/>
      <c r="B29" s="1" t="n">
        <v>25</v>
      </c>
      <c r="C29" s="1" t="n">
        <v>79537</v>
      </c>
      <c r="D29" s="1" t="n">
        <v>130032</v>
      </c>
      <c r="E29" s="1" t="n">
        <v>178300</v>
      </c>
      <c r="F29" s="1" t="n">
        <v>210703</v>
      </c>
      <c r="G29" s="1" t="n">
        <v>3036640</v>
      </c>
      <c r="H29" s="1" t="n">
        <v>72560</v>
      </c>
      <c r="I29" s="1" t="n">
        <v>227068</v>
      </c>
      <c r="J29" s="1" t="n">
        <v>211479</v>
      </c>
      <c r="K29" s="1" t="n">
        <v>21696</v>
      </c>
      <c r="L29" s="1" t="n">
        <v>3102409</v>
      </c>
      <c r="M29" s="1" t="n">
        <v>61940</v>
      </c>
      <c r="N29" s="1" t="n">
        <v>132858</v>
      </c>
      <c r="O29" s="1" t="n">
        <v>212687</v>
      </c>
      <c r="P29" s="1" t="n">
        <v>195459</v>
      </c>
      <c r="Q29" s="1" t="n">
        <v>3032268</v>
      </c>
    </row>
    <row r="30" customFormat="false" ht="15" hidden="false" customHeight="false" outlineLevel="0" collapsed="false">
      <c r="A30" s="2"/>
      <c r="B30" s="1" t="n">
        <v>26</v>
      </c>
      <c r="C30" s="1" t="n">
        <v>70186</v>
      </c>
      <c r="D30" s="1" t="n">
        <v>134216</v>
      </c>
      <c r="E30" s="1" t="n">
        <v>180392</v>
      </c>
      <c r="F30" s="1" t="n">
        <v>202227</v>
      </c>
      <c r="G30" s="1" t="n">
        <v>3048191</v>
      </c>
      <c r="H30" s="1" t="n">
        <v>43029</v>
      </c>
      <c r="I30" s="1" t="n">
        <v>251283</v>
      </c>
      <c r="J30" s="1" t="n">
        <v>201041</v>
      </c>
      <c r="K30" s="1" t="n">
        <v>17105</v>
      </c>
      <c r="L30" s="1" t="n">
        <v>3122754</v>
      </c>
      <c r="M30" s="1" t="n">
        <v>53206</v>
      </c>
      <c r="N30" s="1" t="n">
        <v>137154</v>
      </c>
      <c r="O30" s="1" t="n">
        <v>212823</v>
      </c>
      <c r="P30" s="1" t="n">
        <v>188007</v>
      </c>
      <c r="Q30" s="1" t="n">
        <v>3044022</v>
      </c>
    </row>
    <row r="31" customFormat="false" ht="15" hidden="false" customHeight="false" outlineLevel="0" collapsed="false">
      <c r="A31" s="2"/>
      <c r="B31" s="1" t="n">
        <v>27</v>
      </c>
      <c r="C31" s="1" t="n">
        <v>110078</v>
      </c>
      <c r="D31" s="1" t="n">
        <v>115648</v>
      </c>
      <c r="E31" s="1" t="n">
        <v>212648</v>
      </c>
      <c r="F31" s="1" t="n">
        <v>189538</v>
      </c>
      <c r="G31" s="1" t="n">
        <v>3007300</v>
      </c>
      <c r="H31" s="1" t="n">
        <v>110812</v>
      </c>
      <c r="I31" s="1" t="n">
        <v>179512</v>
      </c>
      <c r="J31" s="1" t="n">
        <v>238763</v>
      </c>
      <c r="K31" s="1" t="n">
        <v>18584</v>
      </c>
      <c r="L31" s="1" t="n">
        <v>3087541</v>
      </c>
      <c r="M31" s="1" t="n">
        <v>85854</v>
      </c>
      <c r="N31" s="1" t="n">
        <v>122428</v>
      </c>
      <c r="O31" s="1" t="n">
        <v>254699</v>
      </c>
      <c r="P31" s="1" t="n">
        <v>170713</v>
      </c>
      <c r="Q31" s="1" t="n">
        <v>3001518</v>
      </c>
    </row>
    <row r="32" customFormat="false" ht="15" hidden="false" customHeight="false" outlineLevel="0" collapsed="false">
      <c r="A32" s="2"/>
      <c r="B32" s="1" t="n">
        <v>28</v>
      </c>
      <c r="C32" s="1" t="n">
        <v>65233</v>
      </c>
      <c r="D32" s="1" t="n">
        <v>116789</v>
      </c>
      <c r="E32" s="1" t="n">
        <v>123403</v>
      </c>
      <c r="F32" s="1" t="n">
        <v>304124</v>
      </c>
      <c r="G32" s="1" t="n">
        <v>3025663</v>
      </c>
      <c r="H32" s="1" t="n">
        <v>46741</v>
      </c>
      <c r="I32" s="1" t="n">
        <v>238940</v>
      </c>
      <c r="J32" s="1" t="n">
        <v>182811</v>
      </c>
      <c r="K32" s="1" t="n">
        <v>42119</v>
      </c>
      <c r="L32" s="1" t="n">
        <v>3124601</v>
      </c>
      <c r="M32" s="1" t="n">
        <v>43167</v>
      </c>
      <c r="N32" s="1" t="n">
        <v>118343</v>
      </c>
      <c r="O32" s="1" t="n">
        <v>163762</v>
      </c>
      <c r="P32" s="1" t="n">
        <v>291228</v>
      </c>
      <c r="Q32" s="1" t="n">
        <v>3018712</v>
      </c>
    </row>
    <row r="33" customFormat="false" ht="15" hidden="false" customHeight="false" outlineLevel="0" collapsed="false">
      <c r="A33" s="2"/>
      <c r="B33" s="1" t="n">
        <v>29</v>
      </c>
      <c r="C33" s="1" t="n">
        <v>85665</v>
      </c>
      <c r="D33" s="1" t="n">
        <v>112197</v>
      </c>
      <c r="E33" s="1" t="n">
        <v>174444</v>
      </c>
      <c r="F33" s="1" t="n">
        <v>234015</v>
      </c>
      <c r="G33" s="1" t="n">
        <v>3028891</v>
      </c>
      <c r="H33" s="1" t="n">
        <v>59462</v>
      </c>
      <c r="I33" s="1" t="n">
        <v>212278</v>
      </c>
      <c r="J33" s="1" t="n">
        <v>225878</v>
      </c>
      <c r="K33" s="1" t="n">
        <v>17530</v>
      </c>
      <c r="L33" s="1" t="n">
        <v>3120064</v>
      </c>
      <c r="M33" s="1" t="n">
        <v>60696</v>
      </c>
      <c r="N33" s="1" t="n">
        <v>118258</v>
      </c>
      <c r="O33" s="1" t="n">
        <v>217221</v>
      </c>
      <c r="P33" s="1" t="n">
        <v>216803</v>
      </c>
      <c r="Q33" s="1" t="n">
        <v>3022234</v>
      </c>
    </row>
    <row r="34" customFormat="false" ht="15" hidden="false" customHeight="false" outlineLevel="0" collapsed="false">
      <c r="A34" s="2"/>
      <c r="B34" s="1" t="n">
        <v>30</v>
      </c>
      <c r="C34" s="1" t="n">
        <v>240995</v>
      </c>
      <c r="D34" s="1" t="n">
        <v>86604</v>
      </c>
      <c r="E34" s="1" t="n">
        <v>234890</v>
      </c>
      <c r="F34" s="1" t="n">
        <v>70399</v>
      </c>
      <c r="G34" s="1" t="n">
        <v>3002324</v>
      </c>
      <c r="H34" s="1" t="n">
        <v>338011</v>
      </c>
      <c r="I34" s="1" t="n">
        <v>75094</v>
      </c>
      <c r="J34" s="1" t="n">
        <v>111063</v>
      </c>
      <c r="K34" s="1" t="n">
        <v>8780</v>
      </c>
      <c r="L34" s="1" t="n">
        <v>3102264</v>
      </c>
      <c r="M34" s="1" t="n">
        <v>237547</v>
      </c>
      <c r="N34" s="1" t="n">
        <v>84827</v>
      </c>
      <c r="O34" s="1" t="n">
        <v>249188</v>
      </c>
      <c r="P34" s="1" t="n">
        <v>64090</v>
      </c>
      <c r="Q34" s="1" t="n">
        <v>2999560</v>
      </c>
    </row>
    <row r="35" customFormat="false" ht="15" hidden="false" customHeight="false" outlineLevel="0" collapsed="false">
      <c r="A35" s="2"/>
      <c r="B35" s="1" t="n">
        <v>31</v>
      </c>
      <c r="C35" s="1" t="n">
        <v>41734</v>
      </c>
      <c r="D35" s="1" t="n">
        <v>102651</v>
      </c>
      <c r="E35" s="1" t="n">
        <v>58348</v>
      </c>
      <c r="F35" s="1" t="n">
        <v>324234</v>
      </c>
      <c r="G35" s="1" t="n">
        <v>3108245</v>
      </c>
      <c r="H35" s="1" t="n">
        <v>37427</v>
      </c>
      <c r="I35" s="1" t="n">
        <v>212384</v>
      </c>
      <c r="J35" s="1" t="n">
        <v>89465</v>
      </c>
      <c r="K35" s="1" t="n">
        <v>123124</v>
      </c>
      <c r="L35" s="1" t="n">
        <v>3172812</v>
      </c>
      <c r="M35" s="1" t="n">
        <v>35973</v>
      </c>
      <c r="N35" s="1" t="n">
        <v>107774</v>
      </c>
      <c r="O35" s="1" t="n">
        <v>61201</v>
      </c>
      <c r="P35" s="1" t="n">
        <v>323181</v>
      </c>
      <c r="Q35" s="1" t="n">
        <v>3107083</v>
      </c>
    </row>
    <row r="36" customFormat="false" ht="15" hidden="false" customHeight="false" outlineLevel="0" collapsed="false">
      <c r="A36" s="2"/>
      <c r="B36" s="1" t="n">
        <v>32</v>
      </c>
      <c r="C36" s="1" t="n">
        <v>69536</v>
      </c>
      <c r="D36" s="1" t="n">
        <v>111638</v>
      </c>
      <c r="E36" s="1" t="n">
        <v>154790</v>
      </c>
      <c r="F36" s="1" t="n">
        <v>246523</v>
      </c>
      <c r="G36" s="1" t="n">
        <v>3052725</v>
      </c>
      <c r="H36" s="1" t="n">
        <v>27513</v>
      </c>
      <c r="I36" s="1" t="n">
        <v>250860</v>
      </c>
      <c r="J36" s="1" t="n">
        <v>151736</v>
      </c>
      <c r="K36" s="1" t="n">
        <v>24812</v>
      </c>
      <c r="L36" s="1" t="n">
        <v>3180291</v>
      </c>
      <c r="M36" s="1" t="n">
        <v>48432</v>
      </c>
      <c r="N36" s="1" t="n">
        <v>115641</v>
      </c>
      <c r="O36" s="1" t="n">
        <v>191539</v>
      </c>
      <c r="P36" s="1" t="n">
        <v>232745</v>
      </c>
      <c r="Q36" s="1" t="n">
        <v>3046855</v>
      </c>
    </row>
    <row r="37" customFormat="false" ht="15" hidden="false" customHeight="false" outlineLevel="0" collapsed="false">
      <c r="A37" s="2"/>
      <c r="B37" s="1" t="s">
        <v>12</v>
      </c>
      <c r="C37" s="1" t="n">
        <f aca="false">SUM(C4:C36)</f>
        <v>4512502</v>
      </c>
      <c r="D37" s="1" t="n">
        <f aca="false">SUM(D4:D36)</f>
        <v>3840292</v>
      </c>
      <c r="E37" s="1" t="n">
        <f aca="false">SUM(E4:E36)</f>
        <v>6294978</v>
      </c>
      <c r="F37" s="1" t="n">
        <f aca="false">SUM(F4:F36)</f>
        <v>5186119</v>
      </c>
      <c r="G37" s="1" t="n">
        <f aca="false">SUM(G4:G36)</f>
        <v>100128105</v>
      </c>
      <c r="H37" s="1" t="n">
        <f aca="false">SUM(H4:H36)</f>
        <v>5077165</v>
      </c>
      <c r="I37" s="1" t="n">
        <f aca="false">SUM(I4:I36)</f>
        <v>6334325</v>
      </c>
      <c r="J37" s="1" t="n">
        <f aca="false">SUM(J4:J36)</f>
        <v>5166687</v>
      </c>
      <c r="K37" s="1" t="n">
        <f aca="false">SUM(K4:K36)</f>
        <v>664373</v>
      </c>
      <c r="L37" s="1" t="n">
        <f aca="false">SUM(L4:L36)</f>
        <v>102719446</v>
      </c>
      <c r="M37" s="1" t="n">
        <f aca="false">SUM(M4:M36)</f>
        <v>4167437</v>
      </c>
      <c r="N37" s="1" t="n">
        <f aca="false">SUM(N4:N36)</f>
        <v>3855869</v>
      </c>
      <c r="O37" s="1" t="n">
        <f aca="false">SUM(O4:O36)</f>
        <v>7069641</v>
      </c>
      <c r="P37" s="1" t="n">
        <f aca="false">SUM(P4:P36)</f>
        <v>4849246</v>
      </c>
      <c r="Q37" s="1" t="n">
        <f aca="false">SUM(Q4:Q36)</f>
        <v>100019803</v>
      </c>
    </row>
    <row r="42" customFormat="false" ht="15" hidden="false" customHeight="false" outlineLevel="0" collapsed="false">
      <c r="A42" s="1"/>
      <c r="B42" s="10" t="s">
        <v>0</v>
      </c>
      <c r="C42" s="11" t="s">
        <v>13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15" hidden="false" customHeight="false" outlineLevel="0" collapsed="false">
      <c r="A43" s="1"/>
      <c r="B43" s="10"/>
      <c r="C43" s="12" t="s">
        <v>3</v>
      </c>
      <c r="D43" s="12"/>
      <c r="E43" s="12"/>
      <c r="F43" s="12"/>
      <c r="G43" s="12"/>
      <c r="H43" s="12"/>
      <c r="I43" s="13" t="s">
        <v>4</v>
      </c>
      <c r="J43" s="13"/>
      <c r="K43" s="13"/>
      <c r="L43" s="13"/>
      <c r="M43" s="13"/>
      <c r="N43" s="13"/>
    </row>
    <row r="44" customFormat="false" ht="15" hidden="false" customHeight="false" outlineLevel="0" collapsed="false">
      <c r="A44" s="10" t="s">
        <v>14</v>
      </c>
      <c r="B44" s="10"/>
      <c r="C44" s="14" t="s">
        <v>7</v>
      </c>
      <c r="D44" s="15" t="s">
        <v>8</v>
      </c>
      <c r="E44" s="16" t="s">
        <v>9</v>
      </c>
      <c r="F44" s="17" t="s">
        <v>10</v>
      </c>
      <c r="G44" s="18" t="s">
        <v>11</v>
      </c>
      <c r="H44" s="19"/>
      <c r="I44" s="14" t="s">
        <v>7</v>
      </c>
      <c r="J44" s="15" t="s">
        <v>8</v>
      </c>
      <c r="K44" s="16" t="s">
        <v>9</v>
      </c>
      <c r="L44" s="17" t="s">
        <v>10</v>
      </c>
      <c r="M44" s="18" t="s">
        <v>11</v>
      </c>
      <c r="N44" s="19"/>
    </row>
    <row r="45" customFormat="false" ht="15" hidden="false" customHeight="false" outlineLevel="0" collapsed="false">
      <c r="A45" s="10"/>
      <c r="B45" s="10" t="n">
        <v>0</v>
      </c>
      <c r="C45" s="20" t="n">
        <f aca="false">(ABS(C4-H4)/C4)*100</f>
        <v>0</v>
      </c>
      <c r="D45" s="21" t="n">
        <f aca="false">(ABS(D4-I4)/D4)*100</f>
        <v>0</v>
      </c>
      <c r="E45" s="21" t="n">
        <f aca="false">(ABS(E4-J4)/E4)*100</f>
        <v>0</v>
      </c>
      <c r="F45" s="21" t="n">
        <f aca="false">(ABS(F4-K4)/F4)*100</f>
        <v>0</v>
      </c>
      <c r="G45" s="22" t="n">
        <f aca="false">(ABS(G4-L4)/G4)*100</f>
        <v>0</v>
      </c>
      <c r="H45" s="19"/>
      <c r="I45" s="1" t="n">
        <f aca="false">(ABS(C4-M4)/C4)*100</f>
        <v>0</v>
      </c>
      <c r="J45" s="1" t="n">
        <f aca="false">(ABS(D4-N4)/D4)*100</f>
        <v>0</v>
      </c>
      <c r="K45" s="1" t="n">
        <f aca="false">(ABS(E4-O4)/E4)*100</f>
        <v>0</v>
      </c>
      <c r="L45" s="1" t="n">
        <f aca="false">(ABS(F4-P4)/F4)*100</f>
        <v>0</v>
      </c>
      <c r="M45" s="23" t="n">
        <f aca="false">(ABS(G4-Q4)/G4)*100</f>
        <v>0</v>
      </c>
      <c r="N45" s="19"/>
    </row>
    <row r="46" customFormat="false" ht="15" hidden="false" customHeight="false" outlineLevel="0" collapsed="false">
      <c r="A46" s="10"/>
      <c r="B46" s="10" t="n">
        <v>1</v>
      </c>
      <c r="C46" s="20" t="n">
        <f aca="false">(ABS(C5-H5)/C5)*100</f>
        <v>43.3876436240347</v>
      </c>
      <c r="D46" s="21" t="n">
        <f aca="false">(ABS(D5-I5)/D5)*100</f>
        <v>129.953634405462</v>
      </c>
      <c r="E46" s="21" t="n">
        <f aca="false">(ABS(E5-J5)/E5)*100</f>
        <v>70.3714379429276</v>
      </c>
      <c r="F46" s="21" t="n">
        <f aca="false">(ABS(F5-K5)/F5)*100</f>
        <v>98.1180698545869</v>
      </c>
      <c r="G46" s="22" t="n">
        <f aca="false">(ABS(G5-L5)/G5)*100</f>
        <v>5.37588520196396</v>
      </c>
      <c r="H46" s="19"/>
      <c r="I46" s="1" t="n">
        <f aca="false">(ABS(C5-M5)/C5)*100</f>
        <v>10.9135430401206</v>
      </c>
      <c r="J46" s="1" t="n">
        <f aca="false">(ABS(D5-N5)/D5)*100</f>
        <v>2.22919937205652</v>
      </c>
      <c r="K46" s="1" t="n">
        <f aca="false">(ABS(E5-O5)/E5)*100</f>
        <v>15.9826655666988</v>
      </c>
      <c r="L46" s="1" t="n">
        <f aca="false">(ABS(F5-P5)/F5)*100</f>
        <v>9.15130897417861</v>
      </c>
      <c r="M46" s="23" t="n">
        <f aca="false">(ABS(G5-Q5)/G5)*100</f>
        <v>0.105718382442839</v>
      </c>
      <c r="N46" s="19"/>
    </row>
    <row r="47" customFormat="false" ht="15" hidden="false" customHeight="false" outlineLevel="0" collapsed="false">
      <c r="A47" s="10"/>
      <c r="B47" s="10" t="n">
        <v>2</v>
      </c>
      <c r="C47" s="20" t="n">
        <f aca="false">(ABS(C6-H6)/C6)*100</f>
        <v>4.11008070774484</v>
      </c>
      <c r="D47" s="21" t="n">
        <f aca="false">(ABS(D6-I6)/D6)*100</f>
        <v>69.069079948411</v>
      </c>
      <c r="E47" s="21" t="n">
        <f aca="false">(ABS(E6-J6)/E6)*100</f>
        <v>12.8476370831779</v>
      </c>
      <c r="F47" s="21" t="n">
        <f aca="false">(ABS(F6-K6)/F6)*100</f>
        <v>88.4137260265646</v>
      </c>
      <c r="G47" s="22" t="n">
        <f aca="false">(ABS(G6-L6)/G6)*100</f>
        <v>2.42185340974083</v>
      </c>
      <c r="H47" s="19"/>
      <c r="I47" s="1" t="n">
        <f aca="false">(ABS(C6-M6)/C6)*100</f>
        <v>8.74883594598789</v>
      </c>
      <c r="J47" s="1" t="n">
        <f aca="false">(ABS(D6-N6)/D6)*100</f>
        <v>0.0528931847493733</v>
      </c>
      <c r="K47" s="1" t="n">
        <f aca="false">(ABS(E6-O6)/E6)*100</f>
        <v>10.8566193311956</v>
      </c>
      <c r="L47" s="1" t="n">
        <f aca="false">(ABS(F6-P6)/F6)*100</f>
        <v>7.10191179599404</v>
      </c>
      <c r="M47" s="23" t="n">
        <f aca="false">(ABS(G6-Q6)/G6)*100</f>
        <v>0.0733633900115778</v>
      </c>
      <c r="N47" s="19"/>
    </row>
    <row r="48" customFormat="false" ht="15" hidden="false" customHeight="false" outlineLevel="0" collapsed="false">
      <c r="A48" s="10"/>
      <c r="B48" s="10" t="n">
        <v>3</v>
      </c>
      <c r="C48" s="20" t="n">
        <f aca="false">(ABS(C7-H7)/C7)*100</f>
        <v>31.0280036676838</v>
      </c>
      <c r="D48" s="21" t="n">
        <f aca="false">(ABS(D7-I7)/D7)*100</f>
        <v>96.9751031114487</v>
      </c>
      <c r="E48" s="21" t="n">
        <f aca="false">(ABS(E7-J7)/E7)*100</f>
        <v>19.2842737483623</v>
      </c>
      <c r="F48" s="21" t="n">
        <f aca="false">(ABS(F7-K7)/F7)*100</f>
        <v>91.2027765355525</v>
      </c>
      <c r="G48" s="22" t="n">
        <f aca="false">(ABS(G7-L7)/G7)*100</f>
        <v>2.32077619118577</v>
      </c>
      <c r="H48" s="19"/>
      <c r="I48" s="1" t="n">
        <f aca="false">(ABS(C7-M7)/C7)*100</f>
        <v>14.5384580696559</v>
      </c>
      <c r="J48" s="1" t="n">
        <f aca="false">(ABS(D7-N7)/D7)*100</f>
        <v>1.56764729260689</v>
      </c>
      <c r="K48" s="1" t="n">
        <f aca="false">(ABS(E7-O7)/E7)*100</f>
        <v>17.2358716933359</v>
      </c>
      <c r="L48" s="1" t="n">
        <f aca="false">(ABS(F7-P7)/F7)*100</f>
        <v>4.53860512142482</v>
      </c>
      <c r="M48" s="23" t="n">
        <f aca="false">(ABS(G7-Q7)/G7)*100</f>
        <v>0.0845571044667218</v>
      </c>
      <c r="N48" s="19"/>
    </row>
    <row r="49" customFormat="false" ht="15" hidden="false" customHeight="false" outlineLevel="0" collapsed="false">
      <c r="A49" s="10"/>
      <c r="B49" s="10" t="n">
        <v>4</v>
      </c>
      <c r="C49" s="20" t="n">
        <f aca="false">(ABS(C8-H8)/C8)*100</f>
        <v>6.99260071252398</v>
      </c>
      <c r="D49" s="21" t="n">
        <f aca="false">(ABS(D8-I8)/D8)*100</f>
        <v>73.0781988876118</v>
      </c>
      <c r="E49" s="21" t="n">
        <f aca="false">(ABS(E8-J8)/E8)*100</f>
        <v>0.249876914443627</v>
      </c>
      <c r="F49" s="21" t="n">
        <f aca="false">(ABS(F8-K8)/F8)*100</f>
        <v>92.8510204554405</v>
      </c>
      <c r="G49" s="22" t="n">
        <f aca="false">(ABS(G8-L8)/G8)*100</f>
        <v>2.34208323847491</v>
      </c>
      <c r="H49" s="19"/>
      <c r="I49" s="1" t="n">
        <f aca="false">(ABS(C8-M8)/C8)*100</f>
        <v>13.6969032611674</v>
      </c>
      <c r="J49" s="1" t="n">
        <f aca="false">(ABS(D8-N8)/D8)*100</f>
        <v>0.631021900625622</v>
      </c>
      <c r="K49" s="1" t="n">
        <f aca="false">(ABS(E8-O8)/E8)*100</f>
        <v>14.0656350420609</v>
      </c>
      <c r="L49" s="1" t="n">
        <f aca="false">(ABS(F8-P8)/F8)*100</f>
        <v>6.76848055227373</v>
      </c>
      <c r="M49" s="23" t="n">
        <f aca="false">(ABS(G8-Q8)/G8)*100</f>
        <v>0.104985758952042</v>
      </c>
      <c r="N49" s="19"/>
    </row>
    <row r="50" customFormat="false" ht="15" hidden="false" customHeight="false" outlineLevel="0" collapsed="false">
      <c r="A50" s="10"/>
      <c r="B50" s="10" t="n">
        <v>5</v>
      </c>
      <c r="C50" s="20" t="n">
        <f aca="false">(ABS(C9-H9)/C9)*100</f>
        <v>14.169547539843</v>
      </c>
      <c r="D50" s="21" t="n">
        <f aca="false">(ABS(D9-I9)/D9)*100</f>
        <v>79.4158279060588</v>
      </c>
      <c r="E50" s="21" t="n">
        <f aca="false">(ABS(E9-J9)/E9)*100</f>
        <v>17.8429852976433</v>
      </c>
      <c r="F50" s="21" t="n">
        <f aca="false">(ABS(F9-K9)/F9)*100</f>
        <v>91.7837676716062</v>
      </c>
      <c r="G50" s="22" t="n">
        <f aca="false">(ABS(G9-L9)/G9)*100</f>
        <v>2.38233652683471</v>
      </c>
      <c r="H50" s="19"/>
      <c r="I50" s="1" t="n">
        <f aca="false">(ABS(C9-M9)/C9)*100</f>
        <v>8.1229752353619</v>
      </c>
      <c r="J50" s="1" t="n">
        <f aca="false">(ABS(D9-N9)/D9)*100</f>
        <v>0.0576277876455496</v>
      </c>
      <c r="K50" s="1" t="n">
        <f aca="false">(ABS(E9-O9)/E9)*100</f>
        <v>9.81885492225091</v>
      </c>
      <c r="L50" s="1" t="n">
        <f aca="false">(ABS(F9-P9)/F9)*100</f>
        <v>5.85292113779595</v>
      </c>
      <c r="M50" s="23" t="n">
        <f aca="false">(ABS(G9-Q9)/G9)*100</f>
        <v>0.0634630887049267</v>
      </c>
      <c r="N50" s="19"/>
    </row>
    <row r="51" customFormat="false" ht="15" hidden="false" customHeight="false" outlineLevel="0" collapsed="false">
      <c r="A51" s="10"/>
      <c r="B51" s="10" t="n">
        <v>6</v>
      </c>
      <c r="C51" s="20" t="n">
        <f aca="false">(ABS(C10-H10)/C10)*100</f>
        <v>11.5405562251685</v>
      </c>
      <c r="D51" s="21" t="n">
        <f aca="false">(ABS(D10-I10)/D10)*100</f>
        <v>52.9548267326733</v>
      </c>
      <c r="E51" s="21" t="n">
        <f aca="false">(ABS(E10-J10)/E10)*100</f>
        <v>24.0166982850918</v>
      </c>
      <c r="F51" s="21" t="n">
        <f aca="false">(ABS(F10-K10)/F10)*100</f>
        <v>87.870165817094</v>
      </c>
      <c r="G51" s="22" t="n">
        <f aca="false">(ABS(G10-L10)/G10)*100</f>
        <v>2.77214581228761</v>
      </c>
      <c r="H51" s="19"/>
      <c r="I51" s="1" t="n">
        <f aca="false">(ABS(C10-M10)/C10)*100</f>
        <v>4.96138565242623</v>
      </c>
      <c r="J51" s="1" t="n">
        <f aca="false">(ABS(D10-N10)/D10)*100</f>
        <v>0.0106358292079208</v>
      </c>
      <c r="K51" s="1" t="n">
        <f aca="false">(ABS(E10-O10)/E10)*100</f>
        <v>6.69527977610398</v>
      </c>
      <c r="L51" s="1" t="n">
        <f aca="false">(ABS(F10-P10)/F10)*100</f>
        <v>6.21663672388746</v>
      </c>
      <c r="M51" s="23" t="n">
        <f aca="false">(ABS(G10-Q10)/G10)*100</f>
        <v>0.0478887841231855</v>
      </c>
      <c r="N51" s="19"/>
    </row>
    <row r="52" customFormat="false" ht="15" hidden="false" customHeight="false" outlineLevel="0" collapsed="false">
      <c r="A52" s="10"/>
      <c r="B52" s="10" t="n">
        <v>7</v>
      </c>
      <c r="C52" s="20" t="n">
        <f aca="false">(ABS(C11-H11)/C11)*100</f>
        <v>33.3361873367867</v>
      </c>
      <c r="D52" s="21" t="n">
        <f aca="false">(ABS(D11-I11)/D11)*100</f>
        <v>91.1636528563822</v>
      </c>
      <c r="E52" s="21" t="n">
        <f aca="false">(ABS(E11-J11)/E11)*100</f>
        <v>1.10468662971116</v>
      </c>
      <c r="F52" s="21" t="n">
        <f aca="false">(ABS(F11-K11)/F11)*100</f>
        <v>92.2459280818607</v>
      </c>
      <c r="G52" s="22" t="n">
        <f aca="false">(ABS(G11-L11)/G11)*100</f>
        <v>3.653511198278</v>
      </c>
      <c r="H52" s="19"/>
      <c r="I52" s="1" t="n">
        <f aca="false">(ABS(C11-M11)/C11)*100</f>
        <v>20.3147965809039</v>
      </c>
      <c r="J52" s="1" t="n">
        <f aca="false">(ABS(D11-N11)/D11)*100</f>
        <v>0.280018142020469</v>
      </c>
      <c r="K52" s="1" t="n">
        <f aca="false">(ABS(E11-O11)/E11)*100</f>
        <v>18.5250510569451</v>
      </c>
      <c r="L52" s="1" t="n">
        <f aca="false">(ABS(F11-P11)/F11)*100</f>
        <v>4.31335833388457</v>
      </c>
      <c r="M52" s="23" t="n">
        <f aca="false">(ABS(G11-Q11)/G11)*100</f>
        <v>0.158549749516425</v>
      </c>
      <c r="N52" s="19"/>
    </row>
    <row r="53" customFormat="false" ht="15" hidden="false" customHeight="false" outlineLevel="0" collapsed="false">
      <c r="A53" s="10"/>
      <c r="B53" s="10" t="n">
        <v>8</v>
      </c>
      <c r="C53" s="20" t="n">
        <f aca="false">(ABS(C12-H12)/C12)*100</f>
        <v>47.8719848476408</v>
      </c>
      <c r="D53" s="21" t="n">
        <f aca="false">(ABS(D12-I12)/D12)*100</f>
        <v>103.134278658046</v>
      </c>
      <c r="E53" s="21" t="n">
        <f aca="false">(ABS(E12-J12)/E12)*100</f>
        <v>7.44811188049624</v>
      </c>
      <c r="F53" s="21" t="n">
        <f aca="false">(ABS(F12-K12)/F12)*100</f>
        <v>92.1841553508897</v>
      </c>
      <c r="G53" s="22" t="n">
        <f aca="false">(ABS(G12-L12)/G12)*100</f>
        <v>3.17173608816228</v>
      </c>
      <c r="H53" s="19"/>
      <c r="I53" s="1" t="n">
        <f aca="false">(ABS(C12-M12)/C12)*100</f>
        <v>30.2545819174419</v>
      </c>
      <c r="J53" s="1" t="n">
        <f aca="false">(ABS(D12-N12)/D12)*100</f>
        <v>1.56089574603879</v>
      </c>
      <c r="K53" s="1" t="n">
        <f aca="false">(ABS(E12-O12)/E12)*100</f>
        <v>19.3821524834602</v>
      </c>
      <c r="L53" s="1" t="n">
        <f aca="false">(ABS(F12-P12)/F12)*100</f>
        <v>2.95618955618736</v>
      </c>
      <c r="M53" s="23" t="n">
        <f aca="false">(ABS(G12-Q12)/G12)*100</f>
        <v>0.123158610298521</v>
      </c>
      <c r="N53" s="19"/>
    </row>
    <row r="54" customFormat="false" ht="15" hidden="false" customHeight="false" outlineLevel="0" collapsed="false">
      <c r="A54" s="10"/>
      <c r="B54" s="10" t="n">
        <v>9</v>
      </c>
      <c r="C54" s="20" t="n">
        <f aca="false">(ABS(C13-H13)/C13)*100</f>
        <v>48.3806856890484</v>
      </c>
      <c r="D54" s="21" t="n">
        <f aca="false">(ABS(D13-I13)/D13)*100</f>
        <v>21.1997179562144</v>
      </c>
      <c r="E54" s="21" t="n">
        <f aca="false">(ABS(E13-J13)/E13)*100</f>
        <v>49.6700892699623</v>
      </c>
      <c r="F54" s="21" t="n">
        <f aca="false">(ABS(F13-K13)/F13)*100</f>
        <v>85.9179631573924</v>
      </c>
      <c r="G54" s="22" t="n">
        <f aca="false">(ABS(G13-L13)/G13)*100</f>
        <v>2.39552762945218</v>
      </c>
      <c r="H54" s="19"/>
      <c r="I54" s="1" t="n">
        <f aca="false">(ABS(C13-M13)/C13)*100</f>
        <v>1.76426091328106</v>
      </c>
      <c r="J54" s="1" t="n">
        <f aca="false">(ABS(D13-N13)/D13)*100</f>
        <v>1.53146336010456</v>
      </c>
      <c r="K54" s="1" t="n">
        <f aca="false">(ABS(E13-O13)/E13)*100</f>
        <v>6.07717911623914</v>
      </c>
      <c r="L54" s="1" t="n">
        <f aca="false">(ABS(F13-P13)/F13)*100</f>
        <v>9.27149947504057</v>
      </c>
      <c r="M54" s="23" t="n">
        <f aca="false">(ABS(G13-Q13)/G13)*100</f>
        <v>0.0739418629574858</v>
      </c>
      <c r="N54" s="19"/>
    </row>
    <row r="55" customFormat="false" ht="15" hidden="false" customHeight="false" outlineLevel="0" collapsed="false">
      <c r="A55" s="10"/>
      <c r="B55" s="10" t="n">
        <v>10</v>
      </c>
      <c r="C55" s="20" t="n">
        <f aca="false">(ABS(C14-H14)/C14)*100</f>
        <v>41.0326056706482</v>
      </c>
      <c r="D55" s="21" t="n">
        <f aca="false">(ABS(D14-I14)/D14)*100</f>
        <v>31.1734329069675</v>
      </c>
      <c r="E55" s="21" t="n">
        <f aca="false">(ABS(E14-J14)/E14)*100</f>
        <v>35.4016870545024</v>
      </c>
      <c r="F55" s="21" t="n">
        <f aca="false">(ABS(F14-K14)/F14)*100</f>
        <v>89.6676034499467</v>
      </c>
      <c r="G55" s="22" t="n">
        <f aca="false">(ABS(G14-L14)/G14)*100</f>
        <v>2.37611105535863</v>
      </c>
      <c r="H55" s="19"/>
      <c r="I55" s="1" t="n">
        <f aca="false">(ABS(C14-M14)/C14)*100</f>
        <v>3.55612205140764</v>
      </c>
      <c r="J55" s="1" t="n">
        <f aca="false">(ABS(D14-N14)/D14)*100</f>
        <v>0.661793914356082</v>
      </c>
      <c r="K55" s="1" t="n">
        <f aca="false">(ABS(E14-O14)/E14)*100</f>
        <v>7.24429607495253</v>
      </c>
      <c r="L55" s="1" t="n">
        <f aca="false">(ABS(F14-P14)/F14)*100</f>
        <v>8.66847562748328</v>
      </c>
      <c r="M55" s="23" t="n">
        <f aca="false">(ABS(G14-Q14)/G14)*100</f>
        <v>0.0825735466954754</v>
      </c>
      <c r="N55" s="19"/>
    </row>
    <row r="56" customFormat="false" ht="15" hidden="false" customHeight="false" outlineLevel="0" collapsed="false">
      <c r="A56" s="10"/>
      <c r="B56" s="10" t="n">
        <v>11</v>
      </c>
      <c r="C56" s="20" t="n">
        <f aca="false">(ABS(C15-H15)/C15)*100</f>
        <v>35.9455074238482</v>
      </c>
      <c r="D56" s="21" t="n">
        <f aca="false">(ABS(D15-I15)/D15)*100</f>
        <v>8.96009512138897</v>
      </c>
      <c r="E56" s="21" t="n">
        <f aca="false">(ABS(E15-J15)/E15)*100</f>
        <v>63.5972863631159</v>
      </c>
      <c r="F56" s="21" t="n">
        <f aca="false">(ABS(F15-K15)/F15)*100</f>
        <v>82.4727058129242</v>
      </c>
      <c r="G56" s="22" t="n">
        <f aca="false">(ABS(G15-L15)/G15)*100</f>
        <v>2.39239317048112</v>
      </c>
      <c r="H56" s="19"/>
      <c r="I56" s="1" t="n">
        <f aca="false">(ABS(C15-M15)/C15)*100</f>
        <v>0.711771008724935</v>
      </c>
      <c r="J56" s="1" t="n">
        <f aca="false">(ABS(D15-N15)/D15)*100</f>
        <v>5.45006733720775</v>
      </c>
      <c r="K56" s="1" t="n">
        <f aca="false">(ABS(E15-O15)/E15)*100</f>
        <v>4.53417808480592</v>
      </c>
      <c r="L56" s="1" t="n">
        <f aca="false">(ABS(F15-P15)/F15)*100</f>
        <v>9.08649089615191</v>
      </c>
      <c r="M56" s="23" t="n">
        <f aca="false">(ABS(G15-Q15)/G15)*100</f>
        <v>0.0710394333067471</v>
      </c>
      <c r="N56" s="19"/>
    </row>
    <row r="57" customFormat="false" ht="15" hidden="false" customHeight="false" outlineLevel="0" collapsed="false">
      <c r="A57" s="10"/>
      <c r="B57" s="10" t="n">
        <v>12</v>
      </c>
      <c r="C57" s="20" t="n">
        <f aca="false">(ABS(C16-H16)/C16)*100</f>
        <v>12.3483076535803</v>
      </c>
      <c r="D57" s="21" t="n">
        <f aca="false">(ABS(D16-I16)/D16)*100</f>
        <v>75.0583955922472</v>
      </c>
      <c r="E57" s="21" t="n">
        <f aca="false">(ABS(E16-J16)/E16)*100</f>
        <v>11.161049049203</v>
      </c>
      <c r="F57" s="21" t="n">
        <f aca="false">(ABS(F16-K16)/F16)*100</f>
        <v>89.7612288198906</v>
      </c>
      <c r="G57" s="22" t="n">
        <f aca="false">(ABS(G16-L16)/G16)*100</f>
        <v>1.96547642052404</v>
      </c>
      <c r="H57" s="19"/>
      <c r="I57" s="1" t="n">
        <f aca="false">(ABS(C16-M16)/C16)*100</f>
        <v>11.2920988871524</v>
      </c>
      <c r="J57" s="1" t="n">
        <f aca="false">(ABS(D16-N16)/D16)*100</f>
        <v>0.733436751481435</v>
      </c>
      <c r="K57" s="1" t="n">
        <f aca="false">(ABS(E16-O16)/E16)*100</f>
        <v>11.0394354823204</v>
      </c>
      <c r="L57" s="1" t="n">
        <f aca="false">(ABS(F16-P16)/F16)*100</f>
        <v>6.34730896811404</v>
      </c>
      <c r="M57" s="23" t="n">
        <f aca="false">(ABS(G16-Q16)/G16)*100</f>
        <v>0.0939167385059629</v>
      </c>
      <c r="N57" s="19"/>
    </row>
    <row r="58" customFormat="false" ht="15" hidden="false" customHeight="false" outlineLevel="0" collapsed="false">
      <c r="A58" s="10"/>
      <c r="B58" s="10" t="n">
        <v>13</v>
      </c>
      <c r="C58" s="20" t="n">
        <f aca="false">(ABS(C17-H17)/C17)*100</f>
        <v>32.6785150371127</v>
      </c>
      <c r="D58" s="21" t="n">
        <f aca="false">(ABS(D17-I17)/D17)*100</f>
        <v>19.4526195384084</v>
      </c>
      <c r="E58" s="21" t="n">
        <f aca="false">(ABS(E17-J17)/E17)*100</f>
        <v>63.0912762897624</v>
      </c>
      <c r="F58" s="21" t="n">
        <f aca="false">(ABS(F17-K17)/F17)*100</f>
        <v>82.3061949747308</v>
      </c>
      <c r="G58" s="22" t="n">
        <f aca="false">(ABS(G17-L17)/G17)*100</f>
        <v>2.34052300471202</v>
      </c>
      <c r="H58" s="19"/>
      <c r="I58" s="1" t="n">
        <f aca="false">(ABS(C17-M17)/C17)*100</f>
        <v>0.901572417403278</v>
      </c>
      <c r="J58" s="1" t="n">
        <f aca="false">(ABS(D17-N17)/D17)*100</f>
        <v>5.23431077007399</v>
      </c>
      <c r="K58" s="1" t="n">
        <f aca="false">(ABS(E17-O17)/E17)*100</f>
        <v>4.66790922731072</v>
      </c>
      <c r="L58" s="1" t="n">
        <f aca="false">(ABS(F17-P17)/F17)*100</f>
        <v>10.252334946515</v>
      </c>
      <c r="M58" s="23" t="n">
        <f aca="false">(ABS(G17-Q17)/G17)*100</f>
        <v>0.0686505524234729</v>
      </c>
      <c r="N58" s="19"/>
    </row>
    <row r="59" customFormat="false" ht="15" hidden="false" customHeight="false" outlineLevel="0" collapsed="false">
      <c r="A59" s="10"/>
      <c r="B59" s="10" t="n">
        <v>14</v>
      </c>
      <c r="C59" s="20" t="n">
        <f aca="false">(ABS(C18-H18)/C18)*100</f>
        <v>41.952307916525</v>
      </c>
      <c r="D59" s="21" t="n">
        <f aca="false">(ABS(D18-I18)/D18)*100</f>
        <v>11.5615045461258</v>
      </c>
      <c r="E59" s="21" t="n">
        <f aca="false">(ABS(E18-J18)/E18)*100</f>
        <v>53.6005288090779</v>
      </c>
      <c r="F59" s="21" t="n">
        <f aca="false">(ABS(F18-K18)/F18)*100</f>
        <v>88.1586566299942</v>
      </c>
      <c r="G59" s="22" t="n">
        <f aca="false">(ABS(G18-L18)/G18)*100</f>
        <v>2.56166677673299</v>
      </c>
      <c r="H59" s="19"/>
      <c r="I59" s="1" t="n">
        <f aca="false">(ABS(C18-M18)/C18)*100</f>
        <v>0.730441179532379</v>
      </c>
      <c r="J59" s="1" t="n">
        <f aca="false">(ABS(D18-N18)/D18)*100</f>
        <v>2.57789591376073</v>
      </c>
      <c r="K59" s="1" t="n">
        <f aca="false">(ABS(E18-O18)/E18)*100</f>
        <v>6.75421394733943</v>
      </c>
      <c r="L59" s="1" t="n">
        <f aca="false">(ABS(F18-P18)/F18)*100</f>
        <v>11.1630407808752</v>
      </c>
      <c r="M59" s="23" t="n">
        <f aca="false">(ABS(G18-Q18)/G18)*100</f>
        <v>0.090796253680872</v>
      </c>
      <c r="N59" s="19"/>
    </row>
    <row r="60" customFormat="false" ht="15" hidden="false" customHeight="false" outlineLevel="0" collapsed="false">
      <c r="A60" s="10"/>
      <c r="B60" s="10" t="n">
        <v>15</v>
      </c>
      <c r="C60" s="20" t="n">
        <f aca="false">(ABS(C19-H19)/C19)*100</f>
        <v>44.4866121259077</v>
      </c>
      <c r="D60" s="21" t="n">
        <f aca="false">(ABS(D19-I19)/D19)*100</f>
        <v>100.548919867358</v>
      </c>
      <c r="E60" s="21" t="n">
        <f aca="false">(ABS(E19-J19)/E19)*100</f>
        <v>10.8197794286088</v>
      </c>
      <c r="F60" s="21" t="n">
        <f aca="false">(ABS(F19-K19)/F19)*100</f>
        <v>86.6375733295178</v>
      </c>
      <c r="G60" s="22" t="n">
        <f aca="false">(ABS(G19-L19)/G19)*100</f>
        <v>2.41094636634615</v>
      </c>
      <c r="H60" s="19"/>
      <c r="I60" s="1" t="n">
        <f aca="false">(ABS(C19-M19)/C19)*100</f>
        <v>22.7101416921643</v>
      </c>
      <c r="J60" s="1" t="n">
        <f aca="false">(ABS(D19-N19)/D19)*100</f>
        <v>1.79405041692154</v>
      </c>
      <c r="K60" s="1" t="n">
        <f aca="false">(ABS(E19-O19)/E19)*100</f>
        <v>20.8999574565566</v>
      </c>
      <c r="L60" s="1" t="n">
        <f aca="false">(ABS(F19-P19)/F19)*100</f>
        <v>5.54013449706682</v>
      </c>
      <c r="M60" s="23" t="n">
        <f aca="false">(ABS(G19-Q19)/G19)*100</f>
        <v>0.17091084969805</v>
      </c>
      <c r="N60" s="19"/>
    </row>
    <row r="61" customFormat="false" ht="15" hidden="false" customHeight="false" outlineLevel="0" collapsed="false">
      <c r="A61" s="10"/>
      <c r="B61" s="10" t="n">
        <v>16</v>
      </c>
      <c r="C61" s="20" t="n">
        <f aca="false">(ABS(C20-H20)/C20)*100</f>
        <v>37.9418762124373</v>
      </c>
      <c r="D61" s="21" t="n">
        <f aca="false">(ABS(D20-I20)/D20)*100</f>
        <v>6.43083037736655</v>
      </c>
      <c r="E61" s="21" t="n">
        <f aca="false">(ABS(E20-J20)/E20)*100</f>
        <v>53.9048785098894</v>
      </c>
      <c r="F61" s="21" t="n">
        <f aca="false">(ABS(F20-K20)/F20)*100</f>
        <v>86.7868411914791</v>
      </c>
      <c r="G61" s="22" t="n">
        <f aca="false">(ABS(G20-L20)/G20)*100</f>
        <v>2.26707216852555</v>
      </c>
      <c r="H61" s="19"/>
      <c r="I61" s="1" t="n">
        <f aca="false">(ABS(C20-M20)/C20)*100</f>
        <v>0.767175432817247</v>
      </c>
      <c r="J61" s="1" t="n">
        <f aca="false">(ABS(D20-N20)/D20)*100</f>
        <v>2.28428565323304</v>
      </c>
      <c r="K61" s="1" t="n">
        <f aca="false">(ABS(E20-O20)/E20)*100</f>
        <v>6.20504325750142</v>
      </c>
      <c r="L61" s="1" t="n">
        <f aca="false">(ABS(F20-P20)/F20)*100</f>
        <v>10.7704153267811</v>
      </c>
      <c r="M61" s="23" t="n">
        <f aca="false">(ABS(G20-Q20)/G20)*100</f>
        <v>0.0811070831617736</v>
      </c>
      <c r="N61" s="19"/>
    </row>
    <row r="62" customFormat="false" ht="15" hidden="false" customHeight="false" outlineLevel="0" collapsed="false">
      <c r="A62" s="10"/>
      <c r="B62" s="10" t="n">
        <v>17</v>
      </c>
      <c r="C62" s="20" t="n">
        <f aca="false">(ABS(C21-H21)/C21)*100</f>
        <v>27.7032812395297</v>
      </c>
      <c r="D62" s="21" t="n">
        <f aca="false">(ABS(D21-I21)/D21)*100</f>
        <v>39.5946299986504</v>
      </c>
      <c r="E62" s="21" t="n">
        <f aca="false">(ABS(E21-J21)/E21)*100</f>
        <v>18.8792268045658</v>
      </c>
      <c r="F62" s="21" t="n">
        <f aca="false">(ABS(F21-K21)/F21)*100</f>
        <v>88.3621132492986</v>
      </c>
      <c r="G62" s="22" t="n">
        <f aca="false">(ABS(G21-L21)/G21)*100</f>
        <v>2.28035002711267</v>
      </c>
      <c r="H62" s="19"/>
      <c r="I62" s="1" t="n">
        <f aca="false">(ABS(C21-M21)/C21)*100</f>
        <v>7.46710942676961</v>
      </c>
      <c r="J62" s="1" t="n">
        <f aca="false">(ABS(D21-N21)/D21)*100</f>
        <v>0.532713025667082</v>
      </c>
      <c r="K62" s="1" t="n">
        <f aca="false">(ABS(E21-O21)/E21)*100</f>
        <v>10.0830138842437</v>
      </c>
      <c r="L62" s="1" t="n">
        <f aca="false">(ABS(F21-P21)/F21)*100</f>
        <v>9.01647765440392</v>
      </c>
      <c r="M62" s="23" t="n">
        <f aca="false">(ABS(G21-Q21)/G21)*100</f>
        <v>0.0911383840846115</v>
      </c>
      <c r="N62" s="19"/>
    </row>
    <row r="63" customFormat="false" ht="15" hidden="false" customHeight="false" outlineLevel="0" collapsed="false">
      <c r="A63" s="10"/>
      <c r="B63" s="10" t="n">
        <v>18</v>
      </c>
      <c r="C63" s="20" t="n">
        <f aca="false">(ABS(C22-H22)/C22)*100</f>
        <v>34.2397102588579</v>
      </c>
      <c r="D63" s="21" t="n">
        <f aca="false">(ABS(D22-I22)/D22)*100</f>
        <v>88.3428679978666</v>
      </c>
      <c r="E63" s="21" t="n">
        <f aca="false">(ABS(E22-J22)/E22)*100</f>
        <v>11.1399453269674</v>
      </c>
      <c r="F63" s="21" t="n">
        <f aca="false">(ABS(F22-K22)/F22)*100</f>
        <v>88.8279971670696</v>
      </c>
      <c r="G63" s="22" t="n">
        <f aca="false">(ABS(G22-L22)/G22)*100</f>
        <v>2.20827716321594</v>
      </c>
      <c r="H63" s="19"/>
      <c r="I63" s="1" t="n">
        <f aca="false">(ABS(C22-M22)/C22)*100</f>
        <v>22.467572575664</v>
      </c>
      <c r="J63" s="1" t="n">
        <f aca="false">(ABS(D22-N22)/D22)*100</f>
        <v>1.26617422498886</v>
      </c>
      <c r="K63" s="1" t="n">
        <f aca="false">(ABS(E22-O22)/E22)*100</f>
        <v>19.803227472569</v>
      </c>
      <c r="L63" s="1" t="n">
        <f aca="false">(ABS(F22-P22)/F22)*100</f>
        <v>6.24661147336801</v>
      </c>
      <c r="M63" s="23" t="n">
        <f aca="false">(ABS(G22-Q22)/G22)*100</f>
        <v>0.1429359481135</v>
      </c>
      <c r="N63" s="19"/>
    </row>
    <row r="64" customFormat="false" ht="15" hidden="false" customHeight="false" outlineLevel="0" collapsed="false">
      <c r="A64" s="10"/>
      <c r="B64" s="10" t="n">
        <v>19</v>
      </c>
      <c r="C64" s="20" t="n">
        <f aca="false">(ABS(C23-H23)/C23)*100</f>
        <v>17.6487264480112</v>
      </c>
      <c r="D64" s="21" t="n">
        <f aca="false">(ABS(D23-I23)/D23)*100</f>
        <v>75.8858491326557</v>
      </c>
      <c r="E64" s="21" t="n">
        <f aca="false">(ABS(E23-J23)/E23)*100</f>
        <v>0.323378531232546</v>
      </c>
      <c r="F64" s="21" t="n">
        <f aca="false">(ABS(F23-K23)/F23)*100</f>
        <v>90.5945097479621</v>
      </c>
      <c r="G64" s="22" t="n">
        <f aca="false">(ABS(G23-L23)/G23)*100</f>
        <v>2.17126264584174</v>
      </c>
      <c r="H64" s="19"/>
      <c r="I64" s="1" t="n">
        <f aca="false">(ABS(C23-M23)/C23)*100</f>
        <v>17.6138346127006</v>
      </c>
      <c r="J64" s="1" t="n">
        <f aca="false">(ABS(D23-N23)/D23)*100</f>
        <v>1.95161633113718</v>
      </c>
      <c r="K64" s="1" t="n">
        <f aca="false">(ABS(E23-O23)/E23)*100</f>
        <v>14.8824526079141</v>
      </c>
      <c r="L64" s="1" t="n">
        <f aca="false">(ABS(F23-P23)/F23)*100</f>
        <v>8.36499414349333</v>
      </c>
      <c r="M64" s="23" t="n">
        <f aca="false">(ABS(G23-Q23)/G23)*100</f>
        <v>0.13712089740323</v>
      </c>
      <c r="N64" s="19"/>
    </row>
    <row r="65" customFormat="false" ht="15" hidden="false" customHeight="false" outlineLevel="0" collapsed="false">
      <c r="A65" s="10"/>
      <c r="B65" s="10" t="n">
        <v>20</v>
      </c>
      <c r="C65" s="20" t="n">
        <f aca="false">(ABS(C24-H24)/C24)*100</f>
        <v>48.3470329761723</v>
      </c>
      <c r="D65" s="21" t="n">
        <f aca="false">(ABS(D24-I24)/D24)*100</f>
        <v>104.664819714943</v>
      </c>
      <c r="E65" s="21" t="n">
        <f aca="false">(ABS(E24-J24)/E24)*100</f>
        <v>11.109983972083</v>
      </c>
      <c r="F65" s="21" t="n">
        <f aca="false">(ABS(F24-K24)/F24)*100</f>
        <v>93.288321701418</v>
      </c>
      <c r="G65" s="22" t="n">
        <f aca="false">(ABS(G24-L24)/G24)*100</f>
        <v>2.55509921530774</v>
      </c>
      <c r="H65" s="19"/>
      <c r="I65" s="1" t="n">
        <f aca="false">(ABS(C24-M24)/C24)*100</f>
        <v>19.7912479381229</v>
      </c>
      <c r="J65" s="1" t="n">
        <f aca="false">(ABS(D24-N24)/D24)*100</f>
        <v>0.522995930718584</v>
      </c>
      <c r="K65" s="1" t="n">
        <f aca="false">(ABS(E24-O24)/E24)*100</f>
        <v>15.8184381910771</v>
      </c>
      <c r="L65" s="1" t="n">
        <f aca="false">(ABS(F24-P24)/F24)*100</f>
        <v>7.64999214913397</v>
      </c>
      <c r="M65" s="23" t="n">
        <f aca="false">(ABS(G24-Q24)/G24)*100</f>
        <v>0.116483674995727</v>
      </c>
      <c r="N65" s="19"/>
    </row>
    <row r="66" customFormat="false" ht="15" hidden="false" customHeight="false" outlineLevel="0" collapsed="false">
      <c r="A66" s="10"/>
      <c r="B66" s="10" t="n">
        <v>21</v>
      </c>
      <c r="C66" s="20" t="n">
        <f aca="false">(ABS(C25-H25)/C25)*100</f>
        <v>42.5095000093596</v>
      </c>
      <c r="D66" s="21" t="n">
        <f aca="false">(ABS(D25-I25)/D25)*100</f>
        <v>6.58297997397036</v>
      </c>
      <c r="E66" s="21" t="n">
        <f aca="false">(ABS(E25-J25)/E25)*100</f>
        <v>57.1986596725718</v>
      </c>
      <c r="F66" s="21" t="n">
        <f aca="false">(ABS(F25-K25)/F25)*100</f>
        <v>85.1868353828789</v>
      </c>
      <c r="G66" s="22" t="n">
        <f aca="false">(ABS(G25-L25)/G25)*100</f>
        <v>2.42870558296723</v>
      </c>
      <c r="H66" s="19"/>
      <c r="I66" s="1" t="n">
        <f aca="false">(ABS(C25-M25)/C25)*100</f>
        <v>0.965163512476367</v>
      </c>
      <c r="J66" s="1" t="n">
        <f aca="false">(ABS(D25-N25)/D25)*100</f>
        <v>1.87035559847181</v>
      </c>
      <c r="K66" s="1" t="n">
        <f aca="false">(ABS(E25-O25)/E25)*100</f>
        <v>6.84257686348448</v>
      </c>
      <c r="L66" s="1" t="n">
        <f aca="false">(ABS(F25-P25)/F25)*100</f>
        <v>11.8636012594309</v>
      </c>
      <c r="M66" s="23" t="n">
        <f aca="false">(ABS(G25-Q25)/G25)*100</f>
        <v>0.0773596619175501</v>
      </c>
      <c r="N66" s="19"/>
    </row>
    <row r="67" customFormat="false" ht="15" hidden="false" customHeight="false" outlineLevel="0" collapsed="false">
      <c r="A67" s="10"/>
      <c r="B67" s="10" t="n">
        <v>22</v>
      </c>
      <c r="C67" s="20" t="n">
        <f aca="false">(ABS(C26-H26)/C26)*100</f>
        <v>15.0891697177277</v>
      </c>
      <c r="D67" s="21" t="n">
        <f aca="false">(ABS(D26-I26)/D26)*100</f>
        <v>69.2679527616812</v>
      </c>
      <c r="E67" s="21" t="n">
        <f aca="false">(ABS(E26-J26)/E26)*100</f>
        <v>1.4862586801528</v>
      </c>
      <c r="F67" s="21" t="n">
        <f aca="false">(ABS(F26-K26)/F26)*100</f>
        <v>90.2513940627965</v>
      </c>
      <c r="G67" s="22" t="n">
        <f aca="false">(ABS(G26-L26)/G26)*100</f>
        <v>2.34573609476271</v>
      </c>
      <c r="H67" s="19"/>
      <c r="I67" s="1" t="n">
        <f aca="false">(ABS(C26-M26)/C26)*100</f>
        <v>14.4726585567497</v>
      </c>
      <c r="J67" s="1" t="n">
        <f aca="false">(ABS(D26-N26)/D26)*100</f>
        <v>0.467982102251889</v>
      </c>
      <c r="K67" s="1" t="n">
        <f aca="false">(ABS(E26-O26)/E26)*100</f>
        <v>13.9928960649974</v>
      </c>
      <c r="L67" s="1" t="n">
        <f aca="false">(ABS(F26-P26)/F26)*100</f>
        <v>7.32374650038178</v>
      </c>
      <c r="M67" s="23" t="n">
        <f aca="false">(ABS(G26-Q26)/G26)*100</f>
        <v>0.0940486499949629</v>
      </c>
      <c r="N67" s="19"/>
    </row>
    <row r="68" customFormat="false" ht="15" hidden="false" customHeight="false" outlineLevel="0" collapsed="false">
      <c r="A68" s="10"/>
      <c r="B68" s="10" t="n">
        <v>23</v>
      </c>
      <c r="C68" s="20" t="n">
        <f aca="false">(ABS(C27-H27)/C27)*100</f>
        <v>34.6528656419092</v>
      </c>
      <c r="D68" s="21" t="n">
        <f aca="false">(ABS(D27-I27)/D27)*100</f>
        <v>92.795164943109</v>
      </c>
      <c r="E68" s="21" t="n">
        <f aca="false">(ABS(E27-J27)/E27)*100</f>
        <v>13.8379067364969</v>
      </c>
      <c r="F68" s="21" t="n">
        <f aca="false">(ABS(F27-K27)/F27)*100</f>
        <v>91.4125552966602</v>
      </c>
      <c r="G68" s="22" t="n">
        <f aca="false">(ABS(G27-L27)/G27)*100</f>
        <v>2.59871791542423</v>
      </c>
      <c r="H68" s="19"/>
      <c r="I68" s="1" t="n">
        <f aca="false">(ABS(C27-M27)/C27)*100</f>
        <v>16.107626457049</v>
      </c>
      <c r="J68" s="1" t="n">
        <f aca="false">(ABS(D27-N27)/D27)*100</f>
        <v>0.717618488908292</v>
      </c>
      <c r="K68" s="1" t="n">
        <f aca="false">(ABS(E27-O27)/E27)*100</f>
        <v>13.411832427904</v>
      </c>
      <c r="L68" s="1" t="n">
        <f aca="false">(ABS(F27-P27)/F27)*100</f>
        <v>7.01381150170533</v>
      </c>
      <c r="M68" s="23" t="n">
        <f aca="false">(ABS(G27-Q27)/G27)*100</f>
        <v>0.0893468508522302</v>
      </c>
      <c r="N68" s="19"/>
    </row>
    <row r="69" customFormat="false" ht="15" hidden="false" customHeight="false" outlineLevel="0" collapsed="false">
      <c r="A69" s="10"/>
      <c r="B69" s="10" t="n">
        <v>24</v>
      </c>
      <c r="C69" s="20" t="n">
        <f aca="false">(ABS(C28-H28)/C28)*100</f>
        <v>40.0964320154291</v>
      </c>
      <c r="D69" s="21" t="n">
        <f aca="false">(ABS(D28-I28)/D28)*100</f>
        <v>18.0365131400214</v>
      </c>
      <c r="E69" s="21" t="n">
        <f aca="false">(ABS(E28-J28)/E28)*100</f>
        <v>36.4945824840528</v>
      </c>
      <c r="F69" s="21" t="n">
        <f aca="false">(ABS(F28-K28)/F28)*100</f>
        <v>88.6661823625237</v>
      </c>
      <c r="G69" s="22" t="n">
        <f aca="false">(ABS(G28-L28)/G28)*100</f>
        <v>2.40568558405482</v>
      </c>
      <c r="H69" s="19"/>
      <c r="I69" s="1" t="n">
        <f aca="false">(ABS(C28-M28)/C28)*100</f>
        <v>4.08611118350752</v>
      </c>
      <c r="J69" s="1" t="n">
        <f aca="false">(ABS(D28-N28)/D28)*100</f>
        <v>0.328726930251933</v>
      </c>
      <c r="K69" s="1" t="n">
        <f aca="false">(ABS(E28-O28)/E28)*100</f>
        <v>8.28636502421997</v>
      </c>
      <c r="L69" s="1" t="n">
        <f aca="false">(ABS(F28-P28)/F28)*100</f>
        <v>11.3481266235196</v>
      </c>
      <c r="M69" s="23" t="n">
        <f aca="false">(ABS(G28-Q28)/G28)*100</f>
        <v>0.0765736348674396</v>
      </c>
      <c r="N69" s="19"/>
    </row>
    <row r="70" customFormat="false" ht="15" hidden="false" customHeight="false" outlineLevel="0" collapsed="false">
      <c r="A70" s="10"/>
      <c r="B70" s="10" t="n">
        <v>25</v>
      </c>
      <c r="C70" s="20" t="n">
        <f aca="false">(ABS(C29-H29)/C29)*100</f>
        <v>8.77201805449036</v>
      </c>
      <c r="D70" s="21" t="n">
        <f aca="false">(ABS(D29-I29)/D29)*100</f>
        <v>74.6247077642426</v>
      </c>
      <c r="E70" s="21" t="n">
        <f aca="false">(ABS(E29-J29)/E29)*100</f>
        <v>18.6085249579361</v>
      </c>
      <c r="F70" s="21" t="n">
        <f aca="false">(ABS(F29-K29)/F29)*100</f>
        <v>89.7030417222346</v>
      </c>
      <c r="G70" s="22" t="n">
        <f aca="false">(ABS(G29-L29)/G29)*100</f>
        <v>2.1658477791243</v>
      </c>
      <c r="H70" s="19"/>
      <c r="I70" s="1" t="n">
        <f aca="false">(ABS(C29-M29)/C29)*100</f>
        <v>22.1242943535713</v>
      </c>
      <c r="J70" s="1" t="n">
        <f aca="false">(ABS(D29-N29)/D29)*100</f>
        <v>2.17331118493909</v>
      </c>
      <c r="K70" s="1" t="n">
        <f aca="false">(ABS(E29-O29)/E29)*100</f>
        <v>19.2860347728547</v>
      </c>
      <c r="L70" s="1" t="n">
        <f aca="false">(ABS(F29-P29)/F29)*100</f>
        <v>7.23482817045794</v>
      </c>
      <c r="M70" s="23" t="n">
        <f aca="false">(ABS(G29-Q29)/G29)*100</f>
        <v>0.143974919648032</v>
      </c>
      <c r="N70" s="19"/>
    </row>
    <row r="71" customFormat="false" ht="15" hidden="false" customHeight="false" outlineLevel="0" collapsed="false">
      <c r="A71" s="10"/>
      <c r="B71" s="10" t="n">
        <v>26</v>
      </c>
      <c r="C71" s="20" t="n">
        <f aca="false">(ABS(C30-H30)/C30)*100</f>
        <v>38.6929017182914</v>
      </c>
      <c r="D71" s="21" t="n">
        <f aca="false">(ABS(D30-I30)/D30)*100</f>
        <v>87.2228348334029</v>
      </c>
      <c r="E71" s="21" t="n">
        <f aca="false">(ABS(E30-J30)/E30)*100</f>
        <v>11.446738214555</v>
      </c>
      <c r="F71" s="21" t="n">
        <f aca="false">(ABS(F30-K30)/F30)*100</f>
        <v>91.5416833558328</v>
      </c>
      <c r="G71" s="22" t="n">
        <f aca="false">(ABS(G30-L30)/G30)*100</f>
        <v>2.44613936593868</v>
      </c>
      <c r="H71" s="19"/>
      <c r="I71" s="1" t="n">
        <f aca="false">(ABS(C30-M30)/C30)*100</f>
        <v>24.1928589747243</v>
      </c>
      <c r="J71" s="1" t="n">
        <f aca="false">(ABS(D30-N30)/D30)*100</f>
        <v>2.18900876199559</v>
      </c>
      <c r="K71" s="1" t="n">
        <f aca="false">(ABS(E30-O30)/E30)*100</f>
        <v>17.9780699809304</v>
      </c>
      <c r="L71" s="1" t="n">
        <f aca="false">(ABS(F30-P30)/F30)*100</f>
        <v>7.03170199824949</v>
      </c>
      <c r="M71" s="23" t="n">
        <f aca="false">(ABS(G30-Q30)/G30)*100</f>
        <v>0.136769644684339</v>
      </c>
      <c r="N71" s="19"/>
    </row>
    <row r="72" customFormat="false" ht="15" hidden="false" customHeight="false" outlineLevel="0" collapsed="false">
      <c r="A72" s="10"/>
      <c r="B72" s="10" t="n">
        <v>27</v>
      </c>
      <c r="C72" s="20" t="n">
        <f aca="false">(ABS(C31-H31)/C31)*100</f>
        <v>0.666799905521539</v>
      </c>
      <c r="D72" s="21" t="n">
        <f aca="false">(ABS(D31-I31)/D31)*100</f>
        <v>55.2227448810183</v>
      </c>
      <c r="E72" s="21" t="n">
        <f aca="false">(ABS(E31-J31)/E31)*100</f>
        <v>12.2808585079568</v>
      </c>
      <c r="F72" s="21" t="n">
        <f aca="false">(ABS(F31-K31)/F31)*100</f>
        <v>90.1951059945763</v>
      </c>
      <c r="G72" s="22" t="n">
        <f aca="false">(ABS(G31-L31)/G31)*100</f>
        <v>2.66820736208559</v>
      </c>
      <c r="H72" s="19"/>
      <c r="I72" s="1" t="n">
        <f aca="false">(ABS(C31-M31)/C31)*100</f>
        <v>22.0062137756863</v>
      </c>
      <c r="J72" s="1" t="n">
        <f aca="false">(ABS(D31-N31)/D31)*100</f>
        <v>5.86261759822911</v>
      </c>
      <c r="K72" s="1" t="n">
        <f aca="false">(ABS(E31-O31)/E31)*100</f>
        <v>19.7749332229788</v>
      </c>
      <c r="L72" s="1" t="n">
        <f aca="false">(ABS(F31-P31)/F31)*100</f>
        <v>9.93204528907132</v>
      </c>
      <c r="M72" s="23" t="n">
        <f aca="false">(ABS(G31-Q31)/G31)*100</f>
        <v>0.192265487314202</v>
      </c>
      <c r="N72" s="19"/>
    </row>
    <row r="73" customFormat="false" ht="15" hidden="false" customHeight="false" outlineLevel="0" collapsed="false">
      <c r="A73" s="10"/>
      <c r="B73" s="10" t="n">
        <v>28</v>
      </c>
      <c r="C73" s="20" t="n">
        <f aca="false">(ABS(C32-H32)/C32)*100</f>
        <v>28.3476154706973</v>
      </c>
      <c r="D73" s="21" t="n">
        <f aca="false">(ABS(D32-I32)/D32)*100</f>
        <v>104.591185813732</v>
      </c>
      <c r="E73" s="21" t="n">
        <f aca="false">(ABS(E32-J32)/E32)*100</f>
        <v>48.1414552320446</v>
      </c>
      <c r="F73" s="21" t="n">
        <f aca="false">(ABS(F32-K32)/F32)*100</f>
        <v>86.1507148399995</v>
      </c>
      <c r="G73" s="22" t="n">
        <f aca="false">(ABS(G32-L32)/G32)*100</f>
        <v>3.26996099697818</v>
      </c>
      <c r="H73" s="19"/>
      <c r="I73" s="1" t="n">
        <f aca="false">(ABS(C32-M32)/C32)*100</f>
        <v>33.8264375392823</v>
      </c>
      <c r="J73" s="1" t="n">
        <f aca="false">(ABS(D32-N32)/D32)*100</f>
        <v>1.3306047658598</v>
      </c>
      <c r="K73" s="1" t="n">
        <f aca="false">(ABS(E32-O32)/E32)*100</f>
        <v>32.7050395857475</v>
      </c>
      <c r="L73" s="1" t="n">
        <f aca="false">(ABS(F32-P32)/F32)*100</f>
        <v>4.24037563625363</v>
      </c>
      <c r="M73" s="23" t="n">
        <f aca="false">(ABS(G32-Q32)/G32)*100</f>
        <v>0.229734772180511</v>
      </c>
      <c r="N73" s="19"/>
    </row>
    <row r="74" customFormat="false" ht="15" hidden="false" customHeight="false" outlineLevel="0" collapsed="false">
      <c r="A74" s="10"/>
      <c r="B74" s="10" t="n">
        <v>29</v>
      </c>
      <c r="C74" s="20" t="n">
        <f aca="false">(ABS(C33-H33)/C33)*100</f>
        <v>30.5877546255764</v>
      </c>
      <c r="D74" s="21" t="n">
        <f aca="false">(ABS(D33-I33)/D33)*100</f>
        <v>89.2011372853107</v>
      </c>
      <c r="E74" s="21" t="n">
        <f aca="false">(ABS(E33-J33)/E33)*100</f>
        <v>29.4845337185572</v>
      </c>
      <c r="F74" s="21" t="n">
        <f aca="false">(ABS(F33-K33)/F33)*100</f>
        <v>92.5090271991112</v>
      </c>
      <c r="G74" s="22" t="n">
        <f aca="false">(ABS(G33-L33)/G33)*100</f>
        <v>3.01011162171237</v>
      </c>
      <c r="H74" s="19"/>
      <c r="I74" s="1" t="n">
        <f aca="false">(ABS(C33-M33)/C33)*100</f>
        <v>29.1472596743127</v>
      </c>
      <c r="J74" s="1" t="n">
        <f aca="false">(ABS(D33-N33)/D33)*100</f>
        <v>5.40210522562992</v>
      </c>
      <c r="K74" s="1" t="n">
        <f aca="false">(ABS(E33-O33)/E33)*100</f>
        <v>24.5219096099608</v>
      </c>
      <c r="L74" s="1" t="n">
        <f aca="false">(ABS(F33-P33)/F33)*100</f>
        <v>7.35508407580711</v>
      </c>
      <c r="M74" s="23" t="n">
        <f aca="false">(ABS(G33-Q33)/G33)*100</f>
        <v>0.219783412476712</v>
      </c>
      <c r="N74" s="19"/>
    </row>
    <row r="75" customFormat="false" ht="15" hidden="false" customHeight="false" outlineLevel="0" collapsed="false">
      <c r="A75" s="10"/>
      <c r="B75" s="10" t="n">
        <v>30</v>
      </c>
      <c r="C75" s="20" t="n">
        <f aca="false">(ABS(C34-H34)/C34)*100</f>
        <v>40.2564368555364</v>
      </c>
      <c r="D75" s="21" t="n">
        <f aca="false">(ABS(D34-I34)/D34)*100</f>
        <v>13.2903791972657</v>
      </c>
      <c r="E75" s="21" t="n">
        <f aca="false">(ABS(E34-J34)/E34)*100</f>
        <v>52.7170164757972</v>
      </c>
      <c r="F75" s="21" t="n">
        <f aca="false">(ABS(F34-K34)/F34)*100</f>
        <v>87.5282319351127</v>
      </c>
      <c r="G75" s="22" t="n">
        <f aca="false">(ABS(G34-L34)/G34)*100</f>
        <v>3.32875465805822</v>
      </c>
      <c r="H75" s="19"/>
      <c r="I75" s="1" t="n">
        <f aca="false">(ABS(C34-M34)/C34)*100</f>
        <v>1.43073507749123</v>
      </c>
      <c r="J75" s="1" t="n">
        <f aca="false">(ABS(D34-N34)/D34)*100</f>
        <v>2.05186827398273</v>
      </c>
      <c r="K75" s="1" t="n">
        <f aca="false">(ABS(E34-O34)/E34)*100</f>
        <v>6.0871046021542</v>
      </c>
      <c r="L75" s="1" t="n">
        <f aca="false">(ABS(F34-P34)/F34)*100</f>
        <v>8.96177502521343</v>
      </c>
      <c r="M75" s="23" t="n">
        <f aca="false">(ABS(G34-Q34)/G34)*100</f>
        <v>0.0920620159583043</v>
      </c>
      <c r="N75" s="19"/>
    </row>
    <row r="76" customFormat="false" ht="15" hidden="false" customHeight="false" outlineLevel="0" collapsed="false">
      <c r="A76" s="10"/>
      <c r="B76" s="24" t="n">
        <v>31</v>
      </c>
      <c r="C76" s="20" t="n">
        <f aca="false">(ABS(C35-H35)/C35)*100</f>
        <v>10.3201226817463</v>
      </c>
      <c r="D76" s="21" t="n">
        <f aca="false">(ABS(D35-I35)/D35)*100</f>
        <v>106.899104733515</v>
      </c>
      <c r="E76" s="21" t="n">
        <f aca="false">(ABS(E35-J35)/E35)*100</f>
        <v>53.3300198807157</v>
      </c>
      <c r="F76" s="21" t="n">
        <f aca="false">(ABS(F35-K35)/F35)*100</f>
        <v>62.0261909608493</v>
      </c>
      <c r="G76" s="22" t="n">
        <f aca="false">(ABS(G35-L35)/G35)*100</f>
        <v>2.07728155277335</v>
      </c>
      <c r="H76" s="19"/>
      <c r="I76" s="1" t="n">
        <f aca="false">(ABS(C35-M35)/C35)*100</f>
        <v>13.8040925863804</v>
      </c>
      <c r="J76" s="1" t="n">
        <f aca="false">(ABS(D35-N35)/D35)*100</f>
        <v>4.9906966322783</v>
      </c>
      <c r="K76" s="1" t="n">
        <f aca="false">(ABS(E35-O35)/E35)*100</f>
        <v>4.88962775073696</v>
      </c>
      <c r="L76" s="1" t="n">
        <f aca="false">(ABS(F35-P35)/F35)*100</f>
        <v>0.324765447177039</v>
      </c>
      <c r="M76" s="23" t="n">
        <f aca="false">(ABS(G35-Q35)/G35)*100</f>
        <v>0.037384440415733</v>
      </c>
      <c r="N76" s="19"/>
    </row>
    <row r="77" customFormat="false" ht="15" hidden="false" customHeight="false" outlineLevel="0" collapsed="false">
      <c r="A77" s="10"/>
      <c r="B77" s="10" t="n">
        <v>32</v>
      </c>
      <c r="C77" s="20" t="n">
        <f aca="false">(ABS(C36-H36)/C36)*100</f>
        <v>60.4334445467096</v>
      </c>
      <c r="D77" s="21" t="n">
        <f aca="false">(ABS(D36-I36)/D36)*100</f>
        <v>124.708432612551</v>
      </c>
      <c r="E77" s="21" t="n">
        <f aca="false">(ABS(E36-J36)/E36)*100</f>
        <v>1.97299567155501</v>
      </c>
      <c r="F77" s="21" t="n">
        <f aca="false">(ABS(F36-K36)/F36)*100</f>
        <v>89.9352190262166</v>
      </c>
      <c r="G77" s="22" t="n">
        <f aca="false">(ABS(G36-L36)/G36)*100</f>
        <v>4.17875832248237</v>
      </c>
      <c r="H77" s="25" t="s">
        <v>15</v>
      </c>
      <c r="I77" s="1" t="n">
        <f aca="false">(ABS(C36-M36)/C36)*100</f>
        <v>30.3497468936954</v>
      </c>
      <c r="J77" s="1" t="n">
        <f aca="false">(ABS(D36-N36)/D36)*100</f>
        <v>3.58569662659668</v>
      </c>
      <c r="K77" s="1" t="n">
        <f aca="false">(ABS(E36-O36)/E36)*100</f>
        <v>23.7411977517928</v>
      </c>
      <c r="L77" s="1" t="n">
        <f aca="false">(ABS(F36-P36)/F36)*100</f>
        <v>5.58893085026549</v>
      </c>
      <c r="M77" s="23" t="n">
        <f aca="false">(ABS(G36-Q36)/G36)*100</f>
        <v>0.192287218796321</v>
      </c>
      <c r="N77" s="25" t="s">
        <v>15</v>
      </c>
    </row>
    <row r="78" customFormat="false" ht="15" hidden="false" customHeight="false" outlineLevel="0" collapsed="false">
      <c r="A78" s="10"/>
      <c r="B78" s="10" t="s">
        <v>12</v>
      </c>
      <c r="C78" s="26" t="n">
        <f aca="false">(ABS(SUM(C4:C36)-SUM(H4:H36))/SUM(C4:C36))*100</f>
        <v>12.5133019331626</v>
      </c>
      <c r="D78" s="26" t="n">
        <f aca="false">(ABS(SUM(D4:D36)-SUM(I4:I36))/SUM(D4:D36))*100</f>
        <v>64.9438376040155</v>
      </c>
      <c r="E78" s="26" t="n">
        <f aca="false">(ABS(SUM(E4:E36)-SUM(J4:J36))/SUM(E4:E36))*100</f>
        <v>17.9236686768405</v>
      </c>
      <c r="F78" s="26" t="n">
        <f aca="false">(ABS(SUM(F4:F36)-SUM(K4:K36))/SUM(F4:F36))*100</f>
        <v>87.1893992405496</v>
      </c>
      <c r="G78" s="26" t="n">
        <f aca="false">(ABS(SUM(G4:G36)-SUM(L4:L36))/SUM(G4:G36))*100</f>
        <v>2.58802560979258</v>
      </c>
      <c r="H78" s="27" t="n">
        <f aca="false">SUM(C45:G77)/COUNT(C45:G77)</f>
        <v>41.6808428271899</v>
      </c>
      <c r="I78" s="28" t="n">
        <f aca="false">(ABS(SUM(C4:C36)-SUM(M4:M36))/SUM(C4:C36))*100</f>
        <v>7.64686641690131</v>
      </c>
      <c r="J78" s="28" t="n">
        <f aca="false">(ABS(SUM(D4:D36)-SUM(N4:N36))/SUM(D4:D36))*100</f>
        <v>0.405620197630805</v>
      </c>
      <c r="K78" s="28" t="n">
        <f aca="false">(ABS(SUM(E4:E36)-SUM(O4:O36))/SUM(E4:E36))*100</f>
        <v>12.3060477733203</v>
      </c>
      <c r="L78" s="28" t="n">
        <f aca="false">(ABS(SUM(F4:F36)-SUM(P4:P36))/SUM(F4:F36))*100</f>
        <v>6.49566660541341</v>
      </c>
      <c r="M78" s="28" t="n">
        <f aca="false">(ABS(SUM(G4:G36)-SUM(Q4:Q36))/SUM(G4:G36))*100</f>
        <v>0.108163437228738</v>
      </c>
      <c r="N78" s="27" t="n">
        <f aca="false">SUM(I45:M77)/COUNT(I45:M77)</f>
        <v>7.0841714857249</v>
      </c>
    </row>
  </sheetData>
  <mergeCells count="10">
    <mergeCell ref="B1:B3"/>
    <mergeCell ref="C1:G2"/>
    <mergeCell ref="H2:L2"/>
    <mergeCell ref="M2:Q2"/>
    <mergeCell ref="A3:A37"/>
    <mergeCell ref="B42:B44"/>
    <mergeCell ref="C42:N42"/>
    <mergeCell ref="C43:H43"/>
    <mergeCell ref="I43:N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H44" activeCellId="0" sqref="H44"/>
    </sheetView>
  </sheetViews>
  <sheetFormatPr defaultColWidth="8.6796875" defaultRowHeight="15" zeroHeight="false" outlineLevelRow="0" outlineLevelCol="0"/>
  <cols>
    <col collapsed="false" customWidth="true" hidden="false" outlineLevel="0" max="7" min="7" style="1" width="11.39"/>
    <col collapsed="false" customWidth="true" hidden="false" outlineLevel="0" max="12" min="12" style="1" width="9.73"/>
  </cols>
  <sheetData>
    <row r="1" customFormat="false" ht="15" hidden="false" customHeight="false" outlineLevel="0" collapsed="false">
      <c r="B1" s="2" t="s">
        <v>0</v>
      </c>
      <c r="C1" s="2" t="s">
        <v>1</v>
      </c>
      <c r="D1" s="2"/>
      <c r="E1" s="2"/>
      <c r="F1" s="2"/>
      <c r="P1" s="3" t="s">
        <v>2</v>
      </c>
    </row>
    <row r="2" customFormat="false" ht="15" hidden="false" customHeight="false" outlineLevel="0" collapsed="false">
      <c r="B2" s="2"/>
      <c r="C2" s="2"/>
      <c r="D2" s="2"/>
      <c r="E2" s="2"/>
      <c r="F2" s="2"/>
      <c r="G2" s="4" t="s">
        <v>3</v>
      </c>
      <c r="H2" s="4"/>
      <c r="I2" s="4"/>
      <c r="J2" s="4"/>
      <c r="K2" s="2" t="s">
        <v>4</v>
      </c>
      <c r="L2" s="2"/>
      <c r="M2" s="2"/>
      <c r="N2" s="2"/>
      <c r="P2" s="3" t="s">
        <v>5</v>
      </c>
    </row>
    <row r="3" customFormat="false" ht="15" hidden="false" customHeight="false" outlineLevel="0" collapsed="false">
      <c r="A3" s="2" t="s">
        <v>16</v>
      </c>
      <c r="B3" s="2"/>
      <c r="C3" s="29" t="s">
        <v>17</v>
      </c>
      <c r="D3" s="30" t="s">
        <v>18</v>
      </c>
      <c r="E3" s="31" t="s">
        <v>19</v>
      </c>
      <c r="F3" s="9" t="s">
        <v>11</v>
      </c>
      <c r="G3" s="29" t="s">
        <v>17</v>
      </c>
      <c r="H3" s="30" t="s">
        <v>18</v>
      </c>
      <c r="I3" s="31" t="s">
        <v>19</v>
      </c>
      <c r="J3" s="9" t="s">
        <v>11</v>
      </c>
      <c r="K3" s="29" t="s">
        <v>17</v>
      </c>
      <c r="L3" s="30" t="s">
        <v>18</v>
      </c>
      <c r="M3" s="31" t="s">
        <v>19</v>
      </c>
      <c r="N3" s="9" t="s">
        <v>11</v>
      </c>
    </row>
    <row r="4" customFormat="false" ht="15" hidden="false" customHeight="false" outlineLevel="0" collapsed="false">
      <c r="A4" s="2"/>
      <c r="B4" s="1" t="n">
        <v>0</v>
      </c>
      <c r="C4" s="1" t="n">
        <v>283157</v>
      </c>
      <c r="D4" s="1" t="n">
        <v>75860</v>
      </c>
      <c r="E4" s="1" t="n">
        <v>280076</v>
      </c>
      <c r="F4" s="1" t="n">
        <v>2996119</v>
      </c>
      <c r="G4" s="1" t="n">
        <v>283157</v>
      </c>
      <c r="H4" s="1" t="n">
        <v>75860</v>
      </c>
      <c r="I4" s="1" t="n">
        <v>280076</v>
      </c>
      <c r="J4" s="1" t="n">
        <v>2996119</v>
      </c>
      <c r="K4" s="1" t="n">
        <v>283157</v>
      </c>
      <c r="L4" s="1" t="n">
        <v>75860</v>
      </c>
      <c r="M4" s="1" t="n">
        <v>280076</v>
      </c>
      <c r="N4" s="1" t="n">
        <v>2996119</v>
      </c>
    </row>
    <row r="5" customFormat="false" ht="15" hidden="false" customHeight="false" outlineLevel="0" collapsed="false">
      <c r="A5" s="2"/>
      <c r="B5" s="1" t="n">
        <v>1</v>
      </c>
      <c r="C5" s="1" t="n">
        <v>108989</v>
      </c>
      <c r="D5" s="1" t="n">
        <v>125936</v>
      </c>
      <c r="E5" s="1" t="n">
        <v>358732</v>
      </c>
      <c r="F5" s="1" t="n">
        <v>3041555</v>
      </c>
      <c r="G5" s="1" t="n">
        <v>84488</v>
      </c>
      <c r="H5" s="1" t="n">
        <v>88678</v>
      </c>
      <c r="I5" s="1" t="n">
        <v>412601</v>
      </c>
      <c r="J5" s="1" t="n">
        <v>3049445</v>
      </c>
      <c r="K5" s="1" t="n">
        <v>87881</v>
      </c>
      <c r="L5" s="1" t="n">
        <v>159348</v>
      </c>
      <c r="M5" s="1" t="n">
        <v>349757</v>
      </c>
      <c r="N5" s="1" t="n">
        <v>3038226</v>
      </c>
    </row>
    <row r="6" customFormat="false" ht="15" hidden="false" customHeight="false" outlineLevel="0" collapsed="false">
      <c r="A6" s="2"/>
      <c r="B6" s="1" t="n">
        <v>2</v>
      </c>
      <c r="C6" s="1" t="n">
        <v>106688</v>
      </c>
      <c r="D6" s="1" t="n">
        <v>125055</v>
      </c>
      <c r="E6" s="1" t="n">
        <v>378672</v>
      </c>
      <c r="F6" s="1" t="n">
        <v>3024797</v>
      </c>
      <c r="G6" s="1" t="n">
        <v>99518</v>
      </c>
      <c r="H6" s="1" t="n">
        <v>81446</v>
      </c>
      <c r="I6" s="1" t="n">
        <v>424623</v>
      </c>
      <c r="J6" s="1" t="n">
        <v>3029625</v>
      </c>
      <c r="K6" s="1" t="n">
        <v>88024</v>
      </c>
      <c r="L6" s="1" t="n">
        <v>154193</v>
      </c>
      <c r="M6" s="1" t="n">
        <v>371088</v>
      </c>
      <c r="N6" s="1" t="n">
        <v>3021907</v>
      </c>
    </row>
    <row r="7" customFormat="false" ht="15" hidden="false" customHeight="false" outlineLevel="0" collapsed="false">
      <c r="A7" s="2"/>
      <c r="B7" s="1" t="n">
        <v>3</v>
      </c>
      <c r="C7" s="1" t="n">
        <v>68566</v>
      </c>
      <c r="D7" s="1" t="n">
        <v>106319</v>
      </c>
      <c r="E7" s="1" t="n">
        <v>338536</v>
      </c>
      <c r="F7" s="1" t="n">
        <v>3121791</v>
      </c>
      <c r="G7" s="1" t="n">
        <v>47615</v>
      </c>
      <c r="H7" s="1" t="n">
        <v>80553</v>
      </c>
      <c r="I7" s="1" t="n">
        <v>381442</v>
      </c>
      <c r="J7" s="1" t="n">
        <v>3125602</v>
      </c>
      <c r="K7" s="1" t="n">
        <v>54437</v>
      </c>
      <c r="L7" s="1" t="n">
        <v>125169</v>
      </c>
      <c r="M7" s="1" t="n">
        <v>337317</v>
      </c>
      <c r="N7" s="1" t="n">
        <v>3118289</v>
      </c>
    </row>
    <row r="8" customFormat="false" ht="15" hidden="false" customHeight="false" outlineLevel="0" collapsed="false">
      <c r="A8" s="2"/>
      <c r="B8" s="1" t="n">
        <v>4</v>
      </c>
      <c r="C8" s="1" t="n">
        <v>93360</v>
      </c>
      <c r="D8" s="1" t="n">
        <v>120762</v>
      </c>
      <c r="E8" s="1" t="n">
        <v>361355</v>
      </c>
      <c r="F8" s="1" t="n">
        <v>3059735</v>
      </c>
      <c r="G8" s="1" t="n">
        <v>68009</v>
      </c>
      <c r="H8" s="1" t="n">
        <v>86977</v>
      </c>
      <c r="I8" s="1" t="n">
        <v>414468</v>
      </c>
      <c r="J8" s="1" t="n">
        <v>3065758</v>
      </c>
      <c r="K8" s="1" t="n">
        <v>73286</v>
      </c>
      <c r="L8" s="1" t="n">
        <v>149366</v>
      </c>
      <c r="M8" s="1" t="n">
        <v>356773</v>
      </c>
      <c r="N8" s="1" t="n">
        <v>3055787</v>
      </c>
    </row>
    <row r="9" customFormat="false" ht="15" hidden="false" customHeight="false" outlineLevel="0" collapsed="false">
      <c r="A9" s="2"/>
      <c r="B9" s="1" t="n">
        <v>5</v>
      </c>
      <c r="C9" s="1" t="n">
        <v>94960</v>
      </c>
      <c r="D9" s="1" t="n">
        <v>115075</v>
      </c>
      <c r="E9" s="1" t="n">
        <v>323158</v>
      </c>
      <c r="F9" s="1" t="n">
        <v>3102019</v>
      </c>
      <c r="G9" s="1" t="n">
        <v>83888</v>
      </c>
      <c r="H9" s="1" t="n">
        <v>78928</v>
      </c>
      <c r="I9" s="1" t="n">
        <v>361603</v>
      </c>
      <c r="J9" s="1" t="n">
        <v>3110793</v>
      </c>
      <c r="K9" s="1" t="n">
        <v>78986</v>
      </c>
      <c r="L9" s="1" t="n">
        <v>139166</v>
      </c>
      <c r="M9" s="1" t="n">
        <v>317465</v>
      </c>
      <c r="N9" s="1" t="n">
        <v>3099595</v>
      </c>
    </row>
    <row r="10" customFormat="false" ht="15" hidden="false" customHeight="false" outlineLevel="0" collapsed="false">
      <c r="A10" s="2"/>
      <c r="B10" s="1" t="n">
        <v>6</v>
      </c>
      <c r="C10" s="1" t="n">
        <v>114292</v>
      </c>
      <c r="D10" s="1" t="n">
        <v>91238</v>
      </c>
      <c r="E10" s="1" t="n">
        <v>331953</v>
      </c>
      <c r="F10" s="1" t="n">
        <v>3097729</v>
      </c>
      <c r="G10" s="1" t="n">
        <v>106663</v>
      </c>
      <c r="H10" s="1" t="n">
        <v>48376</v>
      </c>
      <c r="I10" s="1" t="n">
        <v>372311</v>
      </c>
      <c r="J10" s="1" t="n">
        <v>3107862</v>
      </c>
      <c r="K10" s="1" t="n">
        <v>96196</v>
      </c>
      <c r="L10" s="1" t="n">
        <v>120510</v>
      </c>
      <c r="M10" s="1" t="n">
        <v>322315</v>
      </c>
      <c r="N10" s="1" t="n">
        <v>3096191</v>
      </c>
    </row>
    <row r="11" customFormat="false" ht="15" hidden="false" customHeight="false" outlineLevel="0" collapsed="false">
      <c r="A11" s="2"/>
      <c r="B11" s="1" t="n">
        <v>7</v>
      </c>
      <c r="C11" s="1" t="n">
        <v>72007</v>
      </c>
      <c r="D11" s="1" t="n">
        <v>94340</v>
      </c>
      <c r="E11" s="1" t="n">
        <v>342674</v>
      </c>
      <c r="F11" s="1" t="n">
        <v>3126191</v>
      </c>
      <c r="G11" s="1" t="n">
        <v>45008</v>
      </c>
      <c r="H11" s="1" t="n">
        <v>66731</v>
      </c>
      <c r="I11" s="1" t="n">
        <v>382101</v>
      </c>
      <c r="J11" s="1" t="n">
        <v>3141372</v>
      </c>
      <c r="K11" s="1" t="n">
        <v>53126</v>
      </c>
      <c r="L11" s="1" t="n">
        <v>118961</v>
      </c>
      <c r="M11" s="1" t="n">
        <v>342332</v>
      </c>
      <c r="N11" s="1" t="n">
        <v>3120793</v>
      </c>
    </row>
    <row r="12" customFormat="false" ht="15" hidden="false" customHeight="false" outlineLevel="0" collapsed="false">
      <c r="A12" s="2"/>
      <c r="B12" s="1" t="n">
        <v>8</v>
      </c>
      <c r="C12" s="1" t="n">
        <v>37204</v>
      </c>
      <c r="D12" s="1" t="n">
        <v>67619</v>
      </c>
      <c r="E12" s="1" t="n">
        <v>286291</v>
      </c>
      <c r="F12" s="1" t="n">
        <v>3244098</v>
      </c>
      <c r="G12" s="1" t="n">
        <v>12226</v>
      </c>
      <c r="H12" s="1" t="n">
        <v>52053</v>
      </c>
      <c r="I12" s="1" t="n">
        <v>313840</v>
      </c>
      <c r="J12" s="1" t="n">
        <v>3257093</v>
      </c>
      <c r="K12" s="1" t="n">
        <v>24130</v>
      </c>
      <c r="L12" s="1" t="n">
        <v>83069</v>
      </c>
      <c r="M12" s="1" t="n">
        <v>288282</v>
      </c>
      <c r="N12" s="1" t="n">
        <v>3239731</v>
      </c>
    </row>
    <row r="13" customFormat="false" ht="15" hidden="false" customHeight="false" outlineLevel="0" collapsed="false">
      <c r="A13" s="2"/>
      <c r="B13" s="1" t="n">
        <v>9</v>
      </c>
      <c r="C13" s="1" t="n">
        <v>215974</v>
      </c>
      <c r="D13" s="1" t="n">
        <v>102299</v>
      </c>
      <c r="E13" s="1" t="n">
        <v>343986</v>
      </c>
      <c r="F13" s="1" t="n">
        <v>2972953</v>
      </c>
      <c r="G13" s="1" t="n">
        <v>238223</v>
      </c>
      <c r="H13" s="1" t="n">
        <v>42990</v>
      </c>
      <c r="I13" s="1" t="n">
        <v>374705</v>
      </c>
      <c r="J13" s="1" t="n">
        <v>2979294</v>
      </c>
      <c r="K13" s="1" t="n">
        <v>186744</v>
      </c>
      <c r="L13" s="1" t="n">
        <v>154241</v>
      </c>
      <c r="M13" s="1" t="n">
        <v>323680</v>
      </c>
      <c r="N13" s="1" t="n">
        <v>2970547</v>
      </c>
    </row>
    <row r="14" customFormat="false" ht="15" hidden="false" customHeight="false" outlineLevel="0" collapsed="false">
      <c r="A14" s="2"/>
      <c r="B14" s="1" t="n">
        <v>10</v>
      </c>
      <c r="C14" s="1" t="n">
        <v>182500</v>
      </c>
      <c r="D14" s="1" t="n">
        <v>111929</v>
      </c>
      <c r="E14" s="1" t="n">
        <v>364563</v>
      </c>
      <c r="F14" s="1" t="n">
        <v>2976220</v>
      </c>
      <c r="G14" s="1" t="n">
        <v>196512</v>
      </c>
      <c r="H14" s="1" t="n">
        <v>55305</v>
      </c>
      <c r="I14" s="1" t="n">
        <v>398703</v>
      </c>
      <c r="J14" s="1" t="n">
        <v>2984692</v>
      </c>
      <c r="K14" s="1" t="n">
        <v>156131</v>
      </c>
      <c r="L14" s="1" t="n">
        <v>156668</v>
      </c>
      <c r="M14" s="1" t="n">
        <v>349019</v>
      </c>
      <c r="N14" s="1" t="n">
        <v>2973394</v>
      </c>
    </row>
    <row r="15" customFormat="false" ht="15" hidden="false" customHeight="false" outlineLevel="0" collapsed="false">
      <c r="A15" s="2"/>
      <c r="B15" s="1" t="n">
        <v>11</v>
      </c>
      <c r="C15" s="1" t="n">
        <v>327351</v>
      </c>
      <c r="D15" s="1" t="n">
        <v>72083</v>
      </c>
      <c r="E15" s="1" t="n">
        <v>270609</v>
      </c>
      <c r="F15" s="1" t="n">
        <v>2965169</v>
      </c>
      <c r="G15" s="1" t="n">
        <v>373044</v>
      </c>
      <c r="H15" s="1" t="n">
        <v>21553</v>
      </c>
      <c r="I15" s="1" t="n">
        <v>265448</v>
      </c>
      <c r="J15" s="1" t="n">
        <v>2975167</v>
      </c>
      <c r="K15" s="1" t="n">
        <v>297637</v>
      </c>
      <c r="L15" s="1" t="n">
        <v>130234</v>
      </c>
      <c r="M15" s="1" t="n">
        <v>244540</v>
      </c>
      <c r="N15" s="1" t="n">
        <v>2962801</v>
      </c>
    </row>
    <row r="16" customFormat="false" ht="15" hidden="false" customHeight="false" outlineLevel="0" collapsed="false">
      <c r="A16" s="2"/>
      <c r="B16" s="1" t="n">
        <v>12</v>
      </c>
      <c r="C16" s="1" t="n">
        <v>99529</v>
      </c>
      <c r="D16" s="1" t="n">
        <v>155709</v>
      </c>
      <c r="E16" s="1" t="n">
        <v>375529</v>
      </c>
      <c r="F16" s="1" t="n">
        <v>3004445</v>
      </c>
      <c r="G16" s="1" t="n">
        <v>76990</v>
      </c>
      <c r="H16" s="1" t="n">
        <v>127251</v>
      </c>
      <c r="I16" s="1" t="n">
        <v>422847</v>
      </c>
      <c r="J16" s="1" t="n">
        <v>3008124</v>
      </c>
      <c r="K16" s="1" t="n">
        <v>79991</v>
      </c>
      <c r="L16" s="1" t="n">
        <v>184370</v>
      </c>
      <c r="M16" s="1" t="n">
        <v>369923</v>
      </c>
      <c r="N16" s="1" t="n">
        <v>3000928</v>
      </c>
    </row>
    <row r="17" customFormat="false" ht="15" hidden="false" customHeight="false" outlineLevel="0" collapsed="false">
      <c r="A17" s="2"/>
      <c r="B17" s="1" t="n">
        <v>13</v>
      </c>
      <c r="C17" s="1" t="n">
        <v>352388</v>
      </c>
      <c r="D17" s="1" t="n">
        <v>73855</v>
      </c>
      <c r="E17" s="1" t="n">
        <v>252361</v>
      </c>
      <c r="F17" s="1" t="n">
        <v>2956608</v>
      </c>
      <c r="G17" s="1" t="n">
        <v>405703</v>
      </c>
      <c r="H17" s="1" t="n">
        <v>20406</v>
      </c>
      <c r="I17" s="1" t="n">
        <v>243514</v>
      </c>
      <c r="J17" s="1" t="n">
        <v>2965589</v>
      </c>
      <c r="K17" s="1" t="n">
        <v>322049</v>
      </c>
      <c r="L17" s="1" t="n">
        <v>135095</v>
      </c>
      <c r="M17" s="1" t="n">
        <v>223750</v>
      </c>
      <c r="N17" s="1" t="n">
        <v>2954318</v>
      </c>
    </row>
    <row r="18" customFormat="false" ht="15" hidden="false" customHeight="false" outlineLevel="0" collapsed="false">
      <c r="A18" s="2"/>
      <c r="B18" s="1" t="n">
        <v>14</v>
      </c>
      <c r="C18" s="1" t="n">
        <v>289871</v>
      </c>
      <c r="D18" s="1" t="n">
        <v>82701</v>
      </c>
      <c r="E18" s="1" t="n">
        <v>303611</v>
      </c>
      <c r="F18" s="1" t="n">
        <v>2959029</v>
      </c>
      <c r="G18" s="1" t="n">
        <v>332016</v>
      </c>
      <c r="H18" s="1" t="n">
        <v>23595</v>
      </c>
      <c r="I18" s="1" t="n">
        <v>311193</v>
      </c>
      <c r="J18" s="1" t="n">
        <v>2968408</v>
      </c>
      <c r="K18" s="1" t="n">
        <v>256281</v>
      </c>
      <c r="L18" s="1" t="n">
        <v>146055</v>
      </c>
      <c r="M18" s="1" t="n">
        <v>276812</v>
      </c>
      <c r="N18" s="1" t="n">
        <v>2956064</v>
      </c>
    </row>
    <row r="19" customFormat="false" ht="15" hidden="false" customHeight="false" outlineLevel="0" collapsed="false">
      <c r="A19" s="2"/>
      <c r="B19" s="1" t="n">
        <v>15</v>
      </c>
      <c r="C19" s="1" t="n">
        <v>78696</v>
      </c>
      <c r="D19" s="1" t="n">
        <v>116692</v>
      </c>
      <c r="E19" s="1" t="n">
        <v>357448</v>
      </c>
      <c r="F19" s="1" t="n">
        <v>3082376</v>
      </c>
      <c r="G19" s="1" t="n">
        <v>38857</v>
      </c>
      <c r="H19" s="1" t="n">
        <v>105328</v>
      </c>
      <c r="I19" s="1" t="n">
        <v>409520</v>
      </c>
      <c r="J19" s="1" t="n">
        <v>3081507</v>
      </c>
      <c r="K19" s="1" t="n">
        <v>57496</v>
      </c>
      <c r="L19" s="1" t="n">
        <v>145228</v>
      </c>
      <c r="M19" s="1" t="n">
        <v>356017</v>
      </c>
      <c r="N19" s="1" t="n">
        <v>3076471</v>
      </c>
    </row>
    <row r="20" customFormat="false" ht="15" hidden="false" customHeight="false" outlineLevel="0" collapsed="false">
      <c r="A20" s="2"/>
      <c r="B20" s="1" t="n">
        <v>16</v>
      </c>
      <c r="C20" s="1" t="n">
        <v>273723</v>
      </c>
      <c r="D20" s="1" t="n">
        <v>82800</v>
      </c>
      <c r="E20" s="1" t="n">
        <v>293099</v>
      </c>
      <c r="F20" s="1" t="n">
        <v>2985590</v>
      </c>
      <c r="G20" s="1" t="n">
        <v>304923</v>
      </c>
      <c r="H20" s="1" t="n">
        <v>31271</v>
      </c>
      <c r="I20" s="1" t="n">
        <v>307993</v>
      </c>
      <c r="J20" s="1" t="n">
        <v>2991025</v>
      </c>
      <c r="K20" s="1" t="n">
        <v>241047</v>
      </c>
      <c r="L20" s="1" t="n">
        <v>143472</v>
      </c>
      <c r="M20" s="1" t="n">
        <v>267628</v>
      </c>
      <c r="N20" s="1" t="n">
        <v>2983065</v>
      </c>
    </row>
    <row r="21" customFormat="false" ht="15" hidden="false" customHeight="false" outlineLevel="0" collapsed="false">
      <c r="A21" s="2"/>
      <c r="B21" s="1" t="n">
        <v>17</v>
      </c>
      <c r="C21" s="1" t="n">
        <v>137285</v>
      </c>
      <c r="D21" s="1" t="n">
        <v>112728</v>
      </c>
      <c r="E21" s="1" t="n">
        <v>362777</v>
      </c>
      <c r="F21" s="1" t="n">
        <v>3022422</v>
      </c>
      <c r="G21" s="1" t="n">
        <v>134655</v>
      </c>
      <c r="H21" s="1" t="n">
        <v>55665</v>
      </c>
      <c r="I21" s="1" t="n">
        <v>417728</v>
      </c>
      <c r="J21" s="1" t="n">
        <v>3027164</v>
      </c>
      <c r="K21" s="1" t="n">
        <v>112128</v>
      </c>
      <c r="L21" s="1" t="n">
        <v>153184</v>
      </c>
      <c r="M21" s="1" t="n">
        <v>350707</v>
      </c>
      <c r="N21" s="1" t="n">
        <v>3019193</v>
      </c>
    </row>
    <row r="22" customFormat="false" ht="15" hidden="false" customHeight="false" outlineLevel="0" collapsed="false">
      <c r="A22" s="2"/>
      <c r="B22" s="1" t="n">
        <v>18</v>
      </c>
      <c r="C22" s="1" t="n">
        <v>73582</v>
      </c>
      <c r="D22" s="1" t="n">
        <v>130068</v>
      </c>
      <c r="E22" s="1" t="n">
        <v>359278</v>
      </c>
      <c r="F22" s="1" t="n">
        <v>3072284</v>
      </c>
      <c r="G22" s="1" t="n">
        <v>35788</v>
      </c>
      <c r="H22" s="1" t="n">
        <v>117417</v>
      </c>
      <c r="I22" s="1" t="n">
        <v>408508</v>
      </c>
      <c r="J22" s="1" t="n">
        <v>3073499</v>
      </c>
      <c r="K22" s="1" t="n">
        <v>53408</v>
      </c>
      <c r="L22" s="1" t="n">
        <v>157315</v>
      </c>
      <c r="M22" s="1" t="n">
        <v>357462</v>
      </c>
      <c r="N22" s="1" t="n">
        <v>3067027</v>
      </c>
    </row>
    <row r="23" customFormat="false" ht="15" hidden="false" customHeight="false" outlineLevel="0" collapsed="false">
      <c r="A23" s="2"/>
      <c r="B23" s="1" t="n">
        <v>19</v>
      </c>
      <c r="C23" s="1" t="n">
        <v>94199</v>
      </c>
      <c r="D23" s="1" t="n">
        <v>127160</v>
      </c>
      <c r="E23" s="1" t="n">
        <v>380501</v>
      </c>
      <c r="F23" s="1" t="n">
        <v>3033352</v>
      </c>
      <c r="G23" s="1" t="n">
        <v>61234</v>
      </c>
      <c r="H23" s="1" t="n">
        <v>106337</v>
      </c>
      <c r="I23" s="1" t="n">
        <v>432201</v>
      </c>
      <c r="J23" s="1" t="n">
        <v>3035440</v>
      </c>
      <c r="K23" s="1" t="n">
        <v>70249</v>
      </c>
      <c r="L23" s="1" t="n">
        <v>161273</v>
      </c>
      <c r="M23" s="1" t="n">
        <v>375003</v>
      </c>
      <c r="N23" s="1" t="n">
        <v>3028687</v>
      </c>
    </row>
    <row r="24" customFormat="false" ht="15" hidden="false" customHeight="false" outlineLevel="0" collapsed="false">
      <c r="A24" s="2"/>
      <c r="B24" s="1" t="n">
        <v>20</v>
      </c>
      <c r="C24" s="1" t="n">
        <v>74630</v>
      </c>
      <c r="D24" s="1" t="n">
        <v>136995</v>
      </c>
      <c r="E24" s="1" t="n">
        <v>379703</v>
      </c>
      <c r="F24" s="1" t="n">
        <v>3043884</v>
      </c>
      <c r="G24" s="1" t="n">
        <v>35979</v>
      </c>
      <c r="H24" s="1" t="n">
        <v>121884</v>
      </c>
      <c r="I24" s="1" t="n">
        <v>429548</v>
      </c>
      <c r="J24" s="1" t="n">
        <v>3047801</v>
      </c>
      <c r="K24" s="1" t="n">
        <v>54792</v>
      </c>
      <c r="L24" s="1" t="n">
        <v>164564</v>
      </c>
      <c r="M24" s="1" t="n">
        <v>376219</v>
      </c>
      <c r="N24" s="1" t="n">
        <v>3039637</v>
      </c>
    </row>
    <row r="25" customFormat="false" ht="15" hidden="false" customHeight="false" outlineLevel="0" collapsed="false">
      <c r="A25" s="2"/>
      <c r="B25" s="1" t="n">
        <v>21</v>
      </c>
      <c r="C25" s="1" t="n">
        <v>268592</v>
      </c>
      <c r="D25" s="1" t="n">
        <v>83609</v>
      </c>
      <c r="E25" s="1" t="n">
        <v>286217</v>
      </c>
      <c r="F25" s="1" t="n">
        <v>2996794</v>
      </c>
      <c r="G25" s="1" t="n">
        <v>308620</v>
      </c>
      <c r="H25" s="1" t="n">
        <v>28653</v>
      </c>
      <c r="I25" s="1" t="n">
        <v>292932</v>
      </c>
      <c r="J25" s="1" t="n">
        <v>3005007</v>
      </c>
      <c r="K25" s="1" t="n">
        <v>235614</v>
      </c>
      <c r="L25" s="1" t="n">
        <v>145251</v>
      </c>
      <c r="M25" s="1" t="n">
        <v>260229</v>
      </c>
      <c r="N25" s="1" t="n">
        <v>2994118</v>
      </c>
    </row>
    <row r="26" customFormat="false" ht="15" hidden="false" customHeight="false" outlineLevel="0" collapsed="false">
      <c r="A26" s="2"/>
      <c r="B26" s="1" t="n">
        <v>22</v>
      </c>
      <c r="C26" s="1" t="n">
        <v>87701</v>
      </c>
      <c r="D26" s="1" t="n">
        <v>125929</v>
      </c>
      <c r="E26" s="1" t="n">
        <v>367128</v>
      </c>
      <c r="F26" s="1" t="n">
        <v>3054454</v>
      </c>
      <c r="G26" s="1" t="n">
        <v>62047</v>
      </c>
      <c r="H26" s="1" t="n">
        <v>99680</v>
      </c>
      <c r="I26" s="1" t="n">
        <v>415048</v>
      </c>
      <c r="J26" s="1" t="n">
        <v>3058437</v>
      </c>
      <c r="K26" s="1" t="n">
        <v>68282</v>
      </c>
      <c r="L26" s="1" t="n">
        <v>153832</v>
      </c>
      <c r="M26" s="1" t="n">
        <v>362204</v>
      </c>
      <c r="N26" s="1" t="n">
        <v>3050894</v>
      </c>
    </row>
    <row r="27" customFormat="false" ht="15" hidden="false" customHeight="false" outlineLevel="0" collapsed="false">
      <c r="A27" s="2"/>
      <c r="B27" s="1" t="n">
        <v>23</v>
      </c>
      <c r="C27" s="1" t="n">
        <v>77563</v>
      </c>
      <c r="D27" s="1" t="n">
        <v>135963</v>
      </c>
      <c r="E27" s="1" t="n">
        <v>372140</v>
      </c>
      <c r="F27" s="1" t="n">
        <v>3049546</v>
      </c>
      <c r="G27" s="1" t="n">
        <v>47465</v>
      </c>
      <c r="H27" s="1" t="n">
        <v>114352</v>
      </c>
      <c r="I27" s="1" t="n">
        <v>416663</v>
      </c>
      <c r="J27" s="1" t="n">
        <v>3056732</v>
      </c>
      <c r="K27" s="1" t="n">
        <v>59287</v>
      </c>
      <c r="L27" s="1" t="n">
        <v>162222</v>
      </c>
      <c r="M27" s="1" t="n">
        <v>367439</v>
      </c>
      <c r="N27" s="1" t="n">
        <v>3046264</v>
      </c>
    </row>
    <row r="28" customFormat="false" ht="15" hidden="false" customHeight="false" outlineLevel="0" collapsed="false">
      <c r="A28" s="2"/>
      <c r="B28" s="1" t="n">
        <v>24</v>
      </c>
      <c r="C28" s="1" t="n">
        <v>193926</v>
      </c>
      <c r="D28" s="1" t="n">
        <v>97954</v>
      </c>
      <c r="E28" s="1" t="n">
        <v>337591</v>
      </c>
      <c r="F28" s="1" t="n">
        <v>3005741</v>
      </c>
      <c r="G28" s="1" t="n">
        <v>208285</v>
      </c>
      <c r="H28" s="1" t="n">
        <v>42810</v>
      </c>
      <c r="I28" s="1" t="n">
        <v>371705</v>
      </c>
      <c r="J28" s="1" t="n">
        <v>3012412</v>
      </c>
      <c r="K28" s="1" t="n">
        <v>162647</v>
      </c>
      <c r="L28" s="1" t="n">
        <v>151640</v>
      </c>
      <c r="M28" s="1" t="n">
        <v>317882</v>
      </c>
      <c r="N28" s="1" t="n">
        <v>3003043</v>
      </c>
    </row>
    <row r="29" customFormat="false" ht="15" hidden="false" customHeight="false" outlineLevel="0" collapsed="false">
      <c r="A29" s="2"/>
      <c r="B29" s="1" t="n">
        <v>25</v>
      </c>
      <c r="C29" s="1" t="n">
        <v>82392</v>
      </c>
      <c r="D29" s="1" t="n">
        <v>121048</v>
      </c>
      <c r="E29" s="1" t="n">
        <v>386539</v>
      </c>
      <c r="F29" s="1" t="n">
        <v>3045233</v>
      </c>
      <c r="G29" s="1" t="n">
        <v>48765</v>
      </c>
      <c r="H29" s="1" t="n">
        <v>97378</v>
      </c>
      <c r="I29" s="1" t="n">
        <v>443377</v>
      </c>
      <c r="J29" s="1" t="n">
        <v>3045692</v>
      </c>
      <c r="K29" s="1" t="n">
        <v>59651</v>
      </c>
      <c r="L29" s="1" t="n">
        <v>152870</v>
      </c>
      <c r="M29" s="1" t="n">
        <v>382790</v>
      </c>
      <c r="N29" s="1" t="n">
        <v>3039901</v>
      </c>
    </row>
    <row r="30" customFormat="false" ht="15" hidden="false" customHeight="false" outlineLevel="0" collapsed="false">
      <c r="A30" s="2"/>
      <c r="B30" s="1" t="n">
        <v>26</v>
      </c>
      <c r="C30" s="1" t="n">
        <v>73014</v>
      </c>
      <c r="D30" s="1" t="n">
        <v>126076</v>
      </c>
      <c r="E30" s="1" t="n">
        <v>379462</v>
      </c>
      <c r="F30" s="1" t="n">
        <v>3056660</v>
      </c>
      <c r="G30" s="1" t="n">
        <v>35868</v>
      </c>
      <c r="H30" s="1" t="n">
        <v>113110</v>
      </c>
      <c r="I30" s="1" t="n">
        <v>427197</v>
      </c>
      <c r="J30" s="1" t="n">
        <v>3059037</v>
      </c>
      <c r="K30" s="1" t="n">
        <v>52065</v>
      </c>
      <c r="L30" s="1" t="n">
        <v>154666</v>
      </c>
      <c r="M30" s="1" t="n">
        <v>376763</v>
      </c>
      <c r="N30" s="1" t="n">
        <v>3051718</v>
      </c>
    </row>
    <row r="31" customFormat="false" ht="15" hidden="false" customHeight="false" outlineLevel="0" collapsed="false">
      <c r="A31" s="2"/>
      <c r="B31" s="1" t="n">
        <v>27</v>
      </c>
      <c r="C31" s="1" t="n">
        <v>113075</v>
      </c>
      <c r="D31" s="1" t="n">
        <v>104160</v>
      </c>
      <c r="E31" s="1" t="n">
        <v>401886</v>
      </c>
      <c r="F31" s="1" t="n">
        <v>3016091</v>
      </c>
      <c r="G31" s="1" t="n">
        <v>78132</v>
      </c>
      <c r="H31" s="1" t="n">
        <v>65741</v>
      </c>
      <c r="I31" s="1" t="n">
        <v>471733</v>
      </c>
      <c r="J31" s="1" t="n">
        <v>3019606</v>
      </c>
      <c r="K31" s="1" t="n">
        <v>80059</v>
      </c>
      <c r="L31" s="1" t="n">
        <v>152045</v>
      </c>
      <c r="M31" s="1" t="n">
        <v>393758</v>
      </c>
      <c r="N31" s="1" t="n">
        <v>3009350</v>
      </c>
    </row>
    <row r="32" customFormat="false" ht="15" hidden="false" customHeight="false" outlineLevel="0" collapsed="false">
      <c r="A32" s="2"/>
      <c r="B32" s="1" t="n">
        <v>28</v>
      </c>
      <c r="C32" s="1" t="n">
        <v>68122</v>
      </c>
      <c r="D32" s="1" t="n">
        <v>108388</v>
      </c>
      <c r="E32" s="1" t="n">
        <v>416455</v>
      </c>
      <c r="F32" s="1" t="n">
        <v>3042247</v>
      </c>
      <c r="G32" s="1" t="n">
        <v>33933</v>
      </c>
      <c r="H32" s="1" t="n">
        <v>82770</v>
      </c>
      <c r="I32" s="1" t="n">
        <v>481384</v>
      </c>
      <c r="J32" s="1" t="n">
        <v>3037125</v>
      </c>
      <c r="K32" s="1" t="n">
        <v>44421</v>
      </c>
      <c r="L32" s="1" t="n">
        <v>138800</v>
      </c>
      <c r="M32" s="1" t="n">
        <v>418647</v>
      </c>
      <c r="N32" s="1" t="n">
        <v>3033344</v>
      </c>
    </row>
    <row r="33" customFormat="false" ht="15" hidden="false" customHeight="false" outlineLevel="0" collapsed="false">
      <c r="A33" s="2"/>
      <c r="B33" s="1" t="n">
        <v>29</v>
      </c>
      <c r="C33" s="1" t="n">
        <v>88550</v>
      </c>
      <c r="D33" s="1" t="n">
        <v>102489</v>
      </c>
      <c r="E33" s="1" t="n">
        <v>405271</v>
      </c>
      <c r="F33" s="1" t="n">
        <v>3038902</v>
      </c>
      <c r="G33" s="1" t="n">
        <v>47644</v>
      </c>
      <c r="H33" s="1" t="n">
        <v>73767</v>
      </c>
      <c r="I33" s="1" t="n">
        <v>475343</v>
      </c>
      <c r="J33" s="1" t="n">
        <v>3038458</v>
      </c>
      <c r="K33" s="1" t="n">
        <v>60281</v>
      </c>
      <c r="L33" s="1" t="n">
        <v>141689</v>
      </c>
      <c r="M33" s="1" t="n">
        <v>402051</v>
      </c>
      <c r="N33" s="1" t="n">
        <v>3031191</v>
      </c>
    </row>
    <row r="34" customFormat="false" ht="15" hidden="false" customHeight="false" outlineLevel="0" collapsed="false">
      <c r="A34" s="2"/>
      <c r="B34" s="1" t="n">
        <v>30</v>
      </c>
      <c r="C34" s="1" t="n">
        <v>242319</v>
      </c>
      <c r="D34" s="1" t="n">
        <v>75308</v>
      </c>
      <c r="E34" s="1" t="n">
        <v>309320</v>
      </c>
      <c r="F34" s="1" t="n">
        <v>3008265</v>
      </c>
      <c r="G34" s="1" t="n">
        <v>269303</v>
      </c>
      <c r="H34" s="1" t="n">
        <v>22591</v>
      </c>
      <c r="I34" s="1" t="n">
        <v>325904</v>
      </c>
      <c r="J34" s="1" t="n">
        <v>3017414</v>
      </c>
      <c r="K34" s="1" t="n">
        <v>210102</v>
      </c>
      <c r="L34" s="1" t="n">
        <v>133181</v>
      </c>
      <c r="M34" s="1" t="n">
        <v>286541</v>
      </c>
      <c r="N34" s="1" t="n">
        <v>3005388</v>
      </c>
    </row>
    <row r="35" customFormat="false" ht="15" hidden="false" customHeight="false" outlineLevel="0" collapsed="false">
      <c r="A35" s="2"/>
      <c r="B35" s="1" t="n">
        <v>31</v>
      </c>
      <c r="C35" s="1" t="n">
        <v>44069</v>
      </c>
      <c r="D35" s="1" t="n">
        <v>97487</v>
      </c>
      <c r="E35" s="1" t="n">
        <v>367643</v>
      </c>
      <c r="F35" s="1" t="n">
        <v>3126013</v>
      </c>
      <c r="G35" s="1" t="n">
        <v>13645</v>
      </c>
      <c r="H35" s="1" t="n">
        <v>82604</v>
      </c>
      <c r="I35" s="1" t="n">
        <v>419942</v>
      </c>
      <c r="J35" s="1" t="n">
        <v>3119021</v>
      </c>
      <c r="K35" s="1" t="n">
        <v>26593</v>
      </c>
      <c r="L35" s="1" t="n">
        <v>117222</v>
      </c>
      <c r="M35" s="1" t="n">
        <v>375594</v>
      </c>
      <c r="N35" s="1" t="n">
        <v>3115803</v>
      </c>
    </row>
    <row r="36" customFormat="false" ht="15" hidden="false" customHeight="false" outlineLevel="0" collapsed="false">
      <c r="A36" s="2"/>
      <c r="B36" s="1" t="n">
        <v>32</v>
      </c>
      <c r="C36" s="1" t="n">
        <v>72565</v>
      </c>
      <c r="D36" s="1" t="n">
        <v>103217</v>
      </c>
      <c r="E36" s="1" t="n">
        <v>396522</v>
      </c>
      <c r="F36" s="1" t="n">
        <v>3062908</v>
      </c>
      <c r="G36" s="1" t="n">
        <v>24061</v>
      </c>
      <c r="H36" s="1" t="n">
        <v>90576</v>
      </c>
      <c r="I36" s="1" t="n">
        <v>454763</v>
      </c>
      <c r="J36" s="1" t="n">
        <v>3065812</v>
      </c>
      <c r="K36" s="1" t="n">
        <v>46059</v>
      </c>
      <c r="L36" s="1" t="n">
        <v>139690</v>
      </c>
      <c r="M36" s="1" t="n">
        <v>394258</v>
      </c>
      <c r="N36" s="1" t="n">
        <v>3055205</v>
      </c>
    </row>
    <row r="37" customFormat="false" ht="15" hidden="false" customHeight="false" outlineLevel="0" collapsed="false">
      <c r="A37" s="2"/>
      <c r="B37" s="1" t="s">
        <v>12</v>
      </c>
      <c r="C37" s="1" t="n">
        <f aca="false">SUM(C4:C36)</f>
        <v>4590839</v>
      </c>
      <c r="D37" s="1" t="n">
        <f aca="false">SUM(D4:D36)</f>
        <v>3508851</v>
      </c>
      <c r="E37" s="1" t="n">
        <f aca="false">SUM(E4:E36)</f>
        <v>11471086</v>
      </c>
      <c r="F37" s="1" t="n">
        <f aca="false">SUM(F4:F36)</f>
        <v>100391220</v>
      </c>
      <c r="G37" s="1" t="n">
        <f aca="false">SUM(G4:G36)</f>
        <v>4242264</v>
      </c>
      <c r="H37" s="1" t="n">
        <f aca="false">SUM(H4:H36)</f>
        <v>2402636</v>
      </c>
      <c r="I37" s="1" t="n">
        <f aca="false">SUM(I4:I36)</f>
        <v>12760964</v>
      </c>
      <c r="J37" s="1" t="n">
        <f aca="false">SUM(J4:J36)</f>
        <v>100556132</v>
      </c>
      <c r="K37" s="1" t="n">
        <f aca="false">SUM(K4:K36)</f>
        <v>3832237</v>
      </c>
      <c r="L37" s="1" t="n">
        <f aca="false">SUM(L4:L36)</f>
        <v>4700449</v>
      </c>
      <c r="M37" s="1" t="n">
        <f aca="false">SUM(M4:M36)</f>
        <v>11174321</v>
      </c>
      <c r="N37" s="1" t="n">
        <f aca="false">SUM(N4:N36)</f>
        <v>100254989</v>
      </c>
    </row>
    <row r="42" customFormat="false" ht="15" hidden="false" customHeight="false" outlineLevel="0" collapsed="false">
      <c r="A42" s="1"/>
      <c r="B42" s="10" t="s">
        <v>0</v>
      </c>
      <c r="C42" s="11" t="s">
        <v>13</v>
      </c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"/>
      <c r="B43" s="10"/>
      <c r="C43" s="12" t="s">
        <v>3</v>
      </c>
      <c r="D43" s="12"/>
      <c r="E43" s="12"/>
      <c r="F43" s="12"/>
      <c r="G43" s="12"/>
      <c r="H43" s="13" t="s">
        <v>4</v>
      </c>
      <c r="I43" s="13"/>
      <c r="J43" s="13"/>
      <c r="K43" s="13"/>
      <c r="L43" s="13"/>
    </row>
    <row r="44" customFormat="false" ht="15" hidden="false" customHeight="false" outlineLevel="0" collapsed="false">
      <c r="A44" s="10" t="s">
        <v>14</v>
      </c>
      <c r="B44" s="10"/>
      <c r="C44" s="32" t="s">
        <v>17</v>
      </c>
      <c r="D44" s="33" t="s">
        <v>18</v>
      </c>
      <c r="E44" s="34" t="s">
        <v>19</v>
      </c>
      <c r="F44" s="35" t="s">
        <v>11</v>
      </c>
      <c r="G44" s="19"/>
      <c r="H44" s="32" t="s">
        <v>17</v>
      </c>
      <c r="I44" s="33" t="s">
        <v>18</v>
      </c>
      <c r="J44" s="34" t="s">
        <v>19</v>
      </c>
      <c r="K44" s="35" t="s">
        <v>11</v>
      </c>
      <c r="L44" s="19"/>
    </row>
    <row r="45" customFormat="false" ht="15" hidden="false" customHeight="false" outlineLevel="0" collapsed="false">
      <c r="A45" s="10"/>
      <c r="B45" s="10" t="n">
        <v>0</v>
      </c>
      <c r="C45" s="20" t="n">
        <f aca="false">(ABS(C4-G4)/C4)*100</f>
        <v>0</v>
      </c>
      <c r="D45" s="21" t="n">
        <f aca="false">(ABS(D4-H4)/D4)*100</f>
        <v>0</v>
      </c>
      <c r="E45" s="21" t="n">
        <f aca="false">(ABS(E4-I4)/E4)*100</f>
        <v>0</v>
      </c>
      <c r="F45" s="21" t="n">
        <f aca="false">(ABS(F4-J4)/F4)*100</f>
        <v>0</v>
      </c>
      <c r="G45" s="36"/>
      <c r="H45" s="20" t="n">
        <f aca="false">(ABS(C4-K4)/C4)*100</f>
        <v>0</v>
      </c>
      <c r="I45" s="21" t="n">
        <f aca="false">(ABS(D4-L4)/D4)*100</f>
        <v>0</v>
      </c>
      <c r="J45" s="21" t="n">
        <f aca="false">(ABS(E4-M4)/E4)*100</f>
        <v>0</v>
      </c>
      <c r="K45" s="21" t="n">
        <f aca="false">(ABS(F4-N4)/F4)*100</f>
        <v>0</v>
      </c>
      <c r="L45" s="36"/>
    </row>
    <row r="46" customFormat="false" ht="15" hidden="false" customHeight="false" outlineLevel="0" collapsed="false">
      <c r="A46" s="10"/>
      <c r="B46" s="10" t="n">
        <v>1</v>
      </c>
      <c r="C46" s="20" t="n">
        <f aca="false">(ABS(C5-G5)/C5)*100</f>
        <v>22.480250300489</v>
      </c>
      <c r="D46" s="21" t="n">
        <f aca="false">(ABS(D5-H5)/D5)*100</f>
        <v>29.5848685046373</v>
      </c>
      <c r="E46" s="21" t="n">
        <f aca="false">(ABS(E5-I5)/E5)*100</f>
        <v>15.0165025701638</v>
      </c>
      <c r="F46" s="21" t="n">
        <f aca="false">(ABS(F5-J5)/F5)*100</f>
        <v>0.2594067837011</v>
      </c>
      <c r="G46" s="36"/>
      <c r="H46" s="20" t="n">
        <f aca="false">(ABS(C5-K5)/C5)*100</f>
        <v>19.3670920918625</v>
      </c>
      <c r="I46" s="21" t="n">
        <f aca="false">(ABS(D5-L5)/D5)*100</f>
        <v>26.5309363486215</v>
      </c>
      <c r="J46" s="21" t="n">
        <f aca="false">(ABS(E5-M5)/E5)*100</f>
        <v>2.50186768952867</v>
      </c>
      <c r="K46" s="21" t="n">
        <f aca="false">(ABS(F5-N5)/F5)*100</f>
        <v>0.109450593528639</v>
      </c>
      <c r="L46" s="36"/>
    </row>
    <row r="47" customFormat="false" ht="15" hidden="false" customHeight="false" outlineLevel="0" collapsed="false">
      <c r="A47" s="10"/>
      <c r="B47" s="10" t="n">
        <v>2</v>
      </c>
      <c r="C47" s="20" t="n">
        <f aca="false">(ABS(C6-G6)/C6)*100</f>
        <v>6.72053089382124</v>
      </c>
      <c r="D47" s="21" t="n">
        <f aca="false">(ABS(D6-H6)/D6)*100</f>
        <v>34.8718563831914</v>
      </c>
      <c r="E47" s="21" t="n">
        <f aca="false">(ABS(E6-I6)/E6)*100</f>
        <v>12.1347762707568</v>
      </c>
      <c r="F47" s="21" t="n">
        <f aca="false">(ABS(F6-J6)/F6)*100</f>
        <v>0.159614017072881</v>
      </c>
      <c r="G47" s="36"/>
      <c r="H47" s="20" t="n">
        <f aca="false">(ABS(C6-K6)/C6)*100</f>
        <v>17.4940011997601</v>
      </c>
      <c r="I47" s="21" t="n">
        <f aca="false">(ABS(D6-L6)/D6)*100</f>
        <v>23.3001479349086</v>
      </c>
      <c r="J47" s="21" t="n">
        <f aca="false">(ABS(E6-M6)/E6)*100</f>
        <v>2.002788693117</v>
      </c>
      <c r="K47" s="21" t="n">
        <f aca="false">(ABS(F6-N6)/F6)*100</f>
        <v>0.0955436017689782</v>
      </c>
      <c r="L47" s="36"/>
    </row>
    <row r="48" customFormat="false" ht="15" hidden="false" customHeight="false" outlineLevel="0" collapsed="false">
      <c r="A48" s="10"/>
      <c r="B48" s="10" t="n">
        <v>3</v>
      </c>
      <c r="C48" s="20" t="n">
        <f aca="false">(ABS(C7-G7)/C7)*100</f>
        <v>30.5559606802205</v>
      </c>
      <c r="D48" s="21" t="n">
        <f aca="false">(ABS(D7-H7)/D7)*100</f>
        <v>24.2346146972789</v>
      </c>
      <c r="E48" s="21" t="n">
        <f aca="false">(ABS(E7-I7)/E7)*100</f>
        <v>12.6739844506936</v>
      </c>
      <c r="F48" s="21" t="n">
        <f aca="false">(ABS(F7-J7)/F7)*100</f>
        <v>0.122077358798203</v>
      </c>
      <c r="G48" s="36"/>
      <c r="H48" s="20" t="n">
        <f aca="false">(ABS(C7-K7)/C7)*100</f>
        <v>20.6064230084882</v>
      </c>
      <c r="I48" s="21" t="n">
        <f aca="false">(ABS(D7-L7)/D7)*100</f>
        <v>17.7296626190991</v>
      </c>
      <c r="J48" s="21" t="n">
        <f aca="false">(ABS(E7-M7)/E7)*100</f>
        <v>0.360079873336957</v>
      </c>
      <c r="K48" s="21" t="n">
        <f aca="false">(ABS(F7-N7)/F7)*100</f>
        <v>0.112179194571321</v>
      </c>
      <c r="L48" s="36"/>
    </row>
    <row r="49" customFormat="false" ht="15" hidden="false" customHeight="false" outlineLevel="0" collapsed="false">
      <c r="A49" s="10"/>
      <c r="B49" s="10" t="n">
        <v>4</v>
      </c>
      <c r="C49" s="20" t="n">
        <f aca="false">(ABS(C8-G8)/C8)*100</f>
        <v>27.1540274207369</v>
      </c>
      <c r="D49" s="21" t="n">
        <f aca="false">(ABS(D8-H8)/D8)*100</f>
        <v>27.9765157913913</v>
      </c>
      <c r="E49" s="21" t="n">
        <f aca="false">(ABS(E8-I8)/E8)*100</f>
        <v>14.6982883867665</v>
      </c>
      <c r="F49" s="21" t="n">
        <f aca="false">(ABS(F8-J8)/F8)*100</f>
        <v>0.196847112576743</v>
      </c>
      <c r="G49" s="36"/>
      <c r="H49" s="20" t="n">
        <f aca="false">(ABS(C8-K8)/C8)*100</f>
        <v>21.5017137960583</v>
      </c>
      <c r="I49" s="21" t="n">
        <f aca="false">(ABS(D8-L8)/D8)*100</f>
        <v>23.6862589225087</v>
      </c>
      <c r="J49" s="21" t="n">
        <f aca="false">(ABS(E8-M8)/E8)*100</f>
        <v>1.26800514729283</v>
      </c>
      <c r="K49" s="21" t="n">
        <f aca="false">(ABS(F8-N8)/F8)*100</f>
        <v>0.129030782077533</v>
      </c>
      <c r="L49" s="36"/>
    </row>
    <row r="50" customFormat="false" ht="15" hidden="false" customHeight="false" outlineLevel="0" collapsed="false">
      <c r="A50" s="10"/>
      <c r="B50" s="10" t="n">
        <v>5</v>
      </c>
      <c r="C50" s="20" t="n">
        <f aca="false">(ABS(C9-G9)/C9)*100</f>
        <v>11.6596461668071</v>
      </c>
      <c r="D50" s="21" t="n">
        <f aca="false">(ABS(D9-H9)/D9)*100</f>
        <v>31.411688029546</v>
      </c>
      <c r="E50" s="21" t="n">
        <f aca="false">(ABS(E9-I9)/E9)*100</f>
        <v>11.8966573626523</v>
      </c>
      <c r="F50" s="21" t="n">
        <f aca="false">(ABS(F9-J9)/F9)*100</f>
        <v>0.282848041872084</v>
      </c>
      <c r="G50" s="36"/>
      <c r="H50" s="20" t="n">
        <f aca="false">(ABS(C9-K9)/C9)*100</f>
        <v>16.8218197135636</v>
      </c>
      <c r="I50" s="21" t="n">
        <f aca="false">(ABS(D9-L9)/D9)*100</f>
        <v>20.9350423636759</v>
      </c>
      <c r="J50" s="21" t="n">
        <f aca="false">(ABS(E9-M9)/E9)*100</f>
        <v>1.76167695059383</v>
      </c>
      <c r="K50" s="21" t="n">
        <f aca="false">(ABS(F9-N9)/F9)*100</f>
        <v>0.0781426548322238</v>
      </c>
      <c r="L50" s="36"/>
    </row>
    <row r="51" customFormat="false" ht="15" hidden="false" customHeight="false" outlineLevel="0" collapsed="false">
      <c r="A51" s="10"/>
      <c r="B51" s="10" t="n">
        <v>6</v>
      </c>
      <c r="C51" s="20" t="n">
        <f aca="false">(ABS(C10-G10)/C10)*100</f>
        <v>6.6750078745669</v>
      </c>
      <c r="D51" s="21" t="n">
        <f aca="false">(ABS(D10-H10)/D10)*100</f>
        <v>46.9782327538964</v>
      </c>
      <c r="E51" s="21" t="n">
        <f aca="false">(ABS(E10-I10)/E10)*100</f>
        <v>12.1577452229683</v>
      </c>
      <c r="F51" s="21" t="n">
        <f aca="false">(ABS(F10-J10)/F10)*100</f>
        <v>0.327110602638255</v>
      </c>
      <c r="G51" s="36"/>
      <c r="H51" s="20" t="n">
        <f aca="false">(ABS(C10-K10)/C10)*100</f>
        <v>15.8331291778952</v>
      </c>
      <c r="I51" s="21" t="n">
        <f aca="false">(ABS(D10-L10)/D10)*100</f>
        <v>32.0831232600452</v>
      </c>
      <c r="J51" s="21" t="n">
        <f aca="false">(ABS(E10-M10)/E10)*100</f>
        <v>2.90342307495338</v>
      </c>
      <c r="K51" s="21" t="n">
        <f aca="false">(ABS(F10-N10)/F10)*100</f>
        <v>0.0496492753239551</v>
      </c>
      <c r="L51" s="36"/>
    </row>
    <row r="52" customFormat="false" ht="15" hidden="false" customHeight="false" outlineLevel="0" collapsed="false">
      <c r="A52" s="10"/>
      <c r="B52" s="10" t="n">
        <v>7</v>
      </c>
      <c r="C52" s="20" t="n">
        <f aca="false">(ABS(C11-G11)/C11)*100</f>
        <v>37.4949657672171</v>
      </c>
      <c r="D52" s="21" t="n">
        <f aca="false">(ABS(D11-H11)/D11)*100</f>
        <v>29.2654229383082</v>
      </c>
      <c r="E52" s="21" t="n">
        <f aca="false">(ABS(E11-I11)/E11)*100</f>
        <v>11.5056876214711</v>
      </c>
      <c r="F52" s="21" t="n">
        <f aca="false">(ABS(F11-J11)/F11)*100</f>
        <v>0.485606925488558</v>
      </c>
      <c r="G52" s="36"/>
      <c r="H52" s="20" t="n">
        <f aca="false">(ABS(C11-K11)/C11)*100</f>
        <v>26.2210618412099</v>
      </c>
      <c r="I52" s="21" t="n">
        <f aca="false">(ABS(D11-L11)/D11)*100</f>
        <v>26.0981556073776</v>
      </c>
      <c r="J52" s="21" t="n">
        <f aca="false">(ABS(E11-M11)/E11)*100</f>
        <v>0.0998033116022809</v>
      </c>
      <c r="K52" s="21" t="n">
        <f aca="false">(ABS(F11-N11)/F11)*100</f>
        <v>0.172670191936449</v>
      </c>
      <c r="L52" s="36"/>
    </row>
    <row r="53" customFormat="false" ht="15" hidden="false" customHeight="false" outlineLevel="0" collapsed="false">
      <c r="A53" s="10"/>
      <c r="B53" s="10" t="n">
        <v>8</v>
      </c>
      <c r="C53" s="20" t="n">
        <f aca="false">(ABS(C12-G12)/C12)*100</f>
        <v>67.1379421567573</v>
      </c>
      <c r="D53" s="21" t="n">
        <f aca="false">(ABS(D12-H12)/D12)*100</f>
        <v>23.0201570564486</v>
      </c>
      <c r="E53" s="21" t="n">
        <f aca="false">(ABS(E12-I12)/E12)*100</f>
        <v>9.62272652650625</v>
      </c>
      <c r="F53" s="21" t="n">
        <f aca="false">(ABS(F12-J12)/F12)*100</f>
        <v>0.400573595495574</v>
      </c>
      <c r="G53" s="36"/>
      <c r="H53" s="20" t="n">
        <f aca="false">(ABS(C12-K12)/C12)*100</f>
        <v>35.1413826470272</v>
      </c>
      <c r="I53" s="21" t="n">
        <f aca="false">(ABS(D12-L12)/D12)*100</f>
        <v>22.8486076398645</v>
      </c>
      <c r="J53" s="21" t="n">
        <f aca="false">(ABS(E12-M12)/E12)*100</f>
        <v>0.695446241761005</v>
      </c>
      <c r="K53" s="21" t="n">
        <f aca="false">(ABS(F12-N12)/F12)*100</f>
        <v>0.13461368922887</v>
      </c>
      <c r="L53" s="36"/>
    </row>
    <row r="54" customFormat="false" ht="15" hidden="false" customHeight="false" outlineLevel="0" collapsed="false">
      <c r="A54" s="10"/>
      <c r="B54" s="10" t="n">
        <v>9</v>
      </c>
      <c r="C54" s="20" t="n">
        <f aca="false">(ABS(C13-G13)/C13)*100</f>
        <v>10.3017029827664</v>
      </c>
      <c r="D54" s="21" t="n">
        <f aca="false">(ABS(D13-H13)/D13)*100</f>
        <v>57.976128798913</v>
      </c>
      <c r="E54" s="21" t="n">
        <f aca="false">(ABS(E13-I13)/E13)*100</f>
        <v>8.9303053031228</v>
      </c>
      <c r="F54" s="21" t="n">
        <f aca="false">(ABS(F13-J13)/F13)*100</f>
        <v>0.213289614736594</v>
      </c>
      <c r="G54" s="36"/>
      <c r="H54" s="20" t="n">
        <f aca="false">(ABS(C13-K13)/C13)*100</f>
        <v>13.534036504394</v>
      </c>
      <c r="I54" s="21" t="n">
        <f aca="false">(ABS(D13-L13)/D13)*100</f>
        <v>50.7746898796665</v>
      </c>
      <c r="J54" s="21" t="n">
        <f aca="false">(ABS(E13-M13)/E13)*100</f>
        <v>5.90314722110784</v>
      </c>
      <c r="K54" s="21" t="n">
        <f aca="false">(ABS(F13-N13)/F13)*100</f>
        <v>0.0809296346090907</v>
      </c>
      <c r="L54" s="36"/>
    </row>
    <row r="55" customFormat="false" ht="15" hidden="false" customHeight="false" outlineLevel="0" collapsed="false">
      <c r="A55" s="10"/>
      <c r="B55" s="10" t="n">
        <v>10</v>
      </c>
      <c r="C55" s="20" t="n">
        <f aca="false">(ABS(C14-G14)/C14)*100</f>
        <v>7.67780821917808</v>
      </c>
      <c r="D55" s="21" t="n">
        <f aca="false">(ABS(D14-H14)/D14)*100</f>
        <v>50.5892128045457</v>
      </c>
      <c r="E55" s="21" t="n">
        <f aca="false">(ABS(E14-I14)/E14)*100</f>
        <v>9.36463656487356</v>
      </c>
      <c r="F55" s="21" t="n">
        <f aca="false">(ABS(F14-J14)/F14)*100</f>
        <v>0.284656376208748</v>
      </c>
      <c r="G55" s="36"/>
      <c r="H55" s="20" t="n">
        <f aca="false">(ABS(C14-K14)/C14)*100</f>
        <v>14.4487671232877</v>
      </c>
      <c r="I55" s="21" t="n">
        <f aca="false">(ABS(D14-L14)/D14)*100</f>
        <v>39.9708743935888</v>
      </c>
      <c r="J55" s="21" t="n">
        <f aca="false">(ABS(E14-M14)/E14)*100</f>
        <v>4.26373493744565</v>
      </c>
      <c r="K55" s="21" t="n">
        <f aca="false">(ABS(F14-N14)/F14)*100</f>
        <v>0.094952658069632</v>
      </c>
      <c r="L55" s="36"/>
    </row>
    <row r="56" customFormat="false" ht="15" hidden="false" customHeight="false" outlineLevel="0" collapsed="false">
      <c r="A56" s="10"/>
      <c r="B56" s="10" t="n">
        <v>11</v>
      </c>
      <c r="C56" s="20" t="n">
        <f aca="false">(ABS(C15-G15)/C15)*100</f>
        <v>13.9584116132225</v>
      </c>
      <c r="D56" s="21" t="n">
        <f aca="false">(ABS(D15-H15)/D15)*100</f>
        <v>70.0997461259937</v>
      </c>
      <c r="E56" s="21" t="n">
        <f aca="false">(ABS(E15-I15)/E15)*100</f>
        <v>1.90717973164233</v>
      </c>
      <c r="F56" s="21" t="n">
        <f aca="false">(ABS(F15-J15)/F15)*100</f>
        <v>0.337181455761881</v>
      </c>
      <c r="G56" s="36"/>
      <c r="H56" s="20" t="n">
        <f aca="false">(ABS(C15-K15)/C15)*100</f>
        <v>9.07710683639274</v>
      </c>
      <c r="I56" s="21" t="n">
        <f aca="false">(ABS(D15-L15)/D15)*100</f>
        <v>80.6722805654593</v>
      </c>
      <c r="J56" s="21" t="n">
        <f aca="false">(ABS(E15-M15)/E15)*100</f>
        <v>9.63345638910753</v>
      </c>
      <c r="K56" s="21" t="n">
        <f aca="false">(ABS(F15-N15)/F15)*100</f>
        <v>0.0798605408325799</v>
      </c>
      <c r="L56" s="36"/>
    </row>
    <row r="57" customFormat="false" ht="15" hidden="false" customHeight="false" outlineLevel="0" collapsed="false">
      <c r="A57" s="10"/>
      <c r="B57" s="10" t="n">
        <v>12</v>
      </c>
      <c r="C57" s="20" t="n">
        <f aca="false">(ABS(C16-G16)/C16)*100</f>
        <v>22.6456610636096</v>
      </c>
      <c r="D57" s="21" t="n">
        <f aca="false">(ABS(D16-H16)/D16)*100</f>
        <v>18.2764002080805</v>
      </c>
      <c r="E57" s="21" t="n">
        <f aca="false">(ABS(E16-I16)/E16)*100</f>
        <v>12.6003584277113</v>
      </c>
      <c r="F57" s="21" t="n">
        <f aca="false">(ABS(F16-J16)/F16)*100</f>
        <v>0.12245190043419</v>
      </c>
      <c r="G57" s="36"/>
      <c r="H57" s="20" t="n">
        <f aca="false">(ABS(C16-K16)/C16)*100</f>
        <v>19.6304594640758</v>
      </c>
      <c r="I57" s="21" t="n">
        <f aca="false">(ABS(D16-L16)/D16)*100</f>
        <v>18.4067716060086</v>
      </c>
      <c r="J57" s="21" t="n">
        <f aca="false">(ABS(E16-M16)/E16)*100</f>
        <v>1.49282745140855</v>
      </c>
      <c r="K57" s="21" t="n">
        <f aca="false">(ABS(F16-N16)/F16)*100</f>
        <v>0.117059889596914</v>
      </c>
      <c r="L57" s="36"/>
    </row>
    <row r="58" customFormat="false" ht="15" hidden="false" customHeight="false" outlineLevel="0" collapsed="false">
      <c r="A58" s="10"/>
      <c r="B58" s="10" t="n">
        <v>13</v>
      </c>
      <c r="C58" s="20" t="n">
        <f aca="false">(ABS(C17-G17)/C17)*100</f>
        <v>15.1296298398356</v>
      </c>
      <c r="D58" s="21" t="n">
        <f aca="false">(ABS(D17-H17)/D17)*100</f>
        <v>72.3701848216099</v>
      </c>
      <c r="E58" s="21" t="n">
        <f aca="false">(ABS(E17-I17)/E17)*100</f>
        <v>3.50569224246219</v>
      </c>
      <c r="F58" s="21" t="n">
        <f aca="false">(ABS(F17-J17)/F17)*100</f>
        <v>0.303760254994913</v>
      </c>
      <c r="G58" s="36"/>
      <c r="H58" s="20" t="n">
        <f aca="false">(ABS(C17-K17)/C17)*100</f>
        <v>8.60954402533571</v>
      </c>
      <c r="I58" s="21" t="n">
        <f aca="false">(ABS(D17-L17)/D17)*100</f>
        <v>82.919233633471</v>
      </c>
      <c r="J58" s="21" t="n">
        <f aca="false">(ABS(E17-M17)/E17)*100</f>
        <v>11.3373302530898</v>
      </c>
      <c r="K58" s="21" t="n">
        <f aca="false">(ABS(F17-N17)/F17)*100</f>
        <v>0.0774536225296015</v>
      </c>
      <c r="L58" s="36"/>
    </row>
    <row r="59" customFormat="false" ht="15" hidden="false" customHeight="false" outlineLevel="0" collapsed="false">
      <c r="A59" s="10"/>
      <c r="B59" s="10" t="n">
        <v>14</v>
      </c>
      <c r="C59" s="20" t="n">
        <f aca="false">(ABS(C18-G18)/C18)*100</f>
        <v>14.5392260695275</v>
      </c>
      <c r="D59" s="21" t="n">
        <f aca="false">(ABS(D18-H18)/D18)*100</f>
        <v>71.4695106467878</v>
      </c>
      <c r="E59" s="21" t="n">
        <f aca="false">(ABS(E18-I18)/E18)*100</f>
        <v>2.49727447292753</v>
      </c>
      <c r="F59" s="21" t="n">
        <f aca="false">(ABS(F18-J18)/F18)*100</f>
        <v>0.316962084521645</v>
      </c>
      <c r="G59" s="36"/>
      <c r="H59" s="20" t="n">
        <f aca="false">(ABS(C18-K18)/C18)*100</f>
        <v>11.5879132441672</v>
      </c>
      <c r="I59" s="21" t="n">
        <f aca="false">(ABS(D18-L18)/D18)*100</f>
        <v>76.6060869880654</v>
      </c>
      <c r="J59" s="21" t="n">
        <f aca="false">(ABS(E18-M18)/E18)*100</f>
        <v>8.82675528884</v>
      </c>
      <c r="K59" s="21" t="n">
        <f aca="false">(ABS(F18-N18)/F18)*100</f>
        <v>0.100201789168001</v>
      </c>
      <c r="L59" s="36"/>
    </row>
    <row r="60" customFormat="false" ht="15" hidden="false" customHeight="false" outlineLevel="0" collapsed="false">
      <c r="A60" s="10"/>
      <c r="B60" s="10" t="n">
        <v>15</v>
      </c>
      <c r="C60" s="20" t="n">
        <f aca="false">(ABS(C19-G19)/C19)*100</f>
        <v>50.6239198942767</v>
      </c>
      <c r="D60" s="21" t="n">
        <f aca="false">(ABS(D19-H19)/D19)*100</f>
        <v>9.7384567922394</v>
      </c>
      <c r="E60" s="21" t="n">
        <f aca="false">(ABS(E19-I19)/E19)*100</f>
        <v>14.5677133457174</v>
      </c>
      <c r="F60" s="21" t="n">
        <f aca="false">(ABS(F19-J19)/F19)*100</f>
        <v>0.0281925371855997</v>
      </c>
      <c r="G60" s="36"/>
      <c r="H60" s="20" t="n">
        <f aca="false">(ABS(C19-K19)/C19)*100</f>
        <v>26.9391074514588</v>
      </c>
      <c r="I60" s="21" t="n">
        <f aca="false">(ABS(D19-L19)/D19)*100</f>
        <v>24.4541185342611</v>
      </c>
      <c r="J60" s="21" t="n">
        <f aca="false">(ABS(E19-M19)/E19)*100</f>
        <v>0.400337951254448</v>
      </c>
      <c r="K60" s="21" t="n">
        <f aca="false">(ABS(F19-N19)/F19)*100</f>
        <v>0.191572994339432</v>
      </c>
      <c r="L60" s="36"/>
    </row>
    <row r="61" customFormat="false" ht="15" hidden="false" customHeight="false" outlineLevel="0" collapsed="false">
      <c r="A61" s="10"/>
      <c r="B61" s="10" t="n">
        <v>16</v>
      </c>
      <c r="C61" s="20" t="n">
        <f aca="false">(ABS(C20-G20)/C20)*100</f>
        <v>11.3983844981971</v>
      </c>
      <c r="D61" s="21" t="n">
        <f aca="false">(ABS(D20-H20)/D20)*100</f>
        <v>62.2330917874396</v>
      </c>
      <c r="E61" s="21" t="n">
        <f aca="false">(ABS(E20-I20)/E20)*100</f>
        <v>5.08155947307906</v>
      </c>
      <c r="F61" s="21" t="n">
        <f aca="false">(ABS(F20-J20)/F20)*100</f>
        <v>0.182041070609159</v>
      </c>
      <c r="G61" s="36"/>
      <c r="H61" s="20" t="n">
        <f aca="false">(ABS(C20-K20)/C20)*100</f>
        <v>11.9376157648426</v>
      </c>
      <c r="I61" s="21" t="n">
        <f aca="false">(ABS(D20-L20)/D20)*100</f>
        <v>73.2753623188406</v>
      </c>
      <c r="J61" s="21" t="n">
        <f aca="false">(ABS(E20-M20)/E20)*100</f>
        <v>8.69023776949086</v>
      </c>
      <c r="K61" s="21" t="n">
        <f aca="false">(ABS(F20-N20)/F20)*100</f>
        <v>0.0845728984890759</v>
      </c>
      <c r="L61" s="36"/>
    </row>
    <row r="62" customFormat="false" ht="15" hidden="false" customHeight="false" outlineLevel="0" collapsed="false">
      <c r="A62" s="10"/>
      <c r="B62" s="10" t="n">
        <v>17</v>
      </c>
      <c r="C62" s="20" t="n">
        <f aca="false">(ABS(C21-G21)/C21)*100</f>
        <v>1.91572276650763</v>
      </c>
      <c r="D62" s="21" t="n">
        <f aca="false">(ABS(D21-H21)/D21)*100</f>
        <v>50.6200766446668</v>
      </c>
      <c r="E62" s="21" t="n">
        <f aca="false">(ABS(E21-I21)/E21)*100</f>
        <v>15.1473219085003</v>
      </c>
      <c r="F62" s="21" t="n">
        <f aca="false">(ABS(F21-J21)/F21)*100</f>
        <v>0.156894040607169</v>
      </c>
      <c r="G62" s="36"/>
      <c r="H62" s="20" t="n">
        <f aca="false">(ABS(C21-K21)/C21)*100</f>
        <v>18.3246530939287</v>
      </c>
      <c r="I62" s="21" t="n">
        <f aca="false">(ABS(D21-L21)/D21)*100</f>
        <v>35.8881555602867</v>
      </c>
      <c r="J62" s="21" t="n">
        <f aca="false">(ABS(E21-M21)/E21)*100</f>
        <v>3.327112799323</v>
      </c>
      <c r="K62" s="21" t="n">
        <f aca="false">(ABS(F21-N21)/F21)*100</f>
        <v>0.106834849666923</v>
      </c>
      <c r="L62" s="36"/>
    </row>
    <row r="63" customFormat="false" ht="15" hidden="false" customHeight="false" outlineLevel="0" collapsed="false">
      <c r="A63" s="10"/>
      <c r="B63" s="10" t="n">
        <v>18</v>
      </c>
      <c r="C63" s="20" t="n">
        <f aca="false">(ABS(C22-G22)/C22)*100</f>
        <v>51.3631051072273</v>
      </c>
      <c r="D63" s="21" t="n">
        <f aca="false">(ABS(D22-H22)/D22)*100</f>
        <v>9.72645077959221</v>
      </c>
      <c r="E63" s="21" t="n">
        <f aca="false">(ABS(E22-I22)/E22)*100</f>
        <v>13.7024810870691</v>
      </c>
      <c r="F63" s="21" t="n">
        <f aca="false">(ABS(F22-J22)/F22)*100</f>
        <v>0.039547125200665</v>
      </c>
      <c r="G63" s="36"/>
      <c r="H63" s="20" t="n">
        <f aca="false">(ABS(C22-K22)/C22)*100</f>
        <v>27.4170313391862</v>
      </c>
      <c r="I63" s="21" t="n">
        <f aca="false">(ABS(D22-L22)/D22)*100</f>
        <v>20.9482732109358</v>
      </c>
      <c r="J63" s="21" t="n">
        <f aca="false">(ABS(E22-M22)/E22)*100</f>
        <v>0.505458168883149</v>
      </c>
      <c r="K63" s="21" t="n">
        <f aca="false">(ABS(F22-N22)/F22)*100</f>
        <v>0.171110483275635</v>
      </c>
      <c r="L63" s="36"/>
    </row>
    <row r="64" customFormat="false" ht="15" hidden="false" customHeight="false" outlineLevel="0" collapsed="false">
      <c r="A64" s="10"/>
      <c r="B64" s="10" t="n">
        <v>19</v>
      </c>
      <c r="C64" s="20" t="n">
        <f aca="false">(ABS(C23-G23)/C23)*100</f>
        <v>34.9950636418646</v>
      </c>
      <c r="D64" s="21" t="n">
        <f aca="false">(ABS(D23-H23)/D23)*100</f>
        <v>16.3754325259516</v>
      </c>
      <c r="E64" s="21" t="n">
        <f aca="false">(ABS(E23-I23)/E23)*100</f>
        <v>13.5873493105143</v>
      </c>
      <c r="F64" s="21" t="n">
        <f aca="false">(ABS(F23-J23)/F23)*100</f>
        <v>0.0688347412367572</v>
      </c>
      <c r="G64" s="36"/>
      <c r="H64" s="20" t="n">
        <f aca="false">(ABS(C23-K23)/C23)*100</f>
        <v>25.4248983534857</v>
      </c>
      <c r="I64" s="21" t="n">
        <f aca="false">(ABS(D23-L23)/D23)*100</f>
        <v>26.826832337213</v>
      </c>
      <c r="J64" s="21" t="n">
        <f aca="false">(ABS(E23-M23)/E23)*100</f>
        <v>1.44493706981059</v>
      </c>
      <c r="K64" s="21" t="n">
        <f aca="false">(ABS(F23-N23)/F23)*100</f>
        <v>0.153790262389594</v>
      </c>
      <c r="L64" s="36"/>
    </row>
    <row r="65" customFormat="false" ht="15" hidden="false" customHeight="false" outlineLevel="0" collapsed="false">
      <c r="A65" s="10"/>
      <c r="B65" s="10" t="n">
        <v>20</v>
      </c>
      <c r="C65" s="20" t="n">
        <f aca="false">(ABS(C24-G24)/C24)*100</f>
        <v>51.7901648130779</v>
      </c>
      <c r="D65" s="21" t="n">
        <f aca="false">(ABS(D24-H24)/D24)*100</f>
        <v>11.030329574072</v>
      </c>
      <c r="E65" s="21" t="n">
        <f aca="false">(ABS(E24-I24)/E24)*100</f>
        <v>13.1273653355386</v>
      </c>
      <c r="F65" s="21" t="n">
        <f aca="false">(ABS(F24-J24)/F24)*100</f>
        <v>0.128684273119475</v>
      </c>
      <c r="G65" s="36"/>
      <c r="H65" s="20" t="n">
        <f aca="false">(ABS(C24-K24)/C24)*100</f>
        <v>26.5818035642503</v>
      </c>
      <c r="I65" s="21" t="n">
        <f aca="false">(ABS(D24-L24)/D24)*100</f>
        <v>20.1240921201504</v>
      </c>
      <c r="J65" s="21" t="n">
        <f aca="false">(ABS(E24-M24)/E24)*100</f>
        <v>0.917559250256121</v>
      </c>
      <c r="K65" s="21" t="n">
        <f aca="false">(ABS(F24-N24)/F24)*100</f>
        <v>0.139525684947258</v>
      </c>
      <c r="L65" s="36"/>
    </row>
    <row r="66" customFormat="false" ht="15" hidden="false" customHeight="false" outlineLevel="0" collapsed="false">
      <c r="A66" s="10"/>
      <c r="B66" s="10" t="n">
        <v>21</v>
      </c>
      <c r="C66" s="20" t="n">
        <f aca="false">(ABS(C25-G25)/C25)*100</f>
        <v>14.9029010543873</v>
      </c>
      <c r="D66" s="21" t="n">
        <f aca="false">(ABS(D25-H25)/D25)*100</f>
        <v>65.7297659342894</v>
      </c>
      <c r="E66" s="21" t="n">
        <f aca="false">(ABS(E25-I25)/E25)*100</f>
        <v>2.34612199834391</v>
      </c>
      <c r="F66" s="21" t="n">
        <f aca="false">(ABS(F25-J25)/F25)*100</f>
        <v>0.274059544967055</v>
      </c>
      <c r="G66" s="36"/>
      <c r="H66" s="20" t="n">
        <f aca="false">(ABS(C25-K25)/C25)*100</f>
        <v>12.2781021028177</v>
      </c>
      <c r="I66" s="21" t="n">
        <f aca="false">(ABS(D25-L25)/D25)*100</f>
        <v>73.7265126960016</v>
      </c>
      <c r="J66" s="21" t="n">
        <f aca="false">(ABS(E25-M25)/E25)*100</f>
        <v>9.07982404958476</v>
      </c>
      <c r="K66" s="21" t="n">
        <f aca="false">(ABS(F25-N25)/F25)*100</f>
        <v>0.0892954270463702</v>
      </c>
      <c r="L66" s="36"/>
    </row>
    <row r="67" customFormat="false" ht="15" hidden="false" customHeight="false" outlineLevel="0" collapsed="false">
      <c r="A67" s="10"/>
      <c r="B67" s="10" t="n">
        <v>22</v>
      </c>
      <c r="C67" s="20" t="n">
        <f aca="false">(ABS(C26-G26)/C26)*100</f>
        <v>29.2516618966716</v>
      </c>
      <c r="D67" s="21" t="n">
        <f aca="false">(ABS(D26-H26)/D26)*100</f>
        <v>20.8442852718595</v>
      </c>
      <c r="E67" s="21" t="n">
        <f aca="false">(ABS(E26-I26)/E26)*100</f>
        <v>13.0526682791833</v>
      </c>
      <c r="F67" s="21" t="n">
        <f aca="false">(ABS(F26-J26)/F26)*100</f>
        <v>0.130399737563571</v>
      </c>
      <c r="G67" s="36"/>
      <c r="H67" s="20" t="n">
        <f aca="false">(ABS(C26-K26)/C26)*100</f>
        <v>22.1422788793742</v>
      </c>
      <c r="I67" s="21" t="n">
        <f aca="false">(ABS(D26-L26)/D26)*100</f>
        <v>22.1577237967426</v>
      </c>
      <c r="J67" s="21" t="n">
        <f aca="false">(ABS(E26-M26)/E26)*100</f>
        <v>1.34122159029004</v>
      </c>
      <c r="K67" s="21" t="n">
        <f aca="false">(ABS(F26-N26)/F26)*100</f>
        <v>0.116551108643312</v>
      </c>
      <c r="L67" s="36"/>
    </row>
    <row r="68" customFormat="false" ht="15" hidden="false" customHeight="false" outlineLevel="0" collapsed="false">
      <c r="A68" s="10"/>
      <c r="B68" s="10" t="n">
        <v>23</v>
      </c>
      <c r="C68" s="20" t="n">
        <f aca="false">(ABS(C27-G27)/C27)*100</f>
        <v>38.8045846602117</v>
      </c>
      <c r="D68" s="21" t="n">
        <f aca="false">(ABS(D27-H27)/D27)*100</f>
        <v>15.8947654876694</v>
      </c>
      <c r="E68" s="21" t="n">
        <f aca="false">(ABS(E27-I27)/E27)*100</f>
        <v>11.9640457892191</v>
      </c>
      <c r="F68" s="21" t="n">
        <f aca="false">(ABS(F27-J27)/F27)*100</f>
        <v>0.2356416332136</v>
      </c>
      <c r="G68" s="36"/>
      <c r="H68" s="20" t="n">
        <f aca="false">(ABS(C27-K27)/C27)*100</f>
        <v>23.5627812230058</v>
      </c>
      <c r="I68" s="21" t="n">
        <f aca="false">(ABS(D27-L27)/D27)*100</f>
        <v>19.3133426005604</v>
      </c>
      <c r="J68" s="21" t="n">
        <f aca="false">(ABS(E27-M27)/E27)*100</f>
        <v>1.26323426667383</v>
      </c>
      <c r="K68" s="21" t="n">
        <f aca="false">(ABS(F27-N27)/F27)*100</f>
        <v>0.10762257726232</v>
      </c>
      <c r="L68" s="36"/>
    </row>
    <row r="69" customFormat="false" ht="15" hidden="false" customHeight="false" outlineLevel="0" collapsed="false">
      <c r="A69" s="10"/>
      <c r="B69" s="10" t="n">
        <v>24</v>
      </c>
      <c r="C69" s="20" t="n">
        <f aca="false">(ABS(C28-G28)/C28)*100</f>
        <v>7.40437073935419</v>
      </c>
      <c r="D69" s="21" t="n">
        <f aca="false">(ABS(D28-H28)/D28)*100</f>
        <v>56.2958123200686</v>
      </c>
      <c r="E69" s="21" t="n">
        <f aca="false">(ABS(E28-I28)/E28)*100</f>
        <v>10.1051272101448</v>
      </c>
      <c r="F69" s="21" t="n">
        <f aca="false">(ABS(F28-J28)/F28)*100</f>
        <v>0.221941943766945</v>
      </c>
      <c r="G69" s="36"/>
      <c r="H69" s="20" t="n">
        <f aca="false">(ABS(C28-K28)/C28)*100</f>
        <v>16.1293483081175</v>
      </c>
      <c r="I69" s="21" t="n">
        <f aca="false">(ABS(D28-L28)/D28)*100</f>
        <v>54.8073585560569</v>
      </c>
      <c r="J69" s="21" t="n">
        <f aca="false">(ABS(E28-M28)/E28)*100</f>
        <v>5.83812957098975</v>
      </c>
      <c r="K69" s="21" t="n">
        <f aca="false">(ABS(F28-N28)/F28)*100</f>
        <v>0.0897615596287238</v>
      </c>
      <c r="L69" s="36"/>
    </row>
    <row r="70" customFormat="false" ht="15" hidden="false" customHeight="false" outlineLevel="0" collapsed="false">
      <c r="A70" s="10"/>
      <c r="B70" s="10" t="n">
        <v>25</v>
      </c>
      <c r="C70" s="20" t="n">
        <f aca="false">(ABS(C29-G29)/C29)*100</f>
        <v>40.8134284882027</v>
      </c>
      <c r="D70" s="21" t="n">
        <f aca="false">(ABS(D29-H29)/D29)*100</f>
        <v>19.5542264225762</v>
      </c>
      <c r="E70" s="21" t="n">
        <f aca="false">(ABS(E29-I29)/E29)*100</f>
        <v>14.7043377253007</v>
      </c>
      <c r="F70" s="21" t="n">
        <f aca="false">(ABS(F29-J29)/F29)*100</f>
        <v>0.0150727382765128</v>
      </c>
      <c r="G70" s="36"/>
      <c r="H70" s="20" t="n">
        <f aca="false">(ABS(C29-K29)/C29)*100</f>
        <v>27.6009806777357</v>
      </c>
      <c r="I70" s="21" t="n">
        <f aca="false">(ABS(D29-L29)/D29)*100</f>
        <v>26.2887449606768</v>
      </c>
      <c r="J70" s="21" t="n">
        <f aca="false">(ABS(E29-M29)/E29)*100</f>
        <v>0.969889196174254</v>
      </c>
      <c r="K70" s="21" t="n">
        <f aca="false">(ABS(F29-N29)/F29)*100</f>
        <v>0.17509333440167</v>
      </c>
      <c r="L70" s="36"/>
    </row>
    <row r="71" customFormat="false" ht="15" hidden="false" customHeight="false" outlineLevel="0" collapsed="false">
      <c r="A71" s="10"/>
      <c r="B71" s="10" t="n">
        <v>26</v>
      </c>
      <c r="C71" s="20" t="n">
        <f aca="false">(ABS(C30-G30)/C30)*100</f>
        <v>50.8751746240447</v>
      </c>
      <c r="D71" s="21" t="n">
        <f aca="false">(ABS(D30-H30)/D30)*100</f>
        <v>10.2842729782036</v>
      </c>
      <c r="E71" s="21" t="n">
        <f aca="false">(ABS(E30-I30)/E30)*100</f>
        <v>12.5796522444935</v>
      </c>
      <c r="F71" s="21" t="n">
        <f aca="false">(ABS(F30-J30)/F30)*100</f>
        <v>0.0777646188977511</v>
      </c>
      <c r="G71" s="36"/>
      <c r="H71" s="20" t="n">
        <f aca="false">(ABS(C30-K30)/C30)*100</f>
        <v>28.69175774509</v>
      </c>
      <c r="I71" s="21" t="n">
        <f aca="false">(ABS(D30-L30)/D30)*100</f>
        <v>22.6767981217678</v>
      </c>
      <c r="J71" s="21" t="n">
        <f aca="false">(ABS(E30-M30)/E30)*100</f>
        <v>0.71127016670971</v>
      </c>
      <c r="K71" s="21" t="n">
        <f aca="false">(ABS(F30-N30)/F30)*100</f>
        <v>0.16167974194055</v>
      </c>
      <c r="L71" s="36"/>
    </row>
    <row r="72" customFormat="false" ht="15" hidden="false" customHeight="false" outlineLevel="0" collapsed="false">
      <c r="A72" s="10"/>
      <c r="B72" s="10" t="n">
        <v>27</v>
      </c>
      <c r="C72" s="20" t="n">
        <f aca="false">(ABS(C31-G31)/C31)*100</f>
        <v>30.9024983418085</v>
      </c>
      <c r="D72" s="21" t="n">
        <f aca="false">(ABS(D31-H31)/D31)*100</f>
        <v>36.8846006144393</v>
      </c>
      <c r="E72" s="21" t="n">
        <f aca="false">(ABS(E31-I31)/E31)*100</f>
        <v>17.3798042230881</v>
      </c>
      <c r="F72" s="21" t="n">
        <f aca="false">(ABS(F31-J31)/F31)*100</f>
        <v>0.116541576497526</v>
      </c>
      <c r="G72" s="36"/>
      <c r="H72" s="20" t="n">
        <f aca="false">(ABS(C31-K31)/C31)*100</f>
        <v>29.1983196993146</v>
      </c>
      <c r="I72" s="21" t="n">
        <f aca="false">(ABS(D31-L31)/D31)*100</f>
        <v>45.9725422427035</v>
      </c>
      <c r="J72" s="21" t="n">
        <f aca="false">(ABS(E31-M31)/E31)*100</f>
        <v>2.02246408185406</v>
      </c>
      <c r="K72" s="21" t="n">
        <f aca="false">(ABS(F31-N31)/F31)*100</f>
        <v>0.22350121398857</v>
      </c>
      <c r="L72" s="36"/>
    </row>
    <row r="73" customFormat="false" ht="15" hidden="false" customHeight="false" outlineLevel="0" collapsed="false">
      <c r="A73" s="10"/>
      <c r="B73" s="10" t="n">
        <v>28</v>
      </c>
      <c r="C73" s="20" t="n">
        <f aca="false">(ABS(C32-G32)/C32)*100</f>
        <v>50.1878981826723</v>
      </c>
      <c r="D73" s="21" t="n">
        <f aca="false">(ABS(D32-H32)/D32)*100</f>
        <v>23.6354577997564</v>
      </c>
      <c r="E73" s="21" t="n">
        <f aca="false">(ABS(E32-I32)/E32)*100</f>
        <v>15.5908801671249</v>
      </c>
      <c r="F73" s="21" t="n">
        <f aca="false">(ABS(F32-J32)/F32)*100</f>
        <v>0.168362397924955</v>
      </c>
      <c r="G73" s="36"/>
      <c r="H73" s="20" t="n">
        <f aca="false">(ABS(C32-K32)/C32)*100</f>
        <v>34.7919908399636</v>
      </c>
      <c r="I73" s="21" t="n">
        <f aca="false">(ABS(D32-L32)/D32)*100</f>
        <v>28.0584566557183</v>
      </c>
      <c r="J73" s="21" t="n">
        <f aca="false">(ABS(E32-M32)/E32)*100</f>
        <v>0.526347384471311</v>
      </c>
      <c r="K73" s="21" t="n">
        <f aca="false">(ABS(F32-N32)/F32)*100</f>
        <v>0.29264553469853</v>
      </c>
      <c r="L73" s="36"/>
    </row>
    <row r="74" customFormat="false" ht="15" hidden="false" customHeight="false" outlineLevel="0" collapsed="false">
      <c r="A74" s="10"/>
      <c r="B74" s="10" t="n">
        <v>29</v>
      </c>
      <c r="C74" s="20" t="n">
        <f aca="false">(ABS(C33-G33)/C33)*100</f>
        <v>46.1953698475438</v>
      </c>
      <c r="D74" s="21" t="n">
        <f aca="false">(ABS(D33-H33)/D33)*100</f>
        <v>28.0244709188303</v>
      </c>
      <c r="E74" s="21" t="n">
        <f aca="false">(ABS(E33-I33)/E33)*100</f>
        <v>17.2901589306908</v>
      </c>
      <c r="F74" s="21" t="n">
        <f aca="false">(ABS(F33-J33)/F33)*100</f>
        <v>0.0146105402543419</v>
      </c>
      <c r="G74" s="36"/>
      <c r="H74" s="20" t="n">
        <f aca="false">(ABS(C33-K33)/C33)*100</f>
        <v>31.9243365330322</v>
      </c>
      <c r="I74" s="21" t="n">
        <f aca="false">(ABS(D33-L33)/D33)*100</f>
        <v>38.2480071032013</v>
      </c>
      <c r="J74" s="21" t="n">
        <f aca="false">(ABS(E33-M33)/E33)*100</f>
        <v>0.79453007987248</v>
      </c>
      <c r="K74" s="21" t="n">
        <f aca="false">(ABS(F33-N33)/F33)*100</f>
        <v>0.253742963741509</v>
      </c>
      <c r="L74" s="36"/>
    </row>
    <row r="75" customFormat="false" ht="15" hidden="false" customHeight="false" outlineLevel="0" collapsed="false">
      <c r="A75" s="10"/>
      <c r="B75" s="10" t="n">
        <v>30</v>
      </c>
      <c r="C75" s="20" t="n">
        <f aca="false">(ABS(C34-G34)/C34)*100</f>
        <v>11.1357343006533</v>
      </c>
      <c r="D75" s="21" t="n">
        <f aca="false">(ABS(D34-H34)/D34)*100</f>
        <v>70.0018590322409</v>
      </c>
      <c r="E75" s="21" t="n">
        <f aca="false">(ABS(E34-I34)/E34)*100</f>
        <v>5.36143799301694</v>
      </c>
      <c r="F75" s="21" t="n">
        <f aca="false">(ABS(F34-J34)/F34)*100</f>
        <v>0.304128791845133</v>
      </c>
      <c r="G75" s="36"/>
      <c r="H75" s="20" t="n">
        <f aca="false">(ABS(C34-K34)/C34)*100</f>
        <v>13.2952843153034</v>
      </c>
      <c r="I75" s="21" t="n">
        <f aca="false">(ABS(D34-L34)/D34)*100</f>
        <v>76.8484091995538</v>
      </c>
      <c r="J75" s="21" t="n">
        <f aca="false">(ABS(E34-M34)/E34)*100</f>
        <v>7.36421828527092</v>
      </c>
      <c r="K75" s="21" t="n">
        <f aca="false">(ABS(F34-N34)/F34)*100</f>
        <v>0.0956365213835882</v>
      </c>
      <c r="L75" s="36"/>
    </row>
    <row r="76" customFormat="false" ht="15" hidden="false" customHeight="false" outlineLevel="0" collapsed="false">
      <c r="A76" s="10"/>
      <c r="B76" s="24" t="n">
        <v>31</v>
      </c>
      <c r="C76" s="20" t="n">
        <f aca="false">(ABS(C35-G35)/C35)*100</f>
        <v>69.0371916766888</v>
      </c>
      <c r="D76" s="21" t="n">
        <f aca="false">(ABS(D35-H35)/D35)*100</f>
        <v>15.2666509380738</v>
      </c>
      <c r="E76" s="21" t="n">
        <f aca="false">(ABS(E35-I35)/E35)*100</f>
        <v>14.2254850493549</v>
      </c>
      <c r="F76" s="21" t="n">
        <f aca="false">(ABS(F35-J35)/F35)*100</f>
        <v>0.223671494648295</v>
      </c>
      <c r="G76" s="36"/>
      <c r="H76" s="20" t="n">
        <f aca="false">(ABS(C35-K35)/C35)*100</f>
        <v>39.6559940093944</v>
      </c>
      <c r="I76" s="21" t="n">
        <f aca="false">(ABS(D35-L35)/D35)*100</f>
        <v>20.2437248043329</v>
      </c>
      <c r="J76" s="21" t="n">
        <f aca="false">(ABS(E35-M35)/E35)*100</f>
        <v>2.16269587616247</v>
      </c>
      <c r="K76" s="21" t="n">
        <f aca="false">(ABS(F35-N35)/F35)*100</f>
        <v>0.326614124765316</v>
      </c>
      <c r="L76" s="36"/>
    </row>
    <row r="77" customFormat="false" ht="15" hidden="false" customHeight="false" outlineLevel="0" collapsed="false">
      <c r="A77" s="10"/>
      <c r="B77" s="10" t="n">
        <v>32</v>
      </c>
      <c r="C77" s="20" t="n">
        <f aca="false">(ABS(C36-G36)/C36)*100</f>
        <v>66.842141528285</v>
      </c>
      <c r="D77" s="21" t="n">
        <f aca="false">(ABS(D36-H36)/D36)*100</f>
        <v>12.2470135733455</v>
      </c>
      <c r="E77" s="21" t="n">
        <f aca="false">(ABS(E36-I36)/E36)*100</f>
        <v>14.6879618280953</v>
      </c>
      <c r="F77" s="21" t="n">
        <f aca="false">(ABS(F36-J36)/F36)*100</f>
        <v>0.0948118585344385</v>
      </c>
      <c r="G77" s="25" t="s">
        <v>15</v>
      </c>
      <c r="H77" s="20" t="n">
        <f aca="false">(ABS(C36-K36)/C36)*100</f>
        <v>36.5272514297526</v>
      </c>
      <c r="I77" s="21" t="n">
        <f aca="false">(ABS(D36-L36)/D36)*100</f>
        <v>35.3362333724096</v>
      </c>
      <c r="J77" s="21" t="n">
        <f aca="false">(ABS(E36-M36)/E36)*100</f>
        <v>0.570964536646138</v>
      </c>
      <c r="K77" s="21" t="n">
        <f aca="false">(ABS(F36-N36)/F36)*100</f>
        <v>0.251493025582224</v>
      </c>
      <c r="L77" s="25" t="s">
        <v>15</v>
      </c>
    </row>
    <row r="78" customFormat="false" ht="15" hidden="false" customHeight="false" outlineLevel="0" collapsed="false">
      <c r="A78" s="10"/>
      <c r="B78" s="10" t="s">
        <v>12</v>
      </c>
      <c r="C78" s="26" t="n">
        <f aca="false">(ABS(SUM(C4:C36)-SUM(G4:G36))/SUM(C4:C36))*100</f>
        <v>7.59283869462641</v>
      </c>
      <c r="D78" s="26" t="n">
        <f aca="false">(ABS(SUM(D4:D36)-SUM(H4:H36))/SUM(D4:D36))*100</f>
        <v>31.5264170521917</v>
      </c>
      <c r="E78" s="26" t="n">
        <f aca="false">(ABS(SUM(E4:E36)-SUM(I4:I36))/SUM(E4:E36))*100</f>
        <v>11.2446022983351</v>
      </c>
      <c r="F78" s="26" t="n">
        <f aca="false">(ABS(SUM(F4:F36)-SUM(J4:J36))/SUM(F4:F36))*100</f>
        <v>0.164269345466665</v>
      </c>
      <c r="G78" s="27" t="n">
        <f aca="false">SUM(C45:F77)/COUNT(C45:F77)</f>
        <v>18.5180948477895</v>
      </c>
      <c r="H78" s="26" t="n">
        <f aca="false">(ABS(SUM(C4:C36)-SUM(K4:K36))/SUM(C4:C36))*100</f>
        <v>16.5242562416151</v>
      </c>
      <c r="I78" s="26" t="n">
        <f aca="false">(ABS(SUM(D4:D36)-SUM(L4:L36))/SUM(D4:D36))*100</f>
        <v>33.9597777164092</v>
      </c>
      <c r="J78" s="26" t="n">
        <f aca="false">(ABS(SUM(E4:E36)-SUM(M4:M36))/SUM(E4:E36))*100</f>
        <v>2.58706978572038</v>
      </c>
      <c r="K78" s="26" t="n">
        <f aca="false">(ABS(SUM(F4:F36)-SUM(N4:N36))/SUM(F4:F36))*100</f>
        <v>0.135700114013955</v>
      </c>
      <c r="L78" s="27" t="n">
        <f aca="false">SUM(H45:K77)/COUNT(H45:K77)</f>
        <v>15.268925022716</v>
      </c>
    </row>
  </sheetData>
  <mergeCells count="10">
    <mergeCell ref="B1:B3"/>
    <mergeCell ref="C1:F2"/>
    <mergeCell ref="G2:J2"/>
    <mergeCell ref="K2:N2"/>
    <mergeCell ref="A3:A37"/>
    <mergeCell ref="B42:B44"/>
    <mergeCell ref="C42:L42"/>
    <mergeCell ref="C43:G43"/>
    <mergeCell ref="H43:L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2026-05-01T16:26:42Z</dcterms:created>
  <dc:creator>openpyxl</dc:creator>
  <dc:description/>
  <dc:language>fr-FR</dc:language>
  <cp:lastModifiedBy/>
  <dcterms:modified xsi:type="dcterms:W3CDTF">2026-08-28T20:58:14Z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