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 clustering" sheetId="1" state="visible" r:id="rId3"/>
    <sheet name="Color classific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<sst xmlns="http://schemas.openxmlformats.org/spreadsheetml/2006/main" count="77" uniqueCount="20">
  <si>
    <t xml:space="preserve">image</t>
  </si>
  <si>
    <t xml:space="preserve">Pre-alignement</t>
  </si>
  <si>
    <t xml:space="preserve">Shape of the array images</t>
  </si>
  <si>
    <t xml:space="preserve">Random correction</t>
  </si>
  <si>
    <t xml:space="preserve">Color classification</t>
  </si>
  <si>
    <t xml:space="preserve">(33, 2056, 2002, 3)</t>
  </si>
  <si>
    <t xml:space="preserve">7_clot_2_pt2/Col_clust</t>
  </si>
  <si>
    <t xml:space="preserve">#bb5d2b</t>
  </si>
  <si>
    <t xml:space="preserve">#edac4a</t>
  </si>
  <si>
    <t xml:space="preserve">#f07f76</t>
  </si>
  <si>
    <t xml:space="preserve">#f8b9ac</t>
  </si>
  <si>
    <t xml:space="preserve">#ffffff</t>
  </si>
  <si>
    <t xml:space="preserve">Total</t>
  </si>
  <si>
    <t xml:space="preserve">Error</t>
  </si>
  <si>
    <t xml:space="preserve">6_clot_1/Col_clust</t>
  </si>
  <si>
    <t xml:space="preserve">MAPE</t>
  </si>
  <si>
    <t xml:space="preserve">7_clot_2_pt2/Col_class</t>
  </si>
  <si>
    <t xml:space="preserve">#d76c3a</t>
  </si>
  <si>
    <t xml:space="preserve">#f6b354</t>
  </si>
  <si>
    <t xml:space="preserve">#fabeb3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</si>
</sst>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BB5D2B"/>
        <bgColor rgb="FFD76C3A"/>
      </patternFill>
    </fill>
    <fill>
      <patternFill patternType="solid">
        <fgColor rgb="FFEDAC4A"/>
        <bgColor rgb="FFF6B354"/>
      </patternFill>
    </fill>
    <fill>
      <patternFill patternType="solid">
        <fgColor rgb="FFF07F76"/>
        <bgColor rgb="FFD76C3A"/>
      </patternFill>
    </fill>
    <fill>
      <patternFill patternType="solid">
        <fgColor rgb="FFF8B9AC"/>
        <bgColor rgb="FFFABEB3"/>
      </patternFill>
    </fill>
    <fill>
      <patternFill patternType="solid">
        <fgColor rgb="FFFFFFFF"/>
        <bgColor rgb="FFF2F2F2"/>
      </patternFill>
    </fill>
    <fill>
      <patternFill patternType="solid">
        <fgColor rgb="FFEEEEEE"/>
        <bgColor rgb="FFF2F2F2"/>
      </patternFill>
    </fill>
    <fill>
      <patternFill patternType="solid">
        <fgColor theme="0" tint="-0.05"/>
        <bgColor rgb="FFEEEEEE"/>
      </patternFill>
    </fill>
    <fill>
      <patternFill patternType="solid">
        <fgColor rgb="FFD76C3A"/>
        <bgColor rgb="FFBB5D2B"/>
      </patternFill>
    </fill>
    <fill>
      <patternFill patternType="solid">
        <fgColor rgb="FFF6B354"/>
        <bgColor rgb="FFEDAC4A"/>
      </patternFill>
    </fill>
    <fill>
      <patternFill patternType="solid">
        <fgColor rgb="FFFABEB3"/>
        <bgColor rgb="FFF8B9A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EEEEE"/>
      <rgbColor rgb="FF660066"/>
      <rgbColor rgb="FFF07F7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B9AC"/>
      <rgbColor rgb="FFCC99FF"/>
      <rgbColor rgb="FFFABEB3"/>
      <rgbColor rgb="FF3366FF"/>
      <rgbColor rgb="FF33CCCC"/>
      <rgbColor rgb="FF99CC00"/>
      <rgbColor rgb="FFF6B354"/>
      <rgbColor rgb="FFEDAC4A"/>
      <rgbColor rgb="FFD76C3A"/>
      <rgbColor rgb="FF666699"/>
      <rgbColor rgb="FF969696"/>
      <rgbColor rgb="FF003366"/>
      <rgbColor rgb="FF339966"/>
      <rgbColor rgb="FF003300"/>
      <rgbColor rgb="FF333300"/>
      <rgbColor rgb="FFBB5D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I44" activeCellId="0" sqref="I44:M44"/>
    </sheetView>
  </sheetViews>
  <sheetFormatPr defaultColWidth="8.6796875" defaultRowHeight="15" zeroHeight="false" outlineLevelRow="0" outlineLevelCol="0"/>
  <cols>
    <col collapsed="false" customWidth="true" hidden="false" outlineLevel="0" max="8" min="8" style="1" width="10.43"/>
    <col collapsed="false" customWidth="true" hidden="false" outlineLevel="0" max="14" min="14" style="1" width="12.23"/>
  </cols>
  <sheetData>
    <row r="1" customFormat="false" ht="15" hidden="false" customHeight="false" outlineLevel="0" collapsed="false">
      <c r="B1" s="2" t="s">
        <v>0</v>
      </c>
      <c r="C1" s="2" t="s">
        <v>1</v>
      </c>
      <c r="D1" s="2"/>
      <c r="E1" s="2"/>
      <c r="F1" s="2"/>
      <c r="G1" s="2"/>
      <c r="S1" s="3" t="s">
        <v>2</v>
      </c>
    </row>
    <row r="2" customFormat="false" ht="15" hidden="false" customHeight="false" outlineLevel="0" collapsed="false">
      <c r="B2" s="2"/>
      <c r="C2" s="2"/>
      <c r="D2" s="2"/>
      <c r="E2" s="2"/>
      <c r="F2" s="2"/>
      <c r="G2" s="2"/>
      <c r="H2" s="4" t="s">
        <v>3</v>
      </c>
      <c r="I2" s="4"/>
      <c r="J2" s="4"/>
      <c r="K2" s="4"/>
      <c r="L2" s="4"/>
      <c r="M2" s="2" t="s">
        <v>4</v>
      </c>
      <c r="N2" s="2"/>
      <c r="O2" s="2"/>
      <c r="P2" s="2"/>
      <c r="Q2" s="2"/>
      <c r="S2" s="3" t="s">
        <v>5</v>
      </c>
    </row>
    <row r="3" customFormat="false" ht="15" hidden="false" customHeight="false" outlineLevel="0" collapsed="false">
      <c r="A3" s="2" t="s">
        <v>6</v>
      </c>
      <c r="B3" s="2"/>
      <c r="C3" s="5" t="s">
        <v>7</v>
      </c>
      <c r="D3" s="6" t="s">
        <v>8</v>
      </c>
      <c r="E3" s="7" t="s">
        <v>9</v>
      </c>
      <c r="F3" s="8" t="s">
        <v>10</v>
      </c>
      <c r="G3" s="9" t="s">
        <v>11</v>
      </c>
      <c r="H3" s="5" t="s">
        <v>7</v>
      </c>
      <c r="I3" s="6" t="s">
        <v>8</v>
      </c>
      <c r="J3" s="7" t="s">
        <v>9</v>
      </c>
      <c r="K3" s="8" t="s">
        <v>10</v>
      </c>
      <c r="L3" s="9" t="s">
        <v>11</v>
      </c>
      <c r="M3" s="5" t="s">
        <v>7</v>
      </c>
      <c r="N3" s="6" t="s">
        <v>8</v>
      </c>
      <c r="O3" s="7" t="s">
        <v>9</v>
      </c>
      <c r="P3" s="8" t="s">
        <v>10</v>
      </c>
      <c r="Q3" s="9" t="s">
        <v>11</v>
      </c>
    </row>
    <row r="4" customFormat="false" ht="15" hidden="false" customHeight="false" outlineLevel="0" collapsed="false">
      <c r="A4" s="2"/>
      <c r="B4" s="1" t="n">
        <v>0</v>
      </c>
      <c r="C4" s="1" t="n">
        <v>314811</v>
      </c>
      <c r="D4" s="1" t="n">
        <v>141540</v>
      </c>
      <c r="E4" s="1" t="n">
        <v>482506</v>
      </c>
      <c r="F4" s="1" t="n">
        <v>148372</v>
      </c>
      <c r="G4" s="1" t="n">
        <v>3028883</v>
      </c>
      <c r="H4" s="1" t="n">
        <v>314811</v>
      </c>
      <c r="I4" s="1" t="n">
        <v>141540</v>
      </c>
      <c r="J4" s="1" t="n">
        <v>482506</v>
      </c>
      <c r="K4" s="1" t="n">
        <v>148372</v>
      </c>
      <c r="L4" s="1" t="n">
        <v>3028883</v>
      </c>
      <c r="M4" s="1" t="n">
        <v>314811</v>
      </c>
      <c r="N4" s="1" t="n">
        <v>141540</v>
      </c>
      <c r="O4" s="1" t="n">
        <v>482506</v>
      </c>
      <c r="P4" s="1" t="n">
        <v>148372</v>
      </c>
      <c r="Q4" s="1" t="n">
        <v>3028883</v>
      </c>
    </row>
    <row r="5" customFormat="false" ht="15" hidden="false" customHeight="false" outlineLevel="0" collapsed="false">
      <c r="A5" s="2"/>
      <c r="B5" s="1" t="n">
        <v>1</v>
      </c>
      <c r="C5" s="1" t="n">
        <v>136389</v>
      </c>
      <c r="D5" s="1" t="n">
        <v>170790</v>
      </c>
      <c r="E5" s="1" t="n">
        <v>392709</v>
      </c>
      <c r="F5" s="1" t="n">
        <v>315592</v>
      </c>
      <c r="G5" s="1" t="n">
        <v>3100632</v>
      </c>
      <c r="H5" s="1" t="n">
        <v>175013</v>
      </c>
      <c r="I5" s="1" t="n">
        <v>12137</v>
      </c>
      <c r="J5" s="1" t="n">
        <v>515589</v>
      </c>
      <c r="K5" s="1" t="n">
        <v>285251</v>
      </c>
      <c r="L5" s="1" t="n">
        <v>3128122</v>
      </c>
      <c r="M5" s="1" t="n">
        <v>117663</v>
      </c>
      <c r="N5" s="1" t="n">
        <v>173491</v>
      </c>
      <c r="O5" s="1" t="n">
        <v>429916</v>
      </c>
      <c r="P5" s="1" t="n">
        <v>299151</v>
      </c>
      <c r="Q5" s="1" t="n">
        <v>3095891</v>
      </c>
    </row>
    <row r="6" customFormat="false" ht="15" hidden="false" customHeight="false" outlineLevel="0" collapsed="false">
      <c r="A6" s="2"/>
      <c r="B6" s="1" t="n">
        <v>2</v>
      </c>
      <c r="C6" s="1" t="n">
        <v>128173</v>
      </c>
      <c r="D6" s="1" t="n">
        <v>172667</v>
      </c>
      <c r="E6" s="1" t="n">
        <v>388216</v>
      </c>
      <c r="F6" s="1" t="n">
        <v>339228</v>
      </c>
      <c r="G6" s="1" t="n">
        <v>3087828</v>
      </c>
      <c r="H6" s="1" t="n">
        <v>153109</v>
      </c>
      <c r="I6" s="1" t="n">
        <v>8520</v>
      </c>
      <c r="J6" s="1" t="n">
        <v>512937</v>
      </c>
      <c r="K6" s="1" t="n">
        <v>328003</v>
      </c>
      <c r="L6" s="1" t="n">
        <v>3113543</v>
      </c>
      <c r="M6" s="1" t="n">
        <v>110475</v>
      </c>
      <c r="N6" s="1" t="n">
        <v>174658</v>
      </c>
      <c r="O6" s="1" t="n">
        <v>425276</v>
      </c>
      <c r="P6" s="1" t="n">
        <v>322097</v>
      </c>
      <c r="Q6" s="1" t="n">
        <v>3083606</v>
      </c>
    </row>
    <row r="7" customFormat="false" ht="15" hidden="false" customHeight="false" outlineLevel="0" collapsed="false">
      <c r="A7" s="2"/>
      <c r="B7" s="1" t="n">
        <v>3</v>
      </c>
      <c r="C7" s="1" t="n">
        <v>83539</v>
      </c>
      <c r="D7" s="1" t="n">
        <v>163965</v>
      </c>
      <c r="E7" s="1" t="n">
        <v>260609</v>
      </c>
      <c r="F7" s="1" t="n">
        <v>444483</v>
      </c>
      <c r="G7" s="1" t="n">
        <v>3163516</v>
      </c>
      <c r="H7" s="1" t="n">
        <v>115045</v>
      </c>
      <c r="I7" s="1" t="n">
        <v>24674</v>
      </c>
      <c r="J7" s="1" t="n">
        <v>320067</v>
      </c>
      <c r="K7" s="1" t="n">
        <v>474376</v>
      </c>
      <c r="L7" s="1" t="n">
        <v>3181950</v>
      </c>
      <c r="M7" s="1" t="n">
        <v>68297</v>
      </c>
      <c r="N7" s="1" t="n">
        <v>167102</v>
      </c>
      <c r="O7" s="1" t="n">
        <v>286176</v>
      </c>
      <c r="P7" s="1" t="n">
        <v>437027</v>
      </c>
      <c r="Q7" s="1" t="n">
        <v>3157510</v>
      </c>
    </row>
    <row r="8" customFormat="false" ht="15" hidden="false" customHeight="false" outlineLevel="0" collapsed="false">
      <c r="A8" s="2"/>
      <c r="B8" s="1" t="n">
        <v>4</v>
      </c>
      <c r="C8" s="1" t="n">
        <v>108700</v>
      </c>
      <c r="D8" s="1" t="n">
        <v>163347</v>
      </c>
      <c r="E8" s="1" t="n">
        <v>301020</v>
      </c>
      <c r="F8" s="1" t="n">
        <v>416523</v>
      </c>
      <c r="G8" s="1" t="n">
        <v>3126522</v>
      </c>
      <c r="H8" s="1" t="n">
        <v>147928</v>
      </c>
      <c r="I8" s="1" t="n">
        <v>23871</v>
      </c>
      <c r="J8" s="1" t="n">
        <v>385849</v>
      </c>
      <c r="K8" s="1" t="n">
        <v>400164</v>
      </c>
      <c r="L8" s="1" t="n">
        <v>3158300</v>
      </c>
      <c r="M8" s="1" t="n">
        <v>89595</v>
      </c>
      <c r="N8" s="1" t="n">
        <v>164736</v>
      </c>
      <c r="O8" s="1" t="n">
        <v>334172</v>
      </c>
      <c r="P8" s="1" t="n">
        <v>410394</v>
      </c>
      <c r="Q8" s="1" t="n">
        <v>3117215</v>
      </c>
    </row>
    <row r="9" customFormat="false" ht="15" hidden="false" customHeight="false" outlineLevel="0" collapsed="false">
      <c r="A9" s="2"/>
      <c r="B9" s="1" t="n">
        <v>5</v>
      </c>
      <c r="C9" s="1" t="n">
        <v>77856</v>
      </c>
      <c r="D9" s="1" t="n">
        <v>96101</v>
      </c>
      <c r="E9" s="1" t="n">
        <v>288911</v>
      </c>
      <c r="F9" s="1" t="n">
        <v>246002</v>
      </c>
      <c r="G9" s="1" t="n">
        <v>3407242</v>
      </c>
      <c r="H9" s="1" t="n">
        <v>80879</v>
      </c>
      <c r="I9" s="1" t="n">
        <v>7249</v>
      </c>
      <c r="J9" s="1" t="n">
        <v>366855</v>
      </c>
      <c r="K9" s="1" t="n">
        <v>229088</v>
      </c>
      <c r="L9" s="1" t="n">
        <v>3432041</v>
      </c>
      <c r="M9" s="1" t="n">
        <v>66346</v>
      </c>
      <c r="N9" s="1" t="n">
        <v>96972</v>
      </c>
      <c r="O9" s="1" t="n">
        <v>310936</v>
      </c>
      <c r="P9" s="1" t="n">
        <v>238225</v>
      </c>
      <c r="Q9" s="1" t="n">
        <v>3403633</v>
      </c>
    </row>
    <row r="10" customFormat="false" ht="15" hidden="false" customHeight="false" outlineLevel="0" collapsed="false">
      <c r="A10" s="2"/>
      <c r="B10" s="1" t="n">
        <v>6</v>
      </c>
      <c r="C10" s="1" t="n">
        <v>129100</v>
      </c>
      <c r="D10" s="1" t="n">
        <v>162498</v>
      </c>
      <c r="E10" s="1" t="n">
        <v>393468</v>
      </c>
      <c r="F10" s="1" t="n">
        <v>304761</v>
      </c>
      <c r="G10" s="1" t="n">
        <v>3126285</v>
      </c>
      <c r="H10" s="1" t="n">
        <v>156392</v>
      </c>
      <c r="I10" s="1" t="n">
        <v>15092</v>
      </c>
      <c r="J10" s="1" t="n">
        <v>521830</v>
      </c>
      <c r="K10" s="1" t="n">
        <v>275043</v>
      </c>
      <c r="L10" s="1" t="n">
        <v>3147755</v>
      </c>
      <c r="M10" s="1" t="n">
        <v>110680</v>
      </c>
      <c r="N10" s="1" t="n">
        <v>165023</v>
      </c>
      <c r="O10" s="1" t="n">
        <v>430054</v>
      </c>
      <c r="P10" s="1" t="n">
        <v>288255</v>
      </c>
      <c r="Q10" s="1" t="n">
        <v>3122100</v>
      </c>
    </row>
    <row r="11" customFormat="false" ht="15" hidden="false" customHeight="false" outlineLevel="0" collapsed="false">
      <c r="A11" s="2"/>
      <c r="B11" s="1" t="n">
        <v>7</v>
      </c>
      <c r="C11" s="1" t="n">
        <v>101261</v>
      </c>
      <c r="D11" s="1" t="n">
        <v>157276</v>
      </c>
      <c r="E11" s="1" t="n">
        <v>282970</v>
      </c>
      <c r="F11" s="1" t="n">
        <v>446927</v>
      </c>
      <c r="G11" s="1" t="n">
        <v>3127678</v>
      </c>
      <c r="H11" s="1" t="n">
        <v>151203</v>
      </c>
      <c r="I11" s="1" t="n">
        <v>21121</v>
      </c>
      <c r="J11" s="1" t="n">
        <v>353810</v>
      </c>
      <c r="K11" s="1" t="n">
        <v>446066</v>
      </c>
      <c r="L11" s="1" t="n">
        <v>3143912</v>
      </c>
      <c r="M11" s="1" t="n">
        <v>83221</v>
      </c>
      <c r="N11" s="1" t="n">
        <v>159284</v>
      </c>
      <c r="O11" s="1" t="n">
        <v>314829</v>
      </c>
      <c r="P11" s="1" t="n">
        <v>439473</v>
      </c>
      <c r="Q11" s="1" t="n">
        <v>3119305</v>
      </c>
    </row>
    <row r="12" customFormat="false" ht="15" hidden="false" customHeight="false" outlineLevel="0" collapsed="false">
      <c r="A12" s="2"/>
      <c r="B12" s="1" t="n">
        <v>8</v>
      </c>
      <c r="C12" s="1" t="n">
        <v>86900</v>
      </c>
      <c r="D12" s="1" t="n">
        <v>167259</v>
      </c>
      <c r="E12" s="1" t="n">
        <v>263447</v>
      </c>
      <c r="F12" s="1" t="n">
        <v>453328</v>
      </c>
      <c r="G12" s="1" t="n">
        <v>3145178</v>
      </c>
      <c r="H12" s="1" t="n">
        <v>114420</v>
      </c>
      <c r="I12" s="1" t="n">
        <v>25177</v>
      </c>
      <c r="J12" s="1" t="n">
        <v>322812</v>
      </c>
      <c r="K12" s="1" t="n">
        <v>482095</v>
      </c>
      <c r="L12" s="1" t="n">
        <v>3171608</v>
      </c>
      <c r="M12" s="1" t="n">
        <v>71067</v>
      </c>
      <c r="N12" s="1" t="n">
        <v>169382</v>
      </c>
      <c r="O12" s="1" t="n">
        <v>290683</v>
      </c>
      <c r="P12" s="1" t="n">
        <v>446997</v>
      </c>
      <c r="Q12" s="1" t="n">
        <v>3137983</v>
      </c>
    </row>
    <row r="13" customFormat="false" ht="15" hidden="false" customHeight="false" outlineLevel="0" collapsed="false">
      <c r="A13" s="2"/>
      <c r="B13" s="1" t="n">
        <v>9</v>
      </c>
      <c r="C13" s="1" t="n">
        <v>301603</v>
      </c>
      <c r="D13" s="1" t="n">
        <v>147652</v>
      </c>
      <c r="E13" s="1" t="n">
        <v>550198</v>
      </c>
      <c r="F13" s="1" t="n">
        <v>145725</v>
      </c>
      <c r="G13" s="1" t="n">
        <v>2970934</v>
      </c>
      <c r="H13" s="1" t="n">
        <v>359465</v>
      </c>
      <c r="I13" s="1" t="n">
        <v>6895</v>
      </c>
      <c r="J13" s="1" t="n">
        <v>681462</v>
      </c>
      <c r="K13" s="1" t="n">
        <v>78230</v>
      </c>
      <c r="L13" s="1" t="n">
        <v>2990060</v>
      </c>
      <c r="M13" s="1" t="n">
        <v>283907</v>
      </c>
      <c r="N13" s="1" t="n">
        <v>145732</v>
      </c>
      <c r="O13" s="1" t="n">
        <v>595498</v>
      </c>
      <c r="P13" s="1" t="n">
        <v>122740</v>
      </c>
      <c r="Q13" s="1" t="n">
        <v>2968235</v>
      </c>
    </row>
    <row r="14" customFormat="false" ht="15" hidden="false" customHeight="false" outlineLevel="0" collapsed="false">
      <c r="A14" s="2"/>
      <c r="B14" s="1" t="n">
        <v>10</v>
      </c>
      <c r="C14" s="1" t="n">
        <v>228615</v>
      </c>
      <c r="D14" s="1" t="n">
        <v>168579</v>
      </c>
      <c r="E14" s="1" t="n">
        <v>550998</v>
      </c>
      <c r="F14" s="1" t="n">
        <v>210092</v>
      </c>
      <c r="G14" s="1" t="n">
        <v>2957828</v>
      </c>
      <c r="H14" s="1" t="n">
        <v>278888</v>
      </c>
      <c r="I14" s="1" t="n">
        <v>9817</v>
      </c>
      <c r="J14" s="1" t="n">
        <v>707731</v>
      </c>
      <c r="K14" s="1" t="n">
        <v>140560</v>
      </c>
      <c r="L14" s="1" t="n">
        <v>2979116</v>
      </c>
      <c r="M14" s="1" t="n">
        <v>209051</v>
      </c>
      <c r="N14" s="1" t="n">
        <v>168579</v>
      </c>
      <c r="O14" s="1" t="n">
        <v>596566</v>
      </c>
      <c r="P14" s="1" t="n">
        <v>187160</v>
      </c>
      <c r="Q14" s="1" t="n">
        <v>2954756</v>
      </c>
    </row>
    <row r="15" customFormat="false" ht="15" hidden="false" customHeight="false" outlineLevel="0" collapsed="false">
      <c r="A15" s="2"/>
      <c r="B15" s="1" t="n">
        <v>11</v>
      </c>
      <c r="C15" s="1" t="n">
        <v>335623</v>
      </c>
      <c r="D15" s="1" t="n">
        <v>140026</v>
      </c>
      <c r="E15" s="1" t="n">
        <v>549834</v>
      </c>
      <c r="F15" s="1" t="n">
        <v>136142</v>
      </c>
      <c r="G15" s="1" t="n">
        <v>2954487</v>
      </c>
      <c r="H15" s="1" t="n">
        <v>391472</v>
      </c>
      <c r="I15" s="1" t="n">
        <v>4933</v>
      </c>
      <c r="J15" s="1" t="n">
        <v>672257</v>
      </c>
      <c r="K15" s="1" t="n">
        <v>74992</v>
      </c>
      <c r="L15" s="1" t="n">
        <v>2972458</v>
      </c>
      <c r="M15" s="1" t="n">
        <v>319944</v>
      </c>
      <c r="N15" s="1" t="n">
        <v>136946</v>
      </c>
      <c r="O15" s="1" t="n">
        <v>593206</v>
      </c>
      <c r="P15" s="1" t="n">
        <v>113942</v>
      </c>
      <c r="Q15" s="1" t="n">
        <v>2952074</v>
      </c>
    </row>
    <row r="16" customFormat="false" ht="15" hidden="false" customHeight="false" outlineLevel="0" collapsed="false">
      <c r="A16" s="2"/>
      <c r="B16" s="1" t="n">
        <v>12</v>
      </c>
      <c r="C16" s="1" t="n">
        <v>163304</v>
      </c>
      <c r="D16" s="1" t="n">
        <v>182458</v>
      </c>
      <c r="E16" s="1" t="n">
        <v>434285</v>
      </c>
      <c r="F16" s="1" t="n">
        <v>344233</v>
      </c>
      <c r="G16" s="1" t="n">
        <v>2991832</v>
      </c>
      <c r="H16" s="1" t="n">
        <v>201116</v>
      </c>
      <c r="I16" s="1" t="n">
        <v>18693</v>
      </c>
      <c r="J16" s="1" t="n">
        <v>582560</v>
      </c>
      <c r="K16" s="1" t="n">
        <v>309603</v>
      </c>
      <c r="L16" s="1" t="n">
        <v>3004140</v>
      </c>
      <c r="M16" s="1" t="n">
        <v>141587</v>
      </c>
      <c r="N16" s="1" t="n">
        <v>186289</v>
      </c>
      <c r="O16" s="1" t="n">
        <v>481562</v>
      </c>
      <c r="P16" s="1" t="n">
        <v>318076</v>
      </c>
      <c r="Q16" s="1" t="n">
        <v>2988598</v>
      </c>
    </row>
    <row r="17" customFormat="false" ht="15" hidden="false" customHeight="false" outlineLevel="0" collapsed="false">
      <c r="A17" s="2"/>
      <c r="B17" s="1" t="n">
        <v>13</v>
      </c>
      <c r="C17" s="1" t="n">
        <v>404880</v>
      </c>
      <c r="D17" s="1" t="n">
        <v>130346</v>
      </c>
      <c r="E17" s="1" t="n">
        <v>522143</v>
      </c>
      <c r="F17" s="1" t="n">
        <v>118925</v>
      </c>
      <c r="G17" s="1" t="n">
        <v>2939818</v>
      </c>
      <c r="H17" s="1" t="n">
        <v>481122</v>
      </c>
      <c r="I17" s="1" t="n">
        <v>6064</v>
      </c>
      <c r="J17" s="1" t="n">
        <v>606868</v>
      </c>
      <c r="K17" s="1" t="n">
        <v>64288</v>
      </c>
      <c r="L17" s="1" t="n">
        <v>2957770</v>
      </c>
      <c r="M17" s="1" t="n">
        <v>392866</v>
      </c>
      <c r="N17" s="1" t="n">
        <v>126686</v>
      </c>
      <c r="O17" s="1" t="n">
        <v>560991</v>
      </c>
      <c r="P17" s="1" t="n">
        <v>98141</v>
      </c>
      <c r="Q17" s="1" t="n">
        <v>2937428</v>
      </c>
    </row>
    <row r="18" customFormat="false" ht="15" hidden="false" customHeight="false" outlineLevel="0" collapsed="false">
      <c r="A18" s="2"/>
      <c r="B18" s="1" t="n">
        <v>14</v>
      </c>
      <c r="C18" s="1" t="n">
        <v>308862</v>
      </c>
      <c r="D18" s="1" t="n">
        <v>139673</v>
      </c>
      <c r="E18" s="1" t="n">
        <v>558782</v>
      </c>
      <c r="F18" s="1" t="n">
        <v>147540</v>
      </c>
      <c r="G18" s="1" t="n">
        <v>2961255</v>
      </c>
      <c r="H18" s="1" t="n">
        <v>360466</v>
      </c>
      <c r="I18" s="1" t="n">
        <v>5628</v>
      </c>
      <c r="J18" s="1" t="n">
        <v>688160</v>
      </c>
      <c r="K18" s="1" t="n">
        <v>81964</v>
      </c>
      <c r="L18" s="1" t="n">
        <v>2979894</v>
      </c>
      <c r="M18" s="1" t="n">
        <v>292135</v>
      </c>
      <c r="N18" s="1" t="n">
        <v>137587</v>
      </c>
      <c r="O18" s="1" t="n">
        <v>602230</v>
      </c>
      <c r="P18" s="1" t="n">
        <v>125312</v>
      </c>
      <c r="Q18" s="1" t="n">
        <v>2958848</v>
      </c>
    </row>
    <row r="19" customFormat="false" ht="15" hidden="false" customHeight="false" outlineLevel="0" collapsed="false">
      <c r="A19" s="2"/>
      <c r="B19" s="1" t="n">
        <v>15</v>
      </c>
      <c r="C19" s="1" t="n">
        <v>103134</v>
      </c>
      <c r="D19" s="1" t="n">
        <v>158184</v>
      </c>
      <c r="E19" s="1" t="n">
        <v>284564</v>
      </c>
      <c r="F19" s="1" t="n">
        <v>438032</v>
      </c>
      <c r="G19" s="1" t="n">
        <v>3132198</v>
      </c>
      <c r="H19" s="1" t="n">
        <v>134716</v>
      </c>
      <c r="I19" s="1" t="n">
        <v>23986</v>
      </c>
      <c r="J19" s="1" t="n">
        <v>361437</v>
      </c>
      <c r="K19" s="1" t="n">
        <v>447405</v>
      </c>
      <c r="L19" s="1" t="n">
        <v>3148568</v>
      </c>
      <c r="M19" s="1" t="n">
        <v>83128</v>
      </c>
      <c r="N19" s="1" t="n">
        <v>160588</v>
      </c>
      <c r="O19" s="1" t="n">
        <v>317039</v>
      </c>
      <c r="P19" s="1" t="n">
        <v>434682</v>
      </c>
      <c r="Q19" s="1" t="n">
        <v>3120675</v>
      </c>
    </row>
    <row r="20" customFormat="false" ht="15" hidden="false" customHeight="false" outlineLevel="0" collapsed="false">
      <c r="A20" s="2"/>
      <c r="B20" s="1" t="n">
        <v>16</v>
      </c>
      <c r="C20" s="1" t="n">
        <v>327449</v>
      </c>
      <c r="D20" s="1" t="n">
        <v>137288</v>
      </c>
      <c r="E20" s="1" t="n">
        <v>537323</v>
      </c>
      <c r="F20" s="1" t="n">
        <v>156404</v>
      </c>
      <c r="G20" s="1" t="n">
        <v>2957648</v>
      </c>
      <c r="H20" s="1" t="n">
        <v>374099</v>
      </c>
      <c r="I20" s="1" t="n">
        <v>6515</v>
      </c>
      <c r="J20" s="1" t="n">
        <v>668071</v>
      </c>
      <c r="K20" s="1" t="n">
        <v>91369</v>
      </c>
      <c r="L20" s="1" t="n">
        <v>2976058</v>
      </c>
      <c r="M20" s="1" t="n">
        <v>307809</v>
      </c>
      <c r="N20" s="1" t="n">
        <v>135224</v>
      </c>
      <c r="O20" s="1" t="n">
        <v>586251</v>
      </c>
      <c r="P20" s="1" t="n">
        <v>132120</v>
      </c>
      <c r="Q20" s="1" t="n">
        <v>2954708</v>
      </c>
    </row>
    <row r="21" customFormat="false" ht="15" hidden="false" customHeight="false" outlineLevel="0" collapsed="false">
      <c r="A21" s="2"/>
      <c r="B21" s="1" t="n">
        <v>17</v>
      </c>
      <c r="C21" s="1" t="n">
        <v>198864</v>
      </c>
      <c r="D21" s="1" t="n">
        <v>144137</v>
      </c>
      <c r="E21" s="1" t="n">
        <v>412185</v>
      </c>
      <c r="F21" s="1" t="n">
        <v>290435</v>
      </c>
      <c r="G21" s="1" t="n">
        <v>3070491</v>
      </c>
      <c r="H21" s="1" t="n">
        <v>190244</v>
      </c>
      <c r="I21" s="1" t="n">
        <v>6624</v>
      </c>
      <c r="J21" s="1" t="n">
        <v>614506</v>
      </c>
      <c r="K21" s="1" t="n">
        <v>205494</v>
      </c>
      <c r="L21" s="1" t="n">
        <v>3099244</v>
      </c>
      <c r="M21" s="1" t="n">
        <v>160848</v>
      </c>
      <c r="N21" s="1" t="n">
        <v>145843</v>
      </c>
      <c r="O21" s="1" t="n">
        <v>488501</v>
      </c>
      <c r="P21" s="1" t="n">
        <v>260674</v>
      </c>
      <c r="Q21" s="1" t="n">
        <v>3060246</v>
      </c>
    </row>
    <row r="22" customFormat="false" ht="15" hidden="false" customHeight="false" outlineLevel="0" collapsed="false">
      <c r="A22" s="2"/>
      <c r="B22" s="1" t="n">
        <v>18</v>
      </c>
      <c r="C22" s="1" t="n">
        <v>106372</v>
      </c>
      <c r="D22" s="1" t="n">
        <v>160289</v>
      </c>
      <c r="E22" s="1" t="n">
        <v>262237</v>
      </c>
      <c r="F22" s="1" t="n">
        <v>385858</v>
      </c>
      <c r="G22" s="1" t="n">
        <v>3201356</v>
      </c>
      <c r="H22" s="1" t="n">
        <v>144160</v>
      </c>
      <c r="I22" s="1" t="n">
        <v>23341</v>
      </c>
      <c r="J22" s="1" t="n">
        <v>336766</v>
      </c>
      <c r="K22" s="1" t="n">
        <v>393959</v>
      </c>
      <c r="L22" s="1" t="n">
        <v>3217886</v>
      </c>
      <c r="M22" s="1" t="n">
        <v>86691</v>
      </c>
      <c r="N22" s="1" t="n">
        <v>162203</v>
      </c>
      <c r="O22" s="1" t="n">
        <v>293816</v>
      </c>
      <c r="P22" s="1" t="n">
        <v>383372</v>
      </c>
      <c r="Q22" s="1" t="n">
        <v>3190030</v>
      </c>
    </row>
    <row r="23" customFormat="false" ht="15" hidden="false" customHeight="false" outlineLevel="0" collapsed="false">
      <c r="A23" s="2"/>
      <c r="B23" s="1" t="n">
        <v>19</v>
      </c>
      <c r="C23" s="1" t="n">
        <v>125517</v>
      </c>
      <c r="D23" s="1" t="n">
        <v>179035</v>
      </c>
      <c r="E23" s="1" t="n">
        <v>403528</v>
      </c>
      <c r="F23" s="1" t="n">
        <v>332163</v>
      </c>
      <c r="G23" s="1" t="n">
        <v>3075869</v>
      </c>
      <c r="H23" s="1" t="n">
        <v>159927</v>
      </c>
      <c r="I23" s="1" t="n">
        <v>24399</v>
      </c>
      <c r="J23" s="1" t="n">
        <v>535402</v>
      </c>
      <c r="K23" s="1" t="n">
        <v>295266</v>
      </c>
      <c r="L23" s="1" t="n">
        <v>3101118</v>
      </c>
      <c r="M23" s="1" t="n">
        <v>106201</v>
      </c>
      <c r="N23" s="1" t="n">
        <v>181074</v>
      </c>
      <c r="O23" s="1" t="n">
        <v>440322</v>
      </c>
      <c r="P23" s="1" t="n">
        <v>319787</v>
      </c>
      <c r="Q23" s="1" t="n">
        <v>3068728</v>
      </c>
    </row>
    <row r="24" customFormat="false" ht="15" hidden="false" customHeight="false" outlineLevel="0" collapsed="false">
      <c r="A24" s="2"/>
      <c r="B24" s="1" t="n">
        <v>20</v>
      </c>
      <c r="C24" s="1" t="n">
        <v>115390</v>
      </c>
      <c r="D24" s="1" t="n">
        <v>183178</v>
      </c>
      <c r="E24" s="1" t="n">
        <v>376897</v>
      </c>
      <c r="F24" s="1" t="n">
        <v>336775</v>
      </c>
      <c r="G24" s="1" t="n">
        <v>3103872</v>
      </c>
      <c r="H24" s="1" t="n">
        <v>147969</v>
      </c>
      <c r="I24" s="1" t="n">
        <v>21646</v>
      </c>
      <c r="J24" s="1" t="n">
        <v>505695</v>
      </c>
      <c r="K24" s="1" t="n">
        <v>309839</v>
      </c>
      <c r="L24" s="1" t="n">
        <v>3130963</v>
      </c>
      <c r="M24" s="1" t="n">
        <v>97339</v>
      </c>
      <c r="N24" s="1" t="n">
        <v>185383</v>
      </c>
      <c r="O24" s="1" t="n">
        <v>410995</v>
      </c>
      <c r="P24" s="1" t="n">
        <v>325564</v>
      </c>
      <c r="Q24" s="1" t="n">
        <v>3096831</v>
      </c>
    </row>
    <row r="25" customFormat="false" ht="15" hidden="false" customHeight="false" outlineLevel="0" collapsed="false">
      <c r="A25" s="2"/>
      <c r="B25" s="1" t="n">
        <v>21</v>
      </c>
      <c r="C25" s="1" t="n">
        <v>301098</v>
      </c>
      <c r="D25" s="1" t="n">
        <v>147108</v>
      </c>
      <c r="E25" s="1" t="n">
        <v>482804</v>
      </c>
      <c r="F25" s="1" t="n">
        <v>169877</v>
      </c>
      <c r="G25" s="1" t="n">
        <v>3015225</v>
      </c>
      <c r="H25" s="1" t="n">
        <v>359393</v>
      </c>
      <c r="I25" s="1" t="n">
        <v>9429</v>
      </c>
      <c r="J25" s="1" t="n">
        <v>603887</v>
      </c>
      <c r="K25" s="1" t="n">
        <v>99373</v>
      </c>
      <c r="L25" s="1" t="n">
        <v>3044030</v>
      </c>
      <c r="M25" s="1" t="n">
        <v>280777</v>
      </c>
      <c r="N25" s="1" t="n">
        <v>145896</v>
      </c>
      <c r="O25" s="1" t="n">
        <v>530173</v>
      </c>
      <c r="P25" s="1" t="n">
        <v>148296</v>
      </c>
      <c r="Q25" s="1" t="n">
        <v>3010970</v>
      </c>
    </row>
    <row r="26" customFormat="false" ht="15" hidden="false" customHeight="false" outlineLevel="0" collapsed="false">
      <c r="A26" s="2"/>
      <c r="B26" s="1" t="n">
        <v>22</v>
      </c>
      <c r="C26" s="1" t="n">
        <v>127069</v>
      </c>
      <c r="D26" s="1" t="n">
        <v>178290</v>
      </c>
      <c r="E26" s="1" t="n">
        <v>359984</v>
      </c>
      <c r="F26" s="1" t="n">
        <v>347464</v>
      </c>
      <c r="G26" s="1" t="n">
        <v>3103305</v>
      </c>
      <c r="H26" s="1" t="n">
        <v>153690</v>
      </c>
      <c r="I26" s="1" t="n">
        <v>21861</v>
      </c>
      <c r="J26" s="1" t="n">
        <v>484054</v>
      </c>
      <c r="K26" s="1" t="n">
        <v>326485</v>
      </c>
      <c r="L26" s="1" t="n">
        <v>3130022</v>
      </c>
      <c r="M26" s="1" t="n">
        <v>106910</v>
      </c>
      <c r="N26" s="1" t="n">
        <v>180137</v>
      </c>
      <c r="O26" s="1" t="n">
        <v>399729</v>
      </c>
      <c r="P26" s="1" t="n">
        <v>332011</v>
      </c>
      <c r="Q26" s="1" t="n">
        <v>3097325</v>
      </c>
    </row>
    <row r="27" customFormat="false" ht="15" hidden="false" customHeight="false" outlineLevel="0" collapsed="false">
      <c r="A27" s="2"/>
      <c r="B27" s="1" t="n">
        <v>23</v>
      </c>
      <c r="C27" s="1" t="n">
        <v>122076</v>
      </c>
      <c r="D27" s="1" t="n">
        <v>183514</v>
      </c>
      <c r="E27" s="1" t="n">
        <v>333939</v>
      </c>
      <c r="F27" s="1" t="n">
        <v>346611</v>
      </c>
      <c r="G27" s="1" t="n">
        <v>3129972</v>
      </c>
      <c r="H27" s="1" t="n">
        <v>137488</v>
      </c>
      <c r="I27" s="1" t="n">
        <v>22561</v>
      </c>
      <c r="J27" s="1" t="n">
        <v>456072</v>
      </c>
      <c r="K27" s="1" t="n">
        <v>346144</v>
      </c>
      <c r="L27" s="1" t="n">
        <v>3153847</v>
      </c>
      <c r="M27" s="1" t="n">
        <v>101683</v>
      </c>
      <c r="N27" s="1" t="n">
        <v>186540</v>
      </c>
      <c r="O27" s="1" t="n">
        <v>373574</v>
      </c>
      <c r="P27" s="1" t="n">
        <v>329593</v>
      </c>
      <c r="Q27" s="1" t="n">
        <v>3124722</v>
      </c>
    </row>
    <row r="28" customFormat="false" ht="15" hidden="false" customHeight="false" outlineLevel="0" collapsed="false">
      <c r="A28" s="2"/>
      <c r="B28" s="1" t="n">
        <v>24</v>
      </c>
      <c r="C28" s="1" t="n">
        <v>248269</v>
      </c>
      <c r="D28" s="1" t="n">
        <v>154969</v>
      </c>
      <c r="E28" s="1" t="n">
        <v>472114</v>
      </c>
      <c r="F28" s="1" t="n">
        <v>211020</v>
      </c>
      <c r="G28" s="1" t="n">
        <v>3029740</v>
      </c>
      <c r="H28" s="1" t="n">
        <v>302777</v>
      </c>
      <c r="I28" s="1" t="n">
        <v>10718</v>
      </c>
      <c r="J28" s="1" t="n">
        <v>608508</v>
      </c>
      <c r="K28" s="1" t="n">
        <v>129329</v>
      </c>
      <c r="L28" s="1" t="n">
        <v>3064780</v>
      </c>
      <c r="M28" s="1" t="n">
        <v>225611</v>
      </c>
      <c r="N28" s="1" t="n">
        <v>155209</v>
      </c>
      <c r="O28" s="1" t="n">
        <v>519495</v>
      </c>
      <c r="P28" s="1" t="n">
        <v>191193</v>
      </c>
      <c r="Q28" s="1" t="n">
        <v>3024604</v>
      </c>
    </row>
    <row r="29" customFormat="false" ht="15" hidden="false" customHeight="false" outlineLevel="0" collapsed="false">
      <c r="A29" s="2"/>
      <c r="B29" s="1" t="n">
        <v>25</v>
      </c>
      <c r="C29" s="1" t="n">
        <v>138611</v>
      </c>
      <c r="D29" s="1" t="n">
        <v>160043</v>
      </c>
      <c r="E29" s="1" t="n">
        <v>286168</v>
      </c>
      <c r="F29" s="1" t="n">
        <v>409745</v>
      </c>
      <c r="G29" s="1" t="n">
        <v>3121545</v>
      </c>
      <c r="H29" s="1" t="n">
        <v>176905</v>
      </c>
      <c r="I29" s="1" t="n">
        <v>25712</v>
      </c>
      <c r="J29" s="1" t="n">
        <v>380171</v>
      </c>
      <c r="K29" s="1" t="n">
        <v>379325</v>
      </c>
      <c r="L29" s="1" t="n">
        <v>3153999</v>
      </c>
      <c r="M29" s="1" t="n">
        <v>105289</v>
      </c>
      <c r="N29" s="1" t="n">
        <v>160607</v>
      </c>
      <c r="O29" s="1" t="n">
        <v>342240</v>
      </c>
      <c r="P29" s="1" t="n">
        <v>404670</v>
      </c>
      <c r="Q29" s="1" t="n">
        <v>3103306</v>
      </c>
    </row>
    <row r="30" customFormat="false" ht="15" hidden="false" customHeight="false" outlineLevel="0" collapsed="false">
      <c r="A30" s="2"/>
      <c r="B30" s="1" t="n">
        <v>26</v>
      </c>
      <c r="C30" s="1" t="n">
        <v>116744</v>
      </c>
      <c r="D30" s="1" t="n">
        <v>182440</v>
      </c>
      <c r="E30" s="1" t="n">
        <v>327539</v>
      </c>
      <c r="F30" s="1" t="n">
        <v>367618</v>
      </c>
      <c r="G30" s="1" t="n">
        <v>3121771</v>
      </c>
      <c r="H30" s="1" t="n">
        <v>157563</v>
      </c>
      <c r="I30" s="1" t="n">
        <v>26897</v>
      </c>
      <c r="J30" s="1" t="n">
        <v>431455</v>
      </c>
      <c r="K30" s="1" t="n">
        <v>345617</v>
      </c>
      <c r="L30" s="1" t="n">
        <v>3154580</v>
      </c>
      <c r="M30" s="1" t="n">
        <v>96508</v>
      </c>
      <c r="N30" s="1" t="n">
        <v>184145</v>
      </c>
      <c r="O30" s="1" t="n">
        <v>363734</v>
      </c>
      <c r="P30" s="1" t="n">
        <v>359291</v>
      </c>
      <c r="Q30" s="1" t="n">
        <v>3112434</v>
      </c>
    </row>
    <row r="31" customFormat="false" ht="15" hidden="false" customHeight="false" outlineLevel="0" collapsed="false">
      <c r="A31" s="2"/>
      <c r="B31" s="1" t="n">
        <v>27</v>
      </c>
      <c r="C31" s="1" t="n">
        <v>198154</v>
      </c>
      <c r="D31" s="1" t="n">
        <v>149430</v>
      </c>
      <c r="E31" s="1" t="n">
        <v>360402</v>
      </c>
      <c r="F31" s="1" t="n">
        <v>344951</v>
      </c>
      <c r="G31" s="1" t="n">
        <v>3063175</v>
      </c>
      <c r="H31" s="1" t="n">
        <v>235453</v>
      </c>
      <c r="I31" s="1" t="n">
        <v>17378</v>
      </c>
      <c r="J31" s="1" t="n">
        <v>515126</v>
      </c>
      <c r="K31" s="1" t="n">
        <v>246140</v>
      </c>
      <c r="L31" s="1" t="n">
        <v>3102015</v>
      </c>
      <c r="M31" s="1" t="n">
        <v>152311</v>
      </c>
      <c r="N31" s="1" t="n">
        <v>149957</v>
      </c>
      <c r="O31" s="1" t="n">
        <v>441812</v>
      </c>
      <c r="P31" s="1" t="n">
        <v>329117</v>
      </c>
      <c r="Q31" s="1" t="n">
        <v>3042915</v>
      </c>
    </row>
    <row r="32" customFormat="false" ht="15" hidden="false" customHeight="false" outlineLevel="0" collapsed="false">
      <c r="A32" s="2"/>
      <c r="B32" s="1" t="n">
        <v>28</v>
      </c>
      <c r="C32" s="1" t="n">
        <v>107020</v>
      </c>
      <c r="D32" s="1" t="n">
        <v>144136</v>
      </c>
      <c r="E32" s="1" t="n">
        <v>168414</v>
      </c>
      <c r="F32" s="1" t="n">
        <v>563988</v>
      </c>
      <c r="G32" s="1" t="n">
        <v>3132554</v>
      </c>
      <c r="H32" s="1" t="n">
        <v>124359</v>
      </c>
      <c r="I32" s="1" t="n">
        <v>22783</v>
      </c>
      <c r="J32" s="1" t="n">
        <v>160685</v>
      </c>
      <c r="K32" s="1" t="n">
        <v>642399</v>
      </c>
      <c r="L32" s="1" t="n">
        <v>3165886</v>
      </c>
      <c r="M32" s="1" t="n">
        <v>74342</v>
      </c>
      <c r="N32" s="1" t="n">
        <v>141133</v>
      </c>
      <c r="O32" s="1" t="n">
        <v>211471</v>
      </c>
      <c r="P32" s="1" t="n">
        <v>584651</v>
      </c>
      <c r="Q32" s="1" t="n">
        <v>3104515</v>
      </c>
    </row>
    <row r="33" customFormat="false" ht="15" hidden="false" customHeight="false" outlineLevel="0" collapsed="false">
      <c r="A33" s="2"/>
      <c r="B33" s="1" t="n">
        <v>29</v>
      </c>
      <c r="C33" s="1" t="n">
        <v>134979</v>
      </c>
      <c r="D33" s="1" t="n">
        <v>161232</v>
      </c>
      <c r="E33" s="1" t="n">
        <v>294156</v>
      </c>
      <c r="F33" s="1" t="n">
        <v>424915</v>
      </c>
      <c r="G33" s="1" t="n">
        <v>3100830</v>
      </c>
      <c r="H33" s="1" t="n">
        <v>154078</v>
      </c>
      <c r="I33" s="1" t="n">
        <v>25757</v>
      </c>
      <c r="J33" s="1" t="n">
        <v>392509</v>
      </c>
      <c r="K33" s="1" t="n">
        <v>405951</v>
      </c>
      <c r="L33" s="1" t="n">
        <v>3137817</v>
      </c>
      <c r="M33" s="1" t="n">
        <v>98473</v>
      </c>
      <c r="N33" s="1" t="n">
        <v>160742</v>
      </c>
      <c r="O33" s="1" t="n">
        <v>356300</v>
      </c>
      <c r="P33" s="1" t="n">
        <v>419174</v>
      </c>
      <c r="Q33" s="1" t="n">
        <v>3081423</v>
      </c>
    </row>
    <row r="34" customFormat="false" ht="15" hidden="false" customHeight="false" outlineLevel="0" collapsed="false">
      <c r="A34" s="2"/>
      <c r="B34" s="1" t="n">
        <v>30</v>
      </c>
      <c r="C34" s="1" t="n">
        <v>345398</v>
      </c>
      <c r="D34" s="1" t="n">
        <v>143090</v>
      </c>
      <c r="E34" s="1" t="n">
        <v>472300</v>
      </c>
      <c r="F34" s="1" t="n">
        <v>157399</v>
      </c>
      <c r="G34" s="1" t="n">
        <v>2997925</v>
      </c>
      <c r="H34" s="1" t="n">
        <v>420896</v>
      </c>
      <c r="I34" s="1" t="n">
        <v>7729</v>
      </c>
      <c r="J34" s="1" t="n">
        <v>569263</v>
      </c>
      <c r="K34" s="1" t="n">
        <v>86771</v>
      </c>
      <c r="L34" s="1" t="n">
        <v>3031453</v>
      </c>
      <c r="M34" s="1" t="n">
        <v>326837</v>
      </c>
      <c r="N34" s="1" t="n">
        <v>141131</v>
      </c>
      <c r="O34" s="1" t="n">
        <v>516381</v>
      </c>
      <c r="P34" s="1" t="n">
        <v>138900</v>
      </c>
      <c r="Q34" s="1" t="n">
        <v>2992863</v>
      </c>
    </row>
    <row r="35" customFormat="false" ht="15" hidden="false" customHeight="false" outlineLevel="0" collapsed="false">
      <c r="A35" s="2"/>
      <c r="B35" s="1" t="n">
        <v>31</v>
      </c>
      <c r="C35" s="1" t="n">
        <v>79631</v>
      </c>
      <c r="D35" s="1" t="n">
        <v>116930</v>
      </c>
      <c r="E35" s="1" t="n">
        <v>89143</v>
      </c>
      <c r="F35" s="1" t="n">
        <v>532282</v>
      </c>
      <c r="G35" s="1" t="n">
        <v>3298126</v>
      </c>
      <c r="H35" s="1" t="n">
        <v>94315</v>
      </c>
      <c r="I35" s="1" t="n">
        <v>16784</v>
      </c>
      <c r="J35" s="1" t="n">
        <v>46443</v>
      </c>
      <c r="K35" s="1" t="n">
        <v>652346</v>
      </c>
      <c r="L35" s="1" t="n">
        <v>3306224</v>
      </c>
      <c r="M35" s="1" t="n">
        <v>58942</v>
      </c>
      <c r="N35" s="1" t="n">
        <v>115680</v>
      </c>
      <c r="O35" s="1" t="n">
        <v>111678</v>
      </c>
      <c r="P35" s="1" t="n">
        <v>554710</v>
      </c>
      <c r="Q35" s="1" t="n">
        <v>3275102</v>
      </c>
    </row>
    <row r="36" customFormat="false" ht="15" hidden="false" customHeight="false" outlineLevel="0" collapsed="false">
      <c r="A36" s="2"/>
      <c r="B36" s="1" t="n">
        <v>32</v>
      </c>
      <c r="C36" s="1" t="n">
        <v>121091</v>
      </c>
      <c r="D36" s="1" t="n">
        <v>148316</v>
      </c>
      <c r="E36" s="1" t="n">
        <v>276346</v>
      </c>
      <c r="F36" s="1" t="n">
        <v>449612</v>
      </c>
      <c r="G36" s="1" t="n">
        <v>3120747</v>
      </c>
      <c r="H36" s="1" t="n">
        <v>165535</v>
      </c>
      <c r="I36" s="1" t="n">
        <v>14987</v>
      </c>
      <c r="J36" s="1" t="n">
        <v>332631</v>
      </c>
      <c r="K36" s="1" t="n">
        <v>453216</v>
      </c>
      <c r="L36" s="1" t="n">
        <v>3149743</v>
      </c>
      <c r="M36" s="1" t="n">
        <v>93344</v>
      </c>
      <c r="N36" s="1" t="n">
        <v>149044</v>
      </c>
      <c r="O36" s="1" t="n">
        <v>317160</v>
      </c>
      <c r="P36" s="1" t="n">
        <v>455344</v>
      </c>
      <c r="Q36" s="1" t="n">
        <v>3101220</v>
      </c>
    </row>
    <row r="37" customFormat="false" ht="15" hidden="false" customHeight="false" outlineLevel="0" collapsed="false">
      <c r="A37" s="2"/>
      <c r="B37" s="1" t="s">
        <v>12</v>
      </c>
      <c r="C37" s="1" t="n">
        <f aca="false">SUM(C4:C36)</f>
        <v>5926482</v>
      </c>
      <c r="D37" s="1" t="n">
        <f aca="false">SUM(D4:D36)</f>
        <v>5135786</v>
      </c>
      <c r="E37" s="1" t="n">
        <f aca="false">SUM(E4:E36)</f>
        <v>12420139</v>
      </c>
      <c r="F37" s="1" t="n">
        <f aca="false">SUM(F4:F36)</f>
        <v>10483022</v>
      </c>
      <c r="G37" s="1" t="n">
        <f aca="false">SUM(G4:G36)</f>
        <v>101866267</v>
      </c>
      <c r="H37" s="1" t="n">
        <f aca="false">SUM(H4:H36)</f>
        <v>7114896</v>
      </c>
      <c r="I37" s="1" t="n">
        <f aca="false">SUM(I4:I36)</f>
        <v>660518</v>
      </c>
      <c r="J37" s="1" t="n">
        <f aca="false">SUM(J4:J36)</f>
        <v>15723974</v>
      </c>
      <c r="K37" s="1" t="n">
        <f aca="false">SUM(K4:K36)</f>
        <v>9674523</v>
      </c>
      <c r="L37" s="1" t="n">
        <f aca="false">SUM(L4:L36)</f>
        <v>102657785</v>
      </c>
      <c r="M37" s="1" t="n">
        <f aca="false">SUM(M4:M36)</f>
        <v>5234688</v>
      </c>
      <c r="N37" s="1" t="n">
        <f aca="false">SUM(N4:N36)</f>
        <v>5154543</v>
      </c>
      <c r="O37" s="1" t="n">
        <f aca="false">SUM(O4:O36)</f>
        <v>13755272</v>
      </c>
      <c r="P37" s="1" t="n">
        <f aca="false">SUM(P4:P36)</f>
        <v>10098511</v>
      </c>
      <c r="Q37" s="1" t="n">
        <f aca="false">SUM(Q4:Q36)</f>
        <v>101588682</v>
      </c>
    </row>
    <row r="42" customFormat="false" ht="15" hidden="false" customHeight="false" outlineLevel="0" collapsed="false">
      <c r="A42" s="1"/>
      <c r="B42" s="10" t="s">
        <v>0</v>
      </c>
      <c r="C42" s="11" t="s">
        <v>13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15" hidden="false" customHeight="false" outlineLevel="0" collapsed="false">
      <c r="A43" s="1"/>
      <c r="B43" s="10"/>
      <c r="C43" s="12" t="s">
        <v>3</v>
      </c>
      <c r="D43" s="12"/>
      <c r="E43" s="12"/>
      <c r="F43" s="12"/>
      <c r="G43" s="12"/>
      <c r="H43" s="12"/>
      <c r="I43" s="13" t="s">
        <v>4</v>
      </c>
      <c r="J43" s="13"/>
      <c r="K43" s="13"/>
      <c r="L43" s="13"/>
      <c r="M43" s="13"/>
      <c r="N43" s="13"/>
    </row>
    <row r="44" customFormat="false" ht="15" hidden="false" customHeight="false" outlineLevel="0" collapsed="false">
      <c r="A44" s="10" t="s">
        <v>14</v>
      </c>
      <c r="B44" s="10"/>
      <c r="C44" s="14" t="s">
        <v>7</v>
      </c>
      <c r="D44" s="15" t="s">
        <v>8</v>
      </c>
      <c r="E44" s="16" t="s">
        <v>9</v>
      </c>
      <c r="F44" s="17" t="s">
        <v>10</v>
      </c>
      <c r="G44" s="18" t="s">
        <v>11</v>
      </c>
      <c r="H44" s="19"/>
      <c r="I44" s="14" t="s">
        <v>7</v>
      </c>
      <c r="J44" s="15" t="s">
        <v>8</v>
      </c>
      <c r="K44" s="16" t="s">
        <v>9</v>
      </c>
      <c r="L44" s="17" t="s">
        <v>10</v>
      </c>
      <c r="M44" s="18" t="s">
        <v>11</v>
      </c>
      <c r="N44" s="19"/>
    </row>
    <row r="45" customFormat="false" ht="15" hidden="false" customHeight="false" outlineLevel="0" collapsed="false">
      <c r="A45" s="10"/>
      <c r="B45" s="10" t="n">
        <v>0</v>
      </c>
      <c r="C45" s="20" t="n">
        <f aca="false">(ABS(C4-H4)/C4)*100</f>
        <v>0</v>
      </c>
      <c r="D45" s="21" t="n">
        <f aca="false">(ABS(D4-I4)/D4)*100</f>
        <v>0</v>
      </c>
      <c r="E45" s="21" t="n">
        <f aca="false">(ABS(E4-J4)/E4)*100</f>
        <v>0</v>
      </c>
      <c r="F45" s="21" t="n">
        <f aca="false">(ABS(F4-K4)/F4)*100</f>
        <v>0</v>
      </c>
      <c r="G45" s="22" t="n">
        <f aca="false">(ABS(G4-L4)/G4)*100</f>
        <v>0</v>
      </c>
      <c r="H45" s="19"/>
      <c r="I45" s="1" t="n">
        <f aca="false">(ABS(C4-M4)/C4)*100</f>
        <v>0</v>
      </c>
      <c r="J45" s="1" t="n">
        <f aca="false">(ABS(D4-N4)/D4)*100</f>
        <v>0</v>
      </c>
      <c r="K45" s="1" t="n">
        <f aca="false">(ABS(E4-O4)/E4)*100</f>
        <v>0</v>
      </c>
      <c r="L45" s="1" t="n">
        <f aca="false">(ABS(F4-P4)/F4)*100</f>
        <v>0</v>
      </c>
      <c r="M45" s="23" t="n">
        <f aca="false">(ABS(G4-Q4)/G4)*100</f>
        <v>0</v>
      </c>
      <c r="N45" s="19"/>
    </row>
    <row r="46" customFormat="false" ht="15" hidden="false" customHeight="false" outlineLevel="0" collapsed="false">
      <c r="A46" s="10"/>
      <c r="B46" s="10" t="n">
        <v>1</v>
      </c>
      <c r="C46" s="20" t="n">
        <f aca="false">(ABS(C5-H5)/C5)*100</f>
        <v>28.3189993327908</v>
      </c>
      <c r="D46" s="21" t="n">
        <f aca="false">(ABS(D5-I5)/D5)*100</f>
        <v>92.8936120381755</v>
      </c>
      <c r="E46" s="21" t="n">
        <f aca="false">(ABS(E5-J5)/E5)*100</f>
        <v>31.2903447590964</v>
      </c>
      <c r="F46" s="21" t="n">
        <f aca="false">(ABS(F5-K5)/F5)*100</f>
        <v>9.61399528505159</v>
      </c>
      <c r="G46" s="22" t="n">
        <f aca="false">(ABS(G5-L5)/G5)*100</f>
        <v>0.886593442885193</v>
      </c>
      <c r="H46" s="19"/>
      <c r="I46" s="1" t="n">
        <f aca="false">(ABS(C5-M5)/C5)*100</f>
        <v>13.7298462485978</v>
      </c>
      <c r="J46" s="1" t="n">
        <f aca="false">(ABS(D5-N5)/D5)*100</f>
        <v>1.58147432519468</v>
      </c>
      <c r="K46" s="1" t="n">
        <f aca="false">(ABS(E5-O5)/E5)*100</f>
        <v>9.47444545452231</v>
      </c>
      <c r="L46" s="1" t="n">
        <f aca="false">(ABS(F5-P5)/F5)*100</f>
        <v>5.20957438718345</v>
      </c>
      <c r="M46" s="23" t="n">
        <f aca="false">(ABS(G5-Q5)/G5)*100</f>
        <v>0.152904311121088</v>
      </c>
      <c r="N46" s="19"/>
    </row>
    <row r="47" customFormat="false" ht="15" hidden="false" customHeight="false" outlineLevel="0" collapsed="false">
      <c r="A47" s="10"/>
      <c r="B47" s="10" t="n">
        <v>2</v>
      </c>
      <c r="C47" s="20" t="n">
        <f aca="false">(ABS(C6-H6)/C6)*100</f>
        <v>19.4549554118262</v>
      </c>
      <c r="D47" s="21" t="n">
        <f aca="false">(ABS(D6-I6)/D6)*100</f>
        <v>95.0656465914158</v>
      </c>
      <c r="E47" s="21" t="n">
        <f aca="false">(ABS(E6-J6)/E6)*100</f>
        <v>32.1267026603746</v>
      </c>
      <c r="F47" s="21" t="n">
        <f aca="false">(ABS(F6-K6)/F6)*100</f>
        <v>3.30898392821347</v>
      </c>
      <c r="G47" s="22" t="n">
        <f aca="false">(ABS(G6-L6)/G6)*100</f>
        <v>0.832786023055688</v>
      </c>
      <c r="H47" s="19"/>
      <c r="I47" s="1" t="n">
        <f aca="false">(ABS(C6-M6)/C6)*100</f>
        <v>13.8079002598051</v>
      </c>
      <c r="J47" s="1" t="n">
        <f aca="false">(ABS(D6-N6)/D6)*100</f>
        <v>1.15308657705294</v>
      </c>
      <c r="K47" s="1" t="n">
        <f aca="false">(ABS(E6-O6)/E6)*100</f>
        <v>9.54623199455973</v>
      </c>
      <c r="L47" s="1" t="n">
        <f aca="false">(ABS(F6-P6)/F6)*100</f>
        <v>5.04999587298218</v>
      </c>
      <c r="M47" s="23" t="n">
        <f aca="false">(ABS(G6-Q6)/G6)*100</f>
        <v>0.136730413740662</v>
      </c>
      <c r="N47" s="19"/>
    </row>
    <row r="48" customFormat="false" ht="15" hidden="false" customHeight="false" outlineLevel="0" collapsed="false">
      <c r="A48" s="10"/>
      <c r="B48" s="10" t="n">
        <v>3</v>
      </c>
      <c r="C48" s="20" t="n">
        <f aca="false">(ABS(C7-H7)/C7)*100</f>
        <v>37.7141215480195</v>
      </c>
      <c r="D48" s="21" t="n">
        <f aca="false">(ABS(D7-I7)/D7)*100</f>
        <v>84.9516665141951</v>
      </c>
      <c r="E48" s="21" t="n">
        <f aca="false">(ABS(E7-J7)/E7)*100</f>
        <v>22.8150217375455</v>
      </c>
      <c r="F48" s="21" t="n">
        <f aca="false">(ABS(F7-K7)/F7)*100</f>
        <v>6.72534157661823</v>
      </c>
      <c r="G48" s="22" t="n">
        <f aca="false">(ABS(G7-L7)/G7)*100</f>
        <v>0.582706077668012</v>
      </c>
      <c r="H48" s="19"/>
      <c r="I48" s="1" t="n">
        <f aca="false">(ABS(C7-M7)/C7)*100</f>
        <v>18.2453704257892</v>
      </c>
      <c r="J48" s="1" t="n">
        <f aca="false">(ABS(D7-N7)/D7)*100</f>
        <v>1.91321318574086</v>
      </c>
      <c r="K48" s="1" t="n">
        <f aca="false">(ABS(E7-O7)/E7)*100</f>
        <v>9.81048237014071</v>
      </c>
      <c r="L48" s="1" t="n">
        <f aca="false">(ABS(F7-P7)/F7)*100</f>
        <v>1.67745448082379</v>
      </c>
      <c r="M48" s="23" t="n">
        <f aca="false">(ABS(G7-Q7)/G7)*100</f>
        <v>0.189852050692963</v>
      </c>
      <c r="N48" s="19"/>
    </row>
    <row r="49" customFormat="false" ht="15" hidden="false" customHeight="false" outlineLevel="0" collapsed="false">
      <c r="A49" s="10"/>
      <c r="B49" s="10" t="n">
        <v>4</v>
      </c>
      <c r="C49" s="20" t="n">
        <f aca="false">(ABS(C8-H8)/C8)*100</f>
        <v>36.0883164673413</v>
      </c>
      <c r="D49" s="21" t="n">
        <f aca="false">(ABS(D8-I8)/D8)*100</f>
        <v>85.3863248177193</v>
      </c>
      <c r="E49" s="21" t="n">
        <f aca="false">(ABS(E8-J8)/E8)*100</f>
        <v>28.1805195668062</v>
      </c>
      <c r="F49" s="21" t="n">
        <f aca="false">(ABS(F8-K8)/F8)*100</f>
        <v>3.92751420689854</v>
      </c>
      <c r="G49" s="22" t="n">
        <f aca="false">(ABS(G8-L8)/G8)*100</f>
        <v>1.01640097207056</v>
      </c>
      <c r="H49" s="19"/>
      <c r="I49" s="1" t="n">
        <f aca="false">(ABS(C8-M8)/C8)*100</f>
        <v>17.5758969641214</v>
      </c>
      <c r="J49" s="1" t="n">
        <f aca="false">(ABS(D8-N8)/D8)*100</f>
        <v>0.850337012617312</v>
      </c>
      <c r="K49" s="1" t="n">
        <f aca="false">(ABS(E8-O8)/E8)*100</f>
        <v>11.013221712843</v>
      </c>
      <c r="L49" s="1" t="n">
        <f aca="false">(ABS(F8-P8)/F8)*100</f>
        <v>1.4714673619464</v>
      </c>
      <c r="M49" s="23" t="n">
        <f aca="false">(ABS(G8-Q8)/G8)*100</f>
        <v>0.297679018410873</v>
      </c>
      <c r="N49" s="19"/>
    </row>
    <row r="50" customFormat="false" ht="15" hidden="false" customHeight="false" outlineLevel="0" collapsed="false">
      <c r="A50" s="10"/>
      <c r="B50" s="10" t="n">
        <v>5</v>
      </c>
      <c r="C50" s="20" t="n">
        <f aca="false">(ABS(C9-H9)/C9)*100</f>
        <v>3.88280928894369</v>
      </c>
      <c r="D50" s="21" t="n">
        <f aca="false">(ABS(D9-I9)/D9)*100</f>
        <v>92.4568943091123</v>
      </c>
      <c r="E50" s="21" t="n">
        <f aca="false">(ABS(E9-J9)/E9)*100</f>
        <v>26.9785504878665</v>
      </c>
      <c r="F50" s="21" t="n">
        <f aca="false">(ABS(F9-K9)/F9)*100</f>
        <v>6.87555385728571</v>
      </c>
      <c r="G50" s="22" t="n">
        <f aca="false">(ABS(G9-L9)/G9)*100</f>
        <v>0.727832070630733</v>
      </c>
      <c r="H50" s="19"/>
      <c r="I50" s="1" t="n">
        <f aca="false">(ABS(C9-M9)/C9)*100</f>
        <v>14.7837032470201</v>
      </c>
      <c r="J50" s="1" t="n">
        <f aca="false">(ABS(D9-N9)/D9)*100</f>
        <v>0.906338123432639</v>
      </c>
      <c r="K50" s="1" t="n">
        <f aca="false">(ABS(E9-O9)/E9)*100</f>
        <v>7.62345497402314</v>
      </c>
      <c r="L50" s="1" t="n">
        <f aca="false">(ABS(F9-P9)/F9)*100</f>
        <v>3.16135641173649</v>
      </c>
      <c r="M50" s="23" t="n">
        <f aca="false">(ABS(G9-Q9)/G9)*100</f>
        <v>0.105921446143244</v>
      </c>
      <c r="N50" s="19"/>
    </row>
    <row r="51" customFormat="false" ht="15" hidden="false" customHeight="false" outlineLevel="0" collapsed="false">
      <c r="A51" s="10"/>
      <c r="B51" s="10" t="n">
        <v>6</v>
      </c>
      <c r="C51" s="20" t="n">
        <f aca="false">(ABS(C10-H10)/C10)*100</f>
        <v>21.140201394268</v>
      </c>
      <c r="D51" s="21" t="n">
        <f aca="false">(ABS(D10-I10)/D10)*100</f>
        <v>90.7125010769363</v>
      </c>
      <c r="E51" s="21" t="n">
        <f aca="false">(ABS(E10-J10)/E10)*100</f>
        <v>32.62323746785</v>
      </c>
      <c r="F51" s="21" t="n">
        <f aca="false">(ABS(F10-K10)/F10)*100</f>
        <v>9.75124769901661</v>
      </c>
      <c r="G51" s="22" t="n">
        <f aca="false">(ABS(G10-L10)/G10)*100</f>
        <v>0.686757605272712</v>
      </c>
      <c r="H51" s="19"/>
      <c r="I51" s="1" t="n">
        <f aca="false">(ABS(C10-M10)/C10)*100</f>
        <v>14.2680092951201</v>
      </c>
      <c r="J51" s="1" t="n">
        <f aca="false">(ABS(D10-N10)/D10)*100</f>
        <v>1.55386527834189</v>
      </c>
      <c r="K51" s="1" t="n">
        <f aca="false">(ABS(E10-O10)/E10)*100</f>
        <v>9.29834192361259</v>
      </c>
      <c r="L51" s="1" t="n">
        <f aca="false">(ABS(F10-P10)/F10)*100</f>
        <v>5.41604732889051</v>
      </c>
      <c r="M51" s="23" t="n">
        <f aca="false">(ABS(G10-Q10)/G10)*100</f>
        <v>0.133864954730615</v>
      </c>
      <c r="N51" s="19"/>
    </row>
    <row r="52" customFormat="false" ht="15" hidden="false" customHeight="false" outlineLevel="0" collapsed="false">
      <c r="A52" s="10"/>
      <c r="B52" s="10" t="n">
        <v>7</v>
      </c>
      <c r="C52" s="20" t="n">
        <f aca="false">(ABS(C11-H11)/C11)*100</f>
        <v>49.320073868518</v>
      </c>
      <c r="D52" s="21" t="n">
        <f aca="false">(ABS(D11-I11)/D11)*100</f>
        <v>86.5707418805158</v>
      </c>
      <c r="E52" s="21" t="n">
        <f aca="false">(ABS(E11-J11)/E11)*100</f>
        <v>25.0344559493939</v>
      </c>
      <c r="F52" s="21" t="n">
        <f aca="false">(ABS(F11-K11)/F11)*100</f>
        <v>0.192648911343463</v>
      </c>
      <c r="G52" s="22" t="n">
        <f aca="false">(ABS(G11-L11)/G11)*100</f>
        <v>0.519043200738695</v>
      </c>
      <c r="H52" s="19"/>
      <c r="I52" s="1" t="n">
        <f aca="false">(ABS(C11-M11)/C11)*100</f>
        <v>17.8153484559702</v>
      </c>
      <c r="J52" s="1" t="n">
        <f aca="false">(ABS(D11-N11)/D11)*100</f>
        <v>1.27673643785447</v>
      </c>
      <c r="K52" s="1" t="n">
        <f aca="false">(ABS(E11-O11)/E11)*100</f>
        <v>11.2587906845249</v>
      </c>
      <c r="L52" s="1" t="n">
        <f aca="false">(ABS(F11-P11)/F11)*100</f>
        <v>1.66783389681089</v>
      </c>
      <c r="M52" s="23" t="n">
        <f aca="false">(ABS(G11-Q11)/G11)*100</f>
        <v>0.267706586163921</v>
      </c>
      <c r="N52" s="19"/>
    </row>
    <row r="53" customFormat="false" ht="15" hidden="false" customHeight="false" outlineLevel="0" collapsed="false">
      <c r="A53" s="10"/>
      <c r="B53" s="10" t="n">
        <v>8</v>
      </c>
      <c r="C53" s="20" t="n">
        <f aca="false">(ABS(C12-H12)/C12)*100</f>
        <v>31.668584579977</v>
      </c>
      <c r="D53" s="21" t="n">
        <f aca="false">(ABS(D12-I12)/D12)*100</f>
        <v>84.9472973053767</v>
      </c>
      <c r="E53" s="21" t="n">
        <f aca="false">(ABS(E12-J12)/E12)*100</f>
        <v>22.5339442088921</v>
      </c>
      <c r="F53" s="21" t="n">
        <f aca="false">(ABS(F12-K12)/F12)*100</f>
        <v>6.34573642042848</v>
      </c>
      <c r="G53" s="22" t="n">
        <f aca="false">(ABS(G12-L12)/G12)*100</f>
        <v>0.840333996994765</v>
      </c>
      <c r="H53" s="19"/>
      <c r="I53" s="1" t="n">
        <f aca="false">(ABS(C12-M12)/C12)*100</f>
        <v>18.2197928653625</v>
      </c>
      <c r="J53" s="1" t="n">
        <f aca="false">(ABS(D12-N12)/D12)*100</f>
        <v>1.26928894708207</v>
      </c>
      <c r="K53" s="1" t="n">
        <f aca="false">(ABS(E12-O12)/E12)*100</f>
        <v>10.3383223191002</v>
      </c>
      <c r="L53" s="1" t="n">
        <f aca="false">(ABS(F12-P12)/F12)*100</f>
        <v>1.39656054777115</v>
      </c>
      <c r="M53" s="23" t="n">
        <f aca="false">(ABS(G12-Q12)/G12)*100</f>
        <v>0.228762887187943</v>
      </c>
      <c r="N53" s="19"/>
    </row>
    <row r="54" customFormat="false" ht="15" hidden="false" customHeight="false" outlineLevel="0" collapsed="false">
      <c r="A54" s="10"/>
      <c r="B54" s="10" t="n">
        <v>9</v>
      </c>
      <c r="C54" s="20" t="n">
        <f aca="false">(ABS(C13-H13)/C13)*100</f>
        <v>19.1848224321376</v>
      </c>
      <c r="D54" s="21" t="n">
        <f aca="false">(ABS(D13-I13)/D13)*100</f>
        <v>95.3302359602308</v>
      </c>
      <c r="E54" s="21" t="n">
        <f aca="false">(ABS(E13-J13)/E13)*100</f>
        <v>23.8575930846713</v>
      </c>
      <c r="F54" s="21" t="n">
        <f aca="false">(ABS(F13-K13)/F13)*100</f>
        <v>46.3166924000686</v>
      </c>
      <c r="G54" s="22" t="n">
        <f aca="false">(ABS(G13-L13)/G13)*100</f>
        <v>0.643770612204781</v>
      </c>
      <c r="H54" s="19"/>
      <c r="I54" s="1" t="n">
        <f aca="false">(ABS(C13-M13)/C13)*100</f>
        <v>5.86731564341203</v>
      </c>
      <c r="J54" s="1" t="n">
        <f aca="false">(ABS(D13-N13)/D13)*100</f>
        <v>1.30035488852166</v>
      </c>
      <c r="K54" s="1" t="n">
        <f aca="false">(ABS(E13-O13)/E13)*100</f>
        <v>8.23339961250314</v>
      </c>
      <c r="L54" s="1" t="n">
        <f aca="false">(ABS(F13-P13)/F13)*100</f>
        <v>15.7728598387373</v>
      </c>
      <c r="M54" s="23" t="n">
        <f aca="false">(ABS(G13-Q13)/G13)*100</f>
        <v>0.0908468515288458</v>
      </c>
      <c r="N54" s="19"/>
    </row>
    <row r="55" customFormat="false" ht="15" hidden="false" customHeight="false" outlineLevel="0" collapsed="false">
      <c r="A55" s="10"/>
      <c r="B55" s="10" t="n">
        <v>10</v>
      </c>
      <c r="C55" s="20" t="n">
        <f aca="false">(ABS(C14-H14)/C14)*100</f>
        <v>21.9902456094307</v>
      </c>
      <c r="D55" s="21" t="n">
        <f aca="false">(ABS(D14-I14)/D14)*100</f>
        <v>94.1766174909093</v>
      </c>
      <c r="E55" s="21" t="n">
        <f aca="false">(ABS(E14-J14)/E14)*100</f>
        <v>28.4452938123187</v>
      </c>
      <c r="F55" s="21" t="n">
        <f aca="false">(ABS(F14-K14)/F14)*100</f>
        <v>33.0959770005521</v>
      </c>
      <c r="G55" s="22" t="n">
        <f aca="false">(ABS(G14-L14)/G14)*100</f>
        <v>0.719717306077297</v>
      </c>
      <c r="H55" s="19"/>
      <c r="I55" s="1" t="n">
        <f aca="false">(ABS(C14-M14)/C14)*100</f>
        <v>8.55761870393456</v>
      </c>
      <c r="J55" s="1" t="n">
        <f aca="false">(ABS(D14-N14)/D14)*100</f>
        <v>0</v>
      </c>
      <c r="K55" s="1" t="n">
        <f aca="false">(ABS(E14-O14)/E14)*100</f>
        <v>8.27008446491639</v>
      </c>
      <c r="L55" s="1" t="n">
        <f aca="false">(ABS(F14-P14)/F14)*100</f>
        <v>10.9152180949298</v>
      </c>
      <c r="M55" s="23" t="n">
        <f aca="false">(ABS(G14-Q14)/G14)*100</f>
        <v>0.103859994563578</v>
      </c>
      <c r="N55" s="19"/>
    </row>
    <row r="56" customFormat="false" ht="15" hidden="false" customHeight="false" outlineLevel="0" collapsed="false">
      <c r="A56" s="10"/>
      <c r="B56" s="10" t="n">
        <v>11</v>
      </c>
      <c r="C56" s="20" t="n">
        <f aca="false">(ABS(C15-H15)/C15)*100</f>
        <v>16.640397112236</v>
      </c>
      <c r="D56" s="21" t="n">
        <f aca="false">(ABS(D15-I15)/D15)*100</f>
        <v>96.4770828274749</v>
      </c>
      <c r="E56" s="21" t="n">
        <f aca="false">(ABS(E15-J15)/E15)*100</f>
        <v>22.2654473895758</v>
      </c>
      <c r="F56" s="21" t="n">
        <f aca="false">(ABS(F15-K15)/F15)*100</f>
        <v>44.9163373536455</v>
      </c>
      <c r="G56" s="22" t="n">
        <f aca="false">(ABS(G15-L15)/G15)*100</f>
        <v>0.608261264984412</v>
      </c>
      <c r="H56" s="19"/>
      <c r="I56" s="1" t="n">
        <f aca="false">(ABS(C15-M15)/C15)*100</f>
        <v>4.67161070606007</v>
      </c>
      <c r="J56" s="1" t="n">
        <f aca="false">(ABS(D15-N15)/D15)*100</f>
        <v>2.19959150443489</v>
      </c>
      <c r="K56" s="1" t="n">
        <f aca="false">(ABS(E15-O15)/E15)*100</f>
        <v>7.88819898369326</v>
      </c>
      <c r="L56" s="1" t="n">
        <f aca="false">(ABS(F15-P15)/F15)*100</f>
        <v>16.3065035036947</v>
      </c>
      <c r="M56" s="23" t="n">
        <f aca="false">(ABS(G15-Q15)/G15)*100</f>
        <v>0.0816723850874957</v>
      </c>
      <c r="N56" s="19"/>
    </row>
    <row r="57" customFormat="false" ht="15" hidden="false" customHeight="false" outlineLevel="0" collapsed="false">
      <c r="A57" s="10"/>
      <c r="B57" s="10" t="n">
        <v>12</v>
      </c>
      <c r="C57" s="20" t="n">
        <f aca="false">(ABS(C16-H16)/C16)*100</f>
        <v>23.1543624161074</v>
      </c>
      <c r="D57" s="21" t="n">
        <f aca="false">(ABS(D16-I16)/D16)*100</f>
        <v>89.7549024981092</v>
      </c>
      <c r="E57" s="21" t="n">
        <f aca="false">(ABS(E16-J16)/E16)*100</f>
        <v>34.1423258919834</v>
      </c>
      <c r="F57" s="21" t="n">
        <f aca="false">(ABS(F16-K16)/F16)*100</f>
        <v>10.0600465382459</v>
      </c>
      <c r="G57" s="22" t="n">
        <f aca="false">(ABS(G16-L16)/G16)*100</f>
        <v>0.411386735618845</v>
      </c>
      <c r="H57" s="19"/>
      <c r="I57" s="1" t="n">
        <f aca="false">(ABS(C16-M16)/C16)*100</f>
        <v>13.2985107529516</v>
      </c>
      <c r="J57" s="1" t="n">
        <f aca="false">(ABS(D16-N16)/D16)*100</f>
        <v>2.09966129191376</v>
      </c>
      <c r="K57" s="1" t="n">
        <f aca="false">(ABS(E16-O16)/E16)*100</f>
        <v>10.8861692206731</v>
      </c>
      <c r="L57" s="1" t="n">
        <f aca="false">(ABS(F16-P16)/F16)*100</f>
        <v>7.59863232171233</v>
      </c>
      <c r="M57" s="23" t="n">
        <f aca="false">(ABS(G16-Q16)/G16)*100</f>
        <v>0.108094304760428</v>
      </c>
      <c r="N57" s="19"/>
    </row>
    <row r="58" customFormat="false" ht="15" hidden="false" customHeight="false" outlineLevel="0" collapsed="false">
      <c r="A58" s="10"/>
      <c r="B58" s="10" t="n">
        <v>13</v>
      </c>
      <c r="C58" s="20" t="n">
        <f aca="false">(ABS(C17-H17)/C17)*100</f>
        <v>18.8307646710136</v>
      </c>
      <c r="D58" s="21" t="n">
        <f aca="false">(ABS(D17-I17)/D17)*100</f>
        <v>95.3477667132095</v>
      </c>
      <c r="E58" s="21" t="n">
        <f aca="false">(ABS(E17-J17)/E17)*100</f>
        <v>16.2263977492756</v>
      </c>
      <c r="F58" s="21" t="n">
        <f aca="false">(ABS(F17-K17)/F17)*100</f>
        <v>45.9424006726929</v>
      </c>
      <c r="G58" s="22" t="n">
        <f aca="false">(ABS(G17-L17)/G17)*100</f>
        <v>0.610650047043729</v>
      </c>
      <c r="H58" s="19"/>
      <c r="I58" s="1" t="n">
        <f aca="false">(ABS(C17-M17)/C17)*100</f>
        <v>2.96729895277613</v>
      </c>
      <c r="J58" s="1" t="n">
        <f aca="false">(ABS(D17-N17)/D17)*100</f>
        <v>2.80791125159192</v>
      </c>
      <c r="K58" s="1" t="n">
        <f aca="false">(ABS(E17-O17)/E17)*100</f>
        <v>7.44010740352739</v>
      </c>
      <c r="L58" s="1" t="n">
        <f aca="false">(ABS(F17-P17)/F17)*100</f>
        <v>17.4765608576834</v>
      </c>
      <c r="M58" s="23" t="n">
        <f aca="false">(ABS(G17-Q17)/G17)*100</f>
        <v>0.0812975497122611</v>
      </c>
      <c r="N58" s="19"/>
    </row>
    <row r="59" customFormat="false" ht="15" hidden="false" customHeight="false" outlineLevel="0" collapsed="false">
      <c r="A59" s="10"/>
      <c r="B59" s="10" t="n">
        <v>14</v>
      </c>
      <c r="C59" s="20" t="n">
        <f aca="false">(ABS(C18-H18)/C18)*100</f>
        <v>16.7077853539769</v>
      </c>
      <c r="D59" s="21" t="n">
        <f aca="false">(ABS(D18-I18)/D18)*100</f>
        <v>95.97058844587</v>
      </c>
      <c r="E59" s="21" t="n">
        <f aca="false">(ABS(E18-J18)/E18)*100</f>
        <v>23.1535733076584</v>
      </c>
      <c r="F59" s="21" t="n">
        <f aca="false">(ABS(F18-K18)/F18)*100</f>
        <v>44.4462518639013</v>
      </c>
      <c r="G59" s="22" t="n">
        <f aca="false">(ABS(G18-L18)/G18)*100</f>
        <v>0.629429076523298</v>
      </c>
      <c r="H59" s="19"/>
      <c r="I59" s="1" t="n">
        <f aca="false">(ABS(C18-M18)/C18)*100</f>
        <v>5.41568726486262</v>
      </c>
      <c r="J59" s="1" t="n">
        <f aca="false">(ABS(D18-N18)/D18)*100</f>
        <v>1.49348836210291</v>
      </c>
      <c r="K59" s="1" t="n">
        <f aca="false">(ABS(E18-O18)/E18)*100</f>
        <v>7.77548310432333</v>
      </c>
      <c r="L59" s="1" t="n">
        <f aca="false">(ABS(F18-P18)/F18)*100</f>
        <v>15.0657448827437</v>
      </c>
      <c r="M59" s="23" t="n">
        <f aca="false">(ABS(G18-Q18)/G18)*100</f>
        <v>0.0812831046296249</v>
      </c>
      <c r="N59" s="19"/>
    </row>
    <row r="60" customFormat="false" ht="15" hidden="false" customHeight="false" outlineLevel="0" collapsed="false">
      <c r="A60" s="10"/>
      <c r="B60" s="10" t="n">
        <v>15</v>
      </c>
      <c r="C60" s="20" t="n">
        <f aca="false">(ABS(C19-H19)/C19)*100</f>
        <v>30.6222972055772</v>
      </c>
      <c r="D60" s="21" t="n">
        <f aca="false">(ABS(D19-I19)/D19)*100</f>
        <v>84.8366459313205</v>
      </c>
      <c r="E60" s="21" t="n">
        <f aca="false">(ABS(E19-J19)/E19)*100</f>
        <v>27.0143096104918</v>
      </c>
      <c r="F60" s="21" t="n">
        <f aca="false">(ABS(F19-K19)/F19)*100</f>
        <v>2.13979800562516</v>
      </c>
      <c r="G60" s="22" t="n">
        <f aca="false">(ABS(G19-L19)/G19)*100</f>
        <v>0.522636180726761</v>
      </c>
      <c r="H60" s="19"/>
      <c r="I60" s="1" t="n">
        <f aca="false">(ABS(C19-M19)/C19)*100</f>
        <v>19.3980646537514</v>
      </c>
      <c r="J60" s="1" t="n">
        <f aca="false">(ABS(D19-N19)/D19)*100</f>
        <v>1.51974915288525</v>
      </c>
      <c r="K60" s="1" t="n">
        <f aca="false">(ABS(E19-O19)/E19)*100</f>
        <v>11.4121954990793</v>
      </c>
      <c r="L60" s="1" t="n">
        <f aca="false">(ABS(F19-P19)/F19)*100</f>
        <v>0.764784307995763</v>
      </c>
      <c r="M60" s="23" t="n">
        <f aca="false">(ABS(G19-Q19)/G19)*100</f>
        <v>0.36788862006808</v>
      </c>
      <c r="N60" s="19"/>
    </row>
    <row r="61" customFormat="false" ht="15" hidden="false" customHeight="false" outlineLevel="0" collapsed="false">
      <c r="A61" s="10"/>
      <c r="B61" s="10" t="n">
        <v>16</v>
      </c>
      <c r="C61" s="20" t="n">
        <f aca="false">(ABS(C20-H20)/C20)*100</f>
        <v>14.2464933470556</v>
      </c>
      <c r="D61" s="21" t="n">
        <f aca="false">(ABS(D20-I20)/D20)*100</f>
        <v>95.2545014859274</v>
      </c>
      <c r="E61" s="21" t="n">
        <f aca="false">(ABS(E20-J20)/E20)*100</f>
        <v>24.3332222890142</v>
      </c>
      <c r="F61" s="21" t="n">
        <f aca="false">(ABS(F20-K20)/F20)*100</f>
        <v>41.5814173550549</v>
      </c>
      <c r="G61" s="22" t="n">
        <f aca="false">(ABS(G20-L20)/G20)*100</f>
        <v>0.622454058089401</v>
      </c>
      <c r="H61" s="19"/>
      <c r="I61" s="1" t="n">
        <f aca="false">(ABS(C20-M20)/C20)*100</f>
        <v>5.99788058598438</v>
      </c>
      <c r="J61" s="1" t="n">
        <f aca="false">(ABS(D20-N20)/D20)*100</f>
        <v>1.5034088922557</v>
      </c>
      <c r="K61" s="1" t="n">
        <f aca="false">(ABS(E20-O20)/E20)*100</f>
        <v>9.10588230915111</v>
      </c>
      <c r="L61" s="1" t="n">
        <f aca="false">(ABS(F20-P20)/F20)*100</f>
        <v>15.5264571238587</v>
      </c>
      <c r="M61" s="23" t="n">
        <f aca="false">(ABS(G20-Q20)/G20)*100</f>
        <v>0.0994033096568625</v>
      </c>
      <c r="N61" s="19"/>
    </row>
    <row r="62" customFormat="false" ht="15" hidden="false" customHeight="false" outlineLevel="0" collapsed="false">
      <c r="A62" s="10"/>
      <c r="B62" s="10" t="n">
        <v>17</v>
      </c>
      <c r="C62" s="20" t="n">
        <f aca="false">(ABS(C21-H21)/C21)*100</f>
        <v>4.33462064526511</v>
      </c>
      <c r="D62" s="21" t="n">
        <f aca="false">(ABS(D21-I21)/D21)*100</f>
        <v>95.4043722291986</v>
      </c>
      <c r="E62" s="21" t="n">
        <f aca="false">(ABS(E21-J21)/E21)*100</f>
        <v>49.0849982410811</v>
      </c>
      <c r="F62" s="21" t="n">
        <f aca="false">(ABS(F21-K21)/F21)*100</f>
        <v>29.2461308037943</v>
      </c>
      <c r="G62" s="22" t="n">
        <f aca="false">(ABS(G21-L21)/G21)*100</f>
        <v>0.936430036759593</v>
      </c>
      <c r="H62" s="19"/>
      <c r="I62" s="1" t="n">
        <f aca="false">(ABS(C21-M21)/C21)*100</f>
        <v>19.1165821868211</v>
      </c>
      <c r="J62" s="1" t="n">
        <f aca="false">(ABS(D21-N21)/D21)*100</f>
        <v>1.18359616198478</v>
      </c>
      <c r="K62" s="1" t="n">
        <f aca="false">(ABS(E21-O21)/E21)*100</f>
        <v>18.5149872023485</v>
      </c>
      <c r="L62" s="1" t="n">
        <f aca="false">(ABS(F21-P21)/F21)*100</f>
        <v>10.2470432282611</v>
      </c>
      <c r="M62" s="23" t="n">
        <f aca="false">(ABS(G21-Q21)/G21)*100</f>
        <v>0.333659991187077</v>
      </c>
      <c r="N62" s="19"/>
    </row>
    <row r="63" customFormat="false" ht="15" hidden="false" customHeight="false" outlineLevel="0" collapsed="false">
      <c r="A63" s="10"/>
      <c r="B63" s="10" t="n">
        <v>18</v>
      </c>
      <c r="C63" s="20" t="n">
        <f aca="false">(ABS(C22-H22)/C22)*100</f>
        <v>35.5243861166472</v>
      </c>
      <c r="D63" s="21" t="n">
        <f aca="false">(ABS(D22-I22)/D22)*100</f>
        <v>85.4381772922659</v>
      </c>
      <c r="E63" s="21" t="n">
        <f aca="false">(ABS(E22-J22)/E22)*100</f>
        <v>28.4204746088462</v>
      </c>
      <c r="F63" s="21" t="n">
        <f aca="false">(ABS(F22-K22)/F22)*100</f>
        <v>2.09947700967714</v>
      </c>
      <c r="G63" s="22" t="n">
        <f aca="false">(ABS(G22-L22)/G22)*100</f>
        <v>0.516343699357397</v>
      </c>
      <c r="H63" s="19"/>
      <c r="I63" s="1" t="n">
        <f aca="false">(ABS(C22-M22)/C22)*100</f>
        <v>18.5020494114993</v>
      </c>
      <c r="J63" s="1" t="n">
        <f aca="false">(ABS(D22-N22)/D22)*100</f>
        <v>1.19409316921311</v>
      </c>
      <c r="K63" s="1" t="n">
        <f aca="false">(ABS(E22-O22)/E22)*100</f>
        <v>12.0421603358794</v>
      </c>
      <c r="L63" s="1" t="n">
        <f aca="false">(ABS(F22-P22)/F22)*100</f>
        <v>0.644278465134842</v>
      </c>
      <c r="M63" s="23" t="n">
        <f aca="false">(ABS(G22-Q22)/G22)*100</f>
        <v>0.353787582511911</v>
      </c>
      <c r="N63" s="19"/>
    </row>
    <row r="64" customFormat="false" ht="15" hidden="false" customHeight="false" outlineLevel="0" collapsed="false">
      <c r="A64" s="10"/>
      <c r="B64" s="10" t="n">
        <v>19</v>
      </c>
      <c r="C64" s="20" t="n">
        <f aca="false">(ABS(C23-H23)/C23)*100</f>
        <v>27.4146131599704</v>
      </c>
      <c r="D64" s="21" t="n">
        <f aca="false">(ABS(D23-I23)/D23)*100</f>
        <v>86.3719384477896</v>
      </c>
      <c r="E64" s="21" t="n">
        <f aca="false">(ABS(E23-J23)/E23)*100</f>
        <v>32.6802601058663</v>
      </c>
      <c r="F64" s="21" t="n">
        <f aca="false">(ABS(F23-K23)/F23)*100</f>
        <v>11.1081005409995</v>
      </c>
      <c r="G64" s="22" t="n">
        <f aca="false">(ABS(G23-L23)/G23)*100</f>
        <v>0.820873710811481</v>
      </c>
      <c r="H64" s="19"/>
      <c r="I64" s="1" t="n">
        <f aca="false">(ABS(C23-M23)/C23)*100</f>
        <v>15.389150473641</v>
      </c>
      <c r="J64" s="1" t="n">
        <f aca="false">(ABS(D23-N23)/D23)*100</f>
        <v>1.13888345854163</v>
      </c>
      <c r="K64" s="1" t="n">
        <f aca="false">(ABS(E23-O23)/E23)*100</f>
        <v>9.11807854721358</v>
      </c>
      <c r="L64" s="1" t="n">
        <f aca="false">(ABS(F23-P23)/F23)*100</f>
        <v>3.72588157019295</v>
      </c>
      <c r="M64" s="23" t="n">
        <f aca="false">(ABS(G23-Q23)/G23)*100</f>
        <v>0.232162032908424</v>
      </c>
      <c r="N64" s="19"/>
    </row>
    <row r="65" customFormat="false" ht="15" hidden="false" customHeight="false" outlineLevel="0" collapsed="false">
      <c r="A65" s="10"/>
      <c r="B65" s="10" t="n">
        <v>20</v>
      </c>
      <c r="C65" s="20" t="n">
        <f aca="false">(ABS(C24-H24)/C24)*100</f>
        <v>28.2338157552648</v>
      </c>
      <c r="D65" s="21" t="n">
        <f aca="false">(ABS(D24-I24)/D24)*100</f>
        <v>88.1830787539988</v>
      </c>
      <c r="E65" s="21" t="n">
        <f aca="false">(ABS(E24-J24)/E24)*100</f>
        <v>34.1732621909965</v>
      </c>
      <c r="F65" s="21" t="n">
        <f aca="false">(ABS(F24-K24)/F24)*100</f>
        <v>7.99821839507089</v>
      </c>
      <c r="G65" s="22" t="n">
        <f aca="false">(ABS(G24-L24)/G24)*100</f>
        <v>0.872813054146563</v>
      </c>
      <c r="H65" s="19"/>
      <c r="I65" s="1" t="n">
        <f aca="false">(ABS(C24-M24)/C24)*100</f>
        <v>15.6434699714013</v>
      </c>
      <c r="J65" s="1" t="n">
        <f aca="false">(ABS(D24-N24)/D24)*100</f>
        <v>1.20374717487908</v>
      </c>
      <c r="K65" s="1" t="n">
        <f aca="false">(ABS(E24-O24)/E24)*100</f>
        <v>9.04703407031629</v>
      </c>
      <c r="L65" s="1" t="n">
        <f aca="false">(ABS(F24-P24)/F24)*100</f>
        <v>3.32892881003637</v>
      </c>
      <c r="M65" s="23" t="n">
        <f aca="false">(ABS(G24-Q24)/G24)*100</f>
        <v>0.226845694667821</v>
      </c>
      <c r="N65" s="19"/>
    </row>
    <row r="66" customFormat="false" ht="15" hidden="false" customHeight="false" outlineLevel="0" collapsed="false">
      <c r="A66" s="10"/>
      <c r="B66" s="10" t="n">
        <v>21</v>
      </c>
      <c r="C66" s="20" t="n">
        <f aca="false">(ABS(C25-H25)/C25)*100</f>
        <v>19.3608061162811</v>
      </c>
      <c r="D66" s="21" t="n">
        <f aca="false">(ABS(D25-I25)/D25)*100</f>
        <v>93.5904233624276</v>
      </c>
      <c r="E66" s="21" t="n">
        <f aca="false">(ABS(E25-J25)/E25)*100</f>
        <v>25.079121134042</v>
      </c>
      <c r="F66" s="21" t="n">
        <f aca="false">(ABS(F25-K25)/F25)*100</f>
        <v>41.5029697957934</v>
      </c>
      <c r="G66" s="22" t="n">
        <f aca="false">(ABS(G25-L25)/G25)*100</f>
        <v>0.95531842565646</v>
      </c>
      <c r="H66" s="19"/>
      <c r="I66" s="1" t="n">
        <f aca="false">(ABS(C25-M25)/C25)*100</f>
        <v>6.74896545310829</v>
      </c>
      <c r="J66" s="1" t="n">
        <f aca="false">(ABS(D25-N25)/D25)*100</f>
        <v>0.823884493025532</v>
      </c>
      <c r="K66" s="1" t="n">
        <f aca="false">(ABS(E25-O25)/E25)*100</f>
        <v>9.81122774459201</v>
      </c>
      <c r="L66" s="1" t="n">
        <f aca="false">(ABS(F25-P25)/F25)*100</f>
        <v>12.7038975258569</v>
      </c>
      <c r="M66" s="23" t="n">
        <f aca="false">(ABS(G25-Q25)/G25)*100</f>
        <v>0.141117163727417</v>
      </c>
      <c r="N66" s="19"/>
    </row>
    <row r="67" customFormat="false" ht="15" hidden="false" customHeight="false" outlineLevel="0" collapsed="false">
      <c r="A67" s="10"/>
      <c r="B67" s="10" t="n">
        <v>22</v>
      </c>
      <c r="C67" s="20" t="n">
        <f aca="false">(ABS(C26-H26)/C26)*100</f>
        <v>20.9500350203433</v>
      </c>
      <c r="D67" s="21" t="n">
        <f aca="false">(ABS(D26-I26)/D26)*100</f>
        <v>87.7385159010601</v>
      </c>
      <c r="E67" s="21" t="n">
        <f aca="false">(ABS(E26-J26)/E26)*100</f>
        <v>34.4654206853638</v>
      </c>
      <c r="F67" s="21" t="n">
        <f aca="false">(ABS(F26-K26)/F26)*100</f>
        <v>6.03774779545507</v>
      </c>
      <c r="G67" s="22" t="n">
        <f aca="false">(ABS(G26-L26)/G26)*100</f>
        <v>0.860920856957341</v>
      </c>
      <c r="H67" s="19"/>
      <c r="I67" s="1" t="n">
        <f aca="false">(ABS(C26-M26)/C26)*100</f>
        <v>15.864608991965</v>
      </c>
      <c r="J67" s="1" t="n">
        <f aca="false">(ABS(D26-N26)/D26)*100</f>
        <v>1.03595266139436</v>
      </c>
      <c r="K67" s="1" t="n">
        <f aca="false">(ABS(E26-O26)/E26)*100</f>
        <v>11.040768478599</v>
      </c>
      <c r="L67" s="1" t="n">
        <f aca="false">(ABS(F26-P26)/F26)*100</f>
        <v>4.44736720926485</v>
      </c>
      <c r="M67" s="23" t="n">
        <f aca="false">(ABS(G26-Q26)/G26)*100</f>
        <v>0.192697785103301</v>
      </c>
      <c r="N67" s="19"/>
    </row>
    <row r="68" customFormat="false" ht="15" hidden="false" customHeight="false" outlineLevel="0" collapsed="false">
      <c r="A68" s="10"/>
      <c r="B68" s="10" t="n">
        <v>23</v>
      </c>
      <c r="C68" s="20" t="n">
        <f aca="false">(ABS(C27-H27)/C27)*100</f>
        <v>12.6249221796258</v>
      </c>
      <c r="D68" s="21" t="n">
        <f aca="false">(ABS(D27-I27)/D27)*100</f>
        <v>87.7061150647907</v>
      </c>
      <c r="E68" s="21" t="n">
        <f aca="false">(ABS(E27-J27)/E27)*100</f>
        <v>36.5734460485298</v>
      </c>
      <c r="F68" s="21" t="n">
        <f aca="false">(ABS(F27-K27)/F27)*100</f>
        <v>0.134733173499976</v>
      </c>
      <c r="G68" s="22" t="n">
        <f aca="false">(ABS(G27-L27)/G27)*100</f>
        <v>0.76278637636375</v>
      </c>
      <c r="H68" s="19"/>
      <c r="I68" s="1" t="n">
        <f aca="false">(ABS(C27-M27)/C27)*100</f>
        <v>16.7051672728464</v>
      </c>
      <c r="J68" s="1" t="n">
        <f aca="false">(ABS(D27-N27)/D27)*100</f>
        <v>1.64892051832558</v>
      </c>
      <c r="K68" s="1" t="n">
        <f aca="false">(ABS(E27-O27)/E27)*100</f>
        <v>11.8689341466555</v>
      </c>
      <c r="L68" s="1" t="n">
        <f aca="false">(ABS(F27-P27)/F27)*100</f>
        <v>4.90982686642951</v>
      </c>
      <c r="M68" s="23" t="n">
        <f aca="false">(ABS(G27-Q27)/G27)*100</f>
        <v>0.167733129881034</v>
      </c>
      <c r="N68" s="19"/>
    </row>
    <row r="69" customFormat="false" ht="15" hidden="false" customHeight="false" outlineLevel="0" collapsed="false">
      <c r="A69" s="10"/>
      <c r="B69" s="10" t="n">
        <v>24</v>
      </c>
      <c r="C69" s="20" t="n">
        <f aca="false">(ABS(C28-H28)/C28)*100</f>
        <v>21.95521792894</v>
      </c>
      <c r="D69" s="21" t="n">
        <f aca="false">(ABS(D28-I28)/D28)*100</f>
        <v>93.0837780459318</v>
      </c>
      <c r="E69" s="21" t="n">
        <f aca="false">(ABS(E28-J28)/E28)*100</f>
        <v>28.8900562152362</v>
      </c>
      <c r="F69" s="21" t="n">
        <f aca="false">(ABS(F28-K28)/F28)*100</f>
        <v>38.7124443180741</v>
      </c>
      <c r="G69" s="22" t="n">
        <f aca="false">(ABS(G28-L28)/G28)*100</f>
        <v>1.15653488418148</v>
      </c>
      <c r="H69" s="19"/>
      <c r="I69" s="1" t="n">
        <f aca="false">(ABS(C28-M28)/C28)*100</f>
        <v>9.12639113219935</v>
      </c>
      <c r="J69" s="1" t="n">
        <f aca="false">(ABS(D28-N28)/D28)*100</f>
        <v>0.154869683614142</v>
      </c>
      <c r="K69" s="1" t="n">
        <f aca="false">(ABS(E28-O28)/E28)*100</f>
        <v>10.0359235269448</v>
      </c>
      <c r="L69" s="1" t="n">
        <f aca="false">(ABS(F28-P28)/F28)*100</f>
        <v>9.39579186806938</v>
      </c>
      <c r="M69" s="23" t="n">
        <f aca="false">(ABS(G28-Q28)/G28)*100</f>
        <v>0.169519496722491</v>
      </c>
      <c r="N69" s="19"/>
    </row>
    <row r="70" customFormat="false" ht="15" hidden="false" customHeight="false" outlineLevel="0" collapsed="false">
      <c r="A70" s="10"/>
      <c r="B70" s="10" t="n">
        <v>25</v>
      </c>
      <c r="C70" s="20" t="n">
        <f aca="false">(ABS(C29-H29)/C29)*100</f>
        <v>27.626956013592</v>
      </c>
      <c r="D70" s="21" t="n">
        <f aca="false">(ABS(D29-I29)/D29)*100</f>
        <v>83.934317652131</v>
      </c>
      <c r="E70" s="21" t="n">
        <f aca="false">(ABS(E29-J29)/E29)*100</f>
        <v>32.8488859690811</v>
      </c>
      <c r="F70" s="21" t="n">
        <f aca="false">(ABS(F29-K29)/F29)*100</f>
        <v>7.42412964160637</v>
      </c>
      <c r="G70" s="22" t="n">
        <f aca="false">(ABS(G29-L29)/G29)*100</f>
        <v>1.03967746740797</v>
      </c>
      <c r="H70" s="19"/>
      <c r="I70" s="1" t="n">
        <f aca="false">(ABS(C29-M29)/C29)*100</f>
        <v>24.0399391101716</v>
      </c>
      <c r="J70" s="1" t="n">
        <f aca="false">(ABS(D29-N29)/D29)*100</f>
        <v>0.352405291078023</v>
      </c>
      <c r="K70" s="1" t="n">
        <f aca="false">(ABS(E29-O29)/E29)*100</f>
        <v>19.5940845936653</v>
      </c>
      <c r="L70" s="1" t="n">
        <f aca="false">(ABS(F29-P29)/F29)*100</f>
        <v>1.23857521141198</v>
      </c>
      <c r="M70" s="23" t="n">
        <f aca="false">(ABS(G29-Q29)/G29)*100</f>
        <v>0.58429399544136</v>
      </c>
      <c r="N70" s="19"/>
    </row>
    <row r="71" customFormat="false" ht="15" hidden="false" customHeight="false" outlineLevel="0" collapsed="false">
      <c r="A71" s="10"/>
      <c r="B71" s="10" t="n">
        <v>26</v>
      </c>
      <c r="C71" s="20" t="n">
        <f aca="false">(ABS(C30-H30)/C30)*100</f>
        <v>34.9645377920921</v>
      </c>
      <c r="D71" s="21" t="n">
        <f aca="false">(ABS(D30-I30)/D30)*100</f>
        <v>85.2570708178031</v>
      </c>
      <c r="E71" s="21" t="n">
        <f aca="false">(ABS(E30-J30)/E30)*100</f>
        <v>31.7262982423467</v>
      </c>
      <c r="F71" s="21" t="n">
        <f aca="false">(ABS(F30-K30)/F30)*100</f>
        <v>5.98474503424751</v>
      </c>
      <c r="G71" s="22" t="n">
        <f aca="false">(ABS(G30-L30)/G30)*100</f>
        <v>1.05097395036343</v>
      </c>
      <c r="H71" s="19"/>
      <c r="I71" s="1" t="n">
        <f aca="false">(ABS(C30-M30)/C30)*100</f>
        <v>17.3336531213596</v>
      </c>
      <c r="J71" s="1" t="n">
        <f aca="false">(ABS(D30-N30)/D30)*100</f>
        <v>0.934553825915369</v>
      </c>
      <c r="K71" s="1" t="n">
        <f aca="false">(ABS(E30-O30)/E30)*100</f>
        <v>11.0505924485328</v>
      </c>
      <c r="L71" s="1" t="n">
        <f aca="false">(ABS(F30-P30)/F30)*100</f>
        <v>2.26512303532471</v>
      </c>
      <c r="M71" s="23" t="n">
        <f aca="false">(ABS(G30-Q30)/G30)*100</f>
        <v>0.299093046863463</v>
      </c>
      <c r="N71" s="19"/>
    </row>
    <row r="72" customFormat="false" ht="15" hidden="false" customHeight="false" outlineLevel="0" collapsed="false">
      <c r="A72" s="10"/>
      <c r="B72" s="10" t="n">
        <v>27</v>
      </c>
      <c r="C72" s="20" t="n">
        <f aca="false">(ABS(C31-H31)/C31)*100</f>
        <v>18.8232384912745</v>
      </c>
      <c r="D72" s="21" t="n">
        <f aca="false">(ABS(D31-I31)/D31)*100</f>
        <v>88.3704744696513</v>
      </c>
      <c r="E72" s="21" t="n">
        <f aca="false">(ABS(E31-J31)/E31)*100</f>
        <v>42.9309493288051</v>
      </c>
      <c r="F72" s="21" t="n">
        <f aca="false">(ABS(F31-K31)/F31)*100</f>
        <v>28.6449379766981</v>
      </c>
      <c r="G72" s="22" t="n">
        <f aca="false">(ABS(G31-L31)/G31)*100</f>
        <v>1.26796542802811</v>
      </c>
      <c r="H72" s="19"/>
      <c r="I72" s="1" t="n">
        <f aca="false">(ABS(C31-M31)/C31)*100</f>
        <v>23.1350363858413</v>
      </c>
      <c r="J72" s="1" t="n">
        <f aca="false">(ABS(D31-N31)/D31)*100</f>
        <v>0.352673492605233</v>
      </c>
      <c r="K72" s="1" t="n">
        <f aca="false">(ABS(E31-O31)/E31)*100</f>
        <v>22.5886648797731</v>
      </c>
      <c r="L72" s="1" t="n">
        <f aca="false">(ABS(F31-P31)/F31)*100</f>
        <v>4.59021716127798</v>
      </c>
      <c r="M72" s="23" t="n">
        <f aca="false">(ABS(G31-Q31)/G31)*100</f>
        <v>0.661405241293756</v>
      </c>
      <c r="N72" s="19"/>
    </row>
    <row r="73" customFormat="false" ht="15" hidden="false" customHeight="false" outlineLevel="0" collapsed="false">
      <c r="A73" s="10"/>
      <c r="B73" s="10" t="n">
        <v>28</v>
      </c>
      <c r="C73" s="20" t="n">
        <f aca="false">(ABS(C32-H32)/C32)*100</f>
        <v>16.2016445524201</v>
      </c>
      <c r="D73" s="21" t="n">
        <f aca="false">(ABS(D32-I32)/D32)*100</f>
        <v>84.1934006771383</v>
      </c>
      <c r="E73" s="21" t="n">
        <f aca="false">(ABS(E32-J32)/E32)*100</f>
        <v>4.58928592634817</v>
      </c>
      <c r="F73" s="21" t="n">
        <f aca="false">(ABS(F32-K32)/F32)*100</f>
        <v>13.9029553820294</v>
      </c>
      <c r="G73" s="22" t="n">
        <f aca="false">(ABS(G32-L32)/G32)*100</f>
        <v>1.0640518886506</v>
      </c>
      <c r="H73" s="19"/>
      <c r="I73" s="1" t="n">
        <f aca="false">(ABS(C32-M32)/C32)*100</f>
        <v>30.5344795365352</v>
      </c>
      <c r="J73" s="1" t="n">
        <f aca="false">(ABS(D32-N32)/D32)*100</f>
        <v>2.08344896486652</v>
      </c>
      <c r="K73" s="1" t="n">
        <f aca="false">(ABS(E32-O32)/E32)*100</f>
        <v>25.5661643331315</v>
      </c>
      <c r="L73" s="1" t="n">
        <f aca="false">(ABS(F32-P32)/F32)*100</f>
        <v>3.66373043398086</v>
      </c>
      <c r="M73" s="23" t="n">
        <f aca="false">(ABS(G32-Q32)/G32)*100</f>
        <v>0.89508433054945</v>
      </c>
      <c r="N73" s="19"/>
    </row>
    <row r="74" customFormat="false" ht="15" hidden="false" customHeight="false" outlineLevel="0" collapsed="false">
      <c r="A74" s="10"/>
      <c r="B74" s="10" t="n">
        <v>29</v>
      </c>
      <c r="C74" s="20" t="n">
        <f aca="false">(ABS(C33-H33)/C33)*100</f>
        <v>14.1496084576119</v>
      </c>
      <c r="D74" s="21" t="n">
        <f aca="false">(ABS(D33-I33)/D33)*100</f>
        <v>84.0248833978367</v>
      </c>
      <c r="E74" s="21" t="n">
        <f aca="false">(ABS(E33-J33)/E33)*100</f>
        <v>33.4356599899373</v>
      </c>
      <c r="F74" s="21" t="n">
        <f aca="false">(ABS(F33-K33)/F33)*100</f>
        <v>4.46301024910865</v>
      </c>
      <c r="G74" s="22" t="n">
        <f aca="false">(ABS(G33-L33)/G33)*100</f>
        <v>1.19280966708913</v>
      </c>
      <c r="H74" s="19"/>
      <c r="I74" s="1" t="n">
        <f aca="false">(ABS(C33-M33)/C33)*100</f>
        <v>27.0456885885953</v>
      </c>
      <c r="J74" s="1" t="n">
        <f aca="false">(ABS(D33-N33)/D33)*100</f>
        <v>0.303909893817604</v>
      </c>
      <c r="K74" s="1" t="n">
        <f aca="false">(ABS(E33-O33)/E33)*100</f>
        <v>21.1262051428494</v>
      </c>
      <c r="L74" s="1" t="n">
        <f aca="false">(ABS(F33-P33)/F33)*100</f>
        <v>1.3510937481614</v>
      </c>
      <c r="M74" s="23" t="n">
        <f aca="false">(ABS(G33-Q33)/G33)*100</f>
        <v>0.625864687841642</v>
      </c>
      <c r="N74" s="19"/>
    </row>
    <row r="75" customFormat="false" ht="15" hidden="false" customHeight="false" outlineLevel="0" collapsed="false">
      <c r="A75" s="10"/>
      <c r="B75" s="10" t="n">
        <v>30</v>
      </c>
      <c r="C75" s="20" t="n">
        <f aca="false">(ABS(C34-H34)/C34)*100</f>
        <v>21.8582620628956</v>
      </c>
      <c r="D75" s="21" t="n">
        <f aca="false">(ABS(D34-I34)/D34)*100</f>
        <v>94.5985044377664</v>
      </c>
      <c r="E75" s="21" t="n">
        <f aca="false">(ABS(E34-J34)/E34)*100</f>
        <v>20.5299597713318</v>
      </c>
      <c r="F75" s="21" t="n">
        <f aca="false">(ABS(F34-K34)/F34)*100</f>
        <v>44.8719496311921</v>
      </c>
      <c r="G75" s="22" t="n">
        <f aca="false">(ABS(G34-L34)/G34)*100</f>
        <v>1.11837354169968</v>
      </c>
      <c r="H75" s="19"/>
      <c r="I75" s="1" t="n">
        <f aca="false">(ABS(C34-M34)/C34)*100</f>
        <v>5.37380065894997</v>
      </c>
      <c r="J75" s="1" t="n">
        <f aca="false">(ABS(D34-N34)/D34)*100</f>
        <v>1.36906841847788</v>
      </c>
      <c r="K75" s="1" t="n">
        <f aca="false">(ABS(E34-O34)/E34)*100</f>
        <v>9.33326275672242</v>
      </c>
      <c r="L75" s="1" t="n">
        <f aca="false">(ABS(F34-P34)/F34)*100</f>
        <v>11.7529336272784</v>
      </c>
      <c r="M75" s="23" t="n">
        <f aca="false">(ABS(G34-Q34)/G34)*100</f>
        <v>0.168850121333923</v>
      </c>
      <c r="N75" s="19"/>
    </row>
    <row r="76" customFormat="false" ht="15" hidden="false" customHeight="false" outlineLevel="0" collapsed="false">
      <c r="A76" s="10"/>
      <c r="B76" s="24" t="n">
        <v>31</v>
      </c>
      <c r="C76" s="20" t="n">
        <f aca="false">(ABS(C35-H35)/C35)*100</f>
        <v>18.4400547525461</v>
      </c>
      <c r="D76" s="21" t="n">
        <f aca="false">(ABS(D35-I35)/D35)*100</f>
        <v>85.6461130590952</v>
      </c>
      <c r="E76" s="21" t="n">
        <f aca="false">(ABS(E35-J35)/E35)*100</f>
        <v>47.9005642619162</v>
      </c>
      <c r="F76" s="21" t="n">
        <f aca="false">(ABS(F35-K35)/F35)*100</f>
        <v>22.5564644305086</v>
      </c>
      <c r="G76" s="22" t="n">
        <f aca="false">(ABS(G35-L35)/G35)*100</f>
        <v>0.245533372587948</v>
      </c>
      <c r="H76" s="19"/>
      <c r="I76" s="1" t="n">
        <f aca="false">(ABS(C35-M35)/C35)*100</f>
        <v>25.9810877673268</v>
      </c>
      <c r="J76" s="1" t="n">
        <f aca="false">(ABS(D35-N35)/D35)*100</f>
        <v>1.06901565038912</v>
      </c>
      <c r="K76" s="1" t="n">
        <f aca="false">(ABS(E35-O35)/E35)*100</f>
        <v>25.2796069237069</v>
      </c>
      <c r="L76" s="1" t="n">
        <f aca="false">(ABS(F35-P35)/F35)*100</f>
        <v>4.21355597221022</v>
      </c>
      <c r="M76" s="23" t="n">
        <f aca="false">(ABS(G35-Q35)/G35)*100</f>
        <v>0.698093402131999</v>
      </c>
      <c r="N76" s="19"/>
    </row>
    <row r="77" customFormat="false" ht="15" hidden="false" customHeight="false" outlineLevel="0" collapsed="false">
      <c r="A77" s="10"/>
      <c r="B77" s="10" t="n">
        <v>32</v>
      </c>
      <c r="C77" s="20" t="n">
        <f aca="false">(ABS(C36-H36)/C36)*100</f>
        <v>36.7029754482166</v>
      </c>
      <c r="D77" s="21" t="n">
        <f aca="false">(ABS(D36-I36)/D36)*100</f>
        <v>89.8952237115348</v>
      </c>
      <c r="E77" s="21" t="n">
        <f aca="false">(ABS(E36-J36)/E36)*100</f>
        <v>20.3675826681045</v>
      </c>
      <c r="F77" s="21" t="n">
        <f aca="false">(ABS(F36-K36)/F36)*100</f>
        <v>0.801580029002785</v>
      </c>
      <c r="G77" s="22" t="n">
        <f aca="false">(ABS(G36-L36)/G36)*100</f>
        <v>0.929136517635041</v>
      </c>
      <c r="H77" s="25" t="s">
        <v>15</v>
      </c>
      <c r="I77" s="1" t="n">
        <f aca="false">(ABS(C36-M36)/C36)*100</f>
        <v>22.9141719863574</v>
      </c>
      <c r="J77" s="1" t="n">
        <f aca="false">(ABS(D36-N36)/D36)*100</f>
        <v>0.490843873890882</v>
      </c>
      <c r="K77" s="1" t="n">
        <f aca="false">(ABS(E36-O36)/E36)*100</f>
        <v>14.7691661902108</v>
      </c>
      <c r="L77" s="1" t="n">
        <f aca="false">(ABS(F36-P36)/F36)*100</f>
        <v>1.27487700506214</v>
      </c>
      <c r="M77" s="23" t="n">
        <f aca="false">(ABS(G36-Q36)/G36)*100</f>
        <v>0.625715573867411</v>
      </c>
      <c r="N77" s="25" t="s">
        <v>15</v>
      </c>
    </row>
    <row r="78" customFormat="false" ht="15" hidden="false" customHeight="false" outlineLevel="0" collapsed="false">
      <c r="A78" s="10"/>
      <c r="B78" s="10" t="s">
        <v>12</v>
      </c>
      <c r="C78" s="26" t="n">
        <f aca="false">(ABS(SUM(C4:C36)-SUM(H4:H36))/SUM(C4:C36))*100</f>
        <v>20.0526045637193</v>
      </c>
      <c r="D78" s="26" t="n">
        <f aca="false">(ABS(SUM(D4:D36)-SUM(I4:I36))/SUM(D4:D36))*100</f>
        <v>87.1389111617969</v>
      </c>
      <c r="E78" s="26" t="n">
        <f aca="false">(ABS(SUM(E4:E36)-SUM(J4:J36))/SUM(E4:E36))*100</f>
        <v>26.6006282216326</v>
      </c>
      <c r="F78" s="26" t="n">
        <f aca="false">(ABS(SUM(F4:F36)-SUM(K4:K36))/SUM(F4:F36))*100</f>
        <v>7.71246115862392</v>
      </c>
      <c r="G78" s="26" t="n">
        <f aca="false">(ABS(SUM(G4:G36)-SUM(L4:L36))/SUM(G4:G36))*100</f>
        <v>0.777016792025961</v>
      </c>
      <c r="H78" s="27" t="n">
        <f aca="false">SUM(C45:G77)/COUNT(C45:G77)</f>
        <v>31.2290808601785</v>
      </c>
      <c r="I78" s="28" t="n">
        <f aca="false">(ABS(SUM(C4:C36)-SUM(M4:M36))/SUM(C4:C36))*100</f>
        <v>11.6729283915821</v>
      </c>
      <c r="J78" s="28" t="n">
        <f aca="false">(ABS(SUM(D4:D36)-SUM(N4:N36))/SUM(D4:D36))*100</f>
        <v>0.365221603859662</v>
      </c>
      <c r="K78" s="28" t="n">
        <f aca="false">(ABS(SUM(E4:E36)-SUM(O4:O36))/SUM(E4:E36))*100</f>
        <v>10.749742816888</v>
      </c>
      <c r="L78" s="28" t="n">
        <f aca="false">(ABS(SUM(F4:F36)-SUM(P4:P36))/SUM(F4:F36))*100</f>
        <v>3.6679404087867</v>
      </c>
      <c r="M78" s="28" t="n">
        <f aca="false">(ABS(SUM(G4:G36)-SUM(Q4:Q36))/SUM(G4:G36))*100</f>
        <v>0.272499433006611</v>
      </c>
      <c r="N78" s="27" t="n">
        <f aca="false">SUM(I45:M77)/COUNT(I45:M77)</f>
        <v>6.84932125097697</v>
      </c>
    </row>
  </sheetData>
  <mergeCells count="10">
    <mergeCell ref="B1:B3"/>
    <mergeCell ref="C1:G2"/>
    <mergeCell ref="H2:L2"/>
    <mergeCell ref="M2:Q2"/>
    <mergeCell ref="A3:A37"/>
    <mergeCell ref="B42:B44"/>
    <mergeCell ref="C42:N42"/>
    <mergeCell ref="C43:H43"/>
    <mergeCell ref="I43:N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H44" activeCellId="1" sqref="I44:M44 H44"/>
    </sheetView>
  </sheetViews>
  <sheetFormatPr defaultColWidth="8.6796875" defaultRowHeight="15" zeroHeight="false" outlineLevelRow="0" outlineLevelCol="0"/>
  <cols>
    <col collapsed="false" customWidth="true" hidden="false" outlineLevel="0" max="7" min="7" style="1" width="10.57"/>
    <col collapsed="false" customWidth="true" hidden="false" outlineLevel="0" max="12" min="12" style="1" width="10.01"/>
  </cols>
  <sheetData>
    <row r="1" customFormat="false" ht="15" hidden="false" customHeight="false" outlineLevel="0" collapsed="false">
      <c r="B1" s="2" t="s">
        <v>0</v>
      </c>
      <c r="C1" s="2" t="s">
        <v>1</v>
      </c>
      <c r="D1" s="2"/>
      <c r="E1" s="2"/>
      <c r="F1" s="2"/>
      <c r="P1" s="3" t="s">
        <v>2</v>
      </c>
    </row>
    <row r="2" customFormat="false" ht="15" hidden="false" customHeight="false" outlineLevel="0" collapsed="false">
      <c r="B2" s="2"/>
      <c r="C2" s="2"/>
      <c r="D2" s="2"/>
      <c r="E2" s="2"/>
      <c r="F2" s="2"/>
      <c r="G2" s="4" t="s">
        <v>3</v>
      </c>
      <c r="H2" s="4"/>
      <c r="I2" s="4"/>
      <c r="J2" s="4"/>
      <c r="K2" s="2" t="s">
        <v>4</v>
      </c>
      <c r="L2" s="2"/>
      <c r="M2" s="2"/>
      <c r="N2" s="2"/>
      <c r="P2" s="3" t="s">
        <v>5</v>
      </c>
    </row>
    <row r="3" customFormat="false" ht="15" hidden="false" customHeight="false" outlineLevel="0" collapsed="false">
      <c r="A3" s="2" t="s">
        <v>16</v>
      </c>
      <c r="B3" s="2"/>
      <c r="C3" s="29" t="s">
        <v>17</v>
      </c>
      <c r="D3" s="30" t="s">
        <v>18</v>
      </c>
      <c r="E3" s="31" t="s">
        <v>19</v>
      </c>
      <c r="F3" s="9" t="s">
        <v>11</v>
      </c>
      <c r="G3" s="29" t="s">
        <v>17</v>
      </c>
      <c r="H3" s="30" t="s">
        <v>18</v>
      </c>
      <c r="I3" s="31" t="s">
        <v>19</v>
      </c>
      <c r="J3" s="9" t="s">
        <v>11</v>
      </c>
      <c r="K3" s="29" t="s">
        <v>17</v>
      </c>
      <c r="L3" s="30" t="s">
        <v>18</v>
      </c>
      <c r="M3" s="31" t="s">
        <v>19</v>
      </c>
      <c r="N3" s="9" t="s">
        <v>11</v>
      </c>
    </row>
    <row r="4" customFormat="false" ht="15" hidden="false" customHeight="false" outlineLevel="0" collapsed="false">
      <c r="A4" s="2"/>
      <c r="B4" s="1" t="n">
        <v>0</v>
      </c>
      <c r="C4" s="1" t="n">
        <v>486402</v>
      </c>
      <c r="D4" s="1" t="n">
        <v>116686</v>
      </c>
      <c r="E4" s="1" t="n">
        <v>480608</v>
      </c>
      <c r="F4" s="1" t="n">
        <v>3032416</v>
      </c>
      <c r="G4" s="1" t="n">
        <v>486402</v>
      </c>
      <c r="H4" s="1" t="n">
        <v>116686</v>
      </c>
      <c r="I4" s="1" t="n">
        <v>480608</v>
      </c>
      <c r="J4" s="1" t="n">
        <v>3032416</v>
      </c>
      <c r="K4" s="1" t="n">
        <v>486402</v>
      </c>
      <c r="L4" s="1" t="n">
        <v>116686</v>
      </c>
      <c r="M4" s="1" t="n">
        <v>480608</v>
      </c>
      <c r="N4" s="1" t="n">
        <v>3032416</v>
      </c>
    </row>
    <row r="5" customFormat="false" ht="15" hidden="false" customHeight="false" outlineLevel="0" collapsed="false">
      <c r="A5" s="2"/>
      <c r="B5" s="1" t="n">
        <v>1</v>
      </c>
      <c r="C5" s="1" t="n">
        <v>222506</v>
      </c>
      <c r="D5" s="1" t="n">
        <v>144932</v>
      </c>
      <c r="E5" s="1" t="n">
        <v>643367</v>
      </c>
      <c r="F5" s="1" t="n">
        <v>3105307</v>
      </c>
      <c r="G5" s="1" t="n">
        <v>199933</v>
      </c>
      <c r="H5" s="1" t="n">
        <v>88739</v>
      </c>
      <c r="I5" s="1" t="n">
        <v>713527</v>
      </c>
      <c r="J5" s="1" t="n">
        <v>3113913</v>
      </c>
      <c r="K5" s="1" t="n">
        <v>181471</v>
      </c>
      <c r="L5" s="1" t="n">
        <v>210812</v>
      </c>
      <c r="M5" s="1" t="n">
        <v>623947</v>
      </c>
      <c r="N5" s="1" t="n">
        <v>3099882</v>
      </c>
    </row>
    <row r="6" customFormat="false" ht="15" hidden="false" customHeight="false" outlineLevel="0" collapsed="false">
      <c r="A6" s="2"/>
      <c r="B6" s="1" t="n">
        <v>2</v>
      </c>
      <c r="C6" s="1" t="n">
        <v>206274</v>
      </c>
      <c r="D6" s="1" t="n">
        <v>149824</v>
      </c>
      <c r="E6" s="1" t="n">
        <v>667319</v>
      </c>
      <c r="F6" s="1" t="n">
        <v>3092695</v>
      </c>
      <c r="G6" s="1" t="n">
        <v>174628</v>
      </c>
      <c r="H6" s="1" t="n">
        <v>94239</v>
      </c>
      <c r="I6" s="1" t="n">
        <v>747537</v>
      </c>
      <c r="J6" s="1" t="n">
        <v>3099708</v>
      </c>
      <c r="K6" s="1" t="n">
        <v>167206</v>
      </c>
      <c r="L6" s="1" t="n">
        <v>211740</v>
      </c>
      <c r="M6" s="1" t="n">
        <v>648923</v>
      </c>
      <c r="N6" s="1" t="n">
        <v>3088243</v>
      </c>
    </row>
    <row r="7" customFormat="false" ht="15" hidden="false" customHeight="false" outlineLevel="0" collapsed="false">
      <c r="A7" s="2"/>
      <c r="B7" s="1" t="n">
        <v>3</v>
      </c>
      <c r="C7" s="1" t="n">
        <v>134774</v>
      </c>
      <c r="D7" s="1" t="n">
        <v>144885</v>
      </c>
      <c r="E7" s="1" t="n">
        <v>666634</v>
      </c>
      <c r="F7" s="1" t="n">
        <v>3169819</v>
      </c>
      <c r="G7" s="1" t="n">
        <v>113693</v>
      </c>
      <c r="H7" s="1" t="n">
        <v>110331</v>
      </c>
      <c r="I7" s="1" t="n">
        <v>721455</v>
      </c>
      <c r="J7" s="1" t="n">
        <v>3170633</v>
      </c>
      <c r="K7" s="1" t="n">
        <v>108241</v>
      </c>
      <c r="L7" s="1" t="n">
        <v>184471</v>
      </c>
      <c r="M7" s="1" t="n">
        <v>660125</v>
      </c>
      <c r="N7" s="1" t="n">
        <v>3163275</v>
      </c>
    </row>
    <row r="8" customFormat="false" ht="15" hidden="false" customHeight="false" outlineLevel="0" collapsed="false">
      <c r="A8" s="2"/>
      <c r="B8" s="1" t="n">
        <v>4</v>
      </c>
      <c r="C8" s="1" t="n">
        <v>172423</v>
      </c>
      <c r="D8" s="1" t="n">
        <v>141495</v>
      </c>
      <c r="E8" s="1" t="n">
        <v>668962</v>
      </c>
      <c r="F8" s="1" t="n">
        <v>3133232</v>
      </c>
      <c r="G8" s="1" t="n">
        <v>161261</v>
      </c>
      <c r="H8" s="1" t="n">
        <v>91078</v>
      </c>
      <c r="I8" s="1" t="n">
        <v>720762</v>
      </c>
      <c r="J8" s="1" t="n">
        <v>3143011</v>
      </c>
      <c r="K8" s="1" t="n">
        <v>137737</v>
      </c>
      <c r="L8" s="1" t="n">
        <v>191101</v>
      </c>
      <c r="M8" s="1" t="n">
        <v>664031</v>
      </c>
      <c r="N8" s="1" t="n">
        <v>3123243</v>
      </c>
    </row>
    <row r="9" customFormat="false" ht="15" hidden="false" customHeight="false" outlineLevel="0" collapsed="false">
      <c r="A9" s="2"/>
      <c r="B9" s="1" t="n">
        <v>5</v>
      </c>
      <c r="C9" s="1" t="n">
        <v>135655</v>
      </c>
      <c r="D9" s="1" t="n">
        <v>82878</v>
      </c>
      <c r="E9" s="1" t="n">
        <v>485874</v>
      </c>
      <c r="F9" s="1" t="n">
        <v>3411705</v>
      </c>
      <c r="G9" s="1" t="n">
        <v>115618</v>
      </c>
      <c r="H9" s="1" t="n">
        <v>51322</v>
      </c>
      <c r="I9" s="1" t="n">
        <v>525963</v>
      </c>
      <c r="J9" s="1" t="n">
        <v>3423209</v>
      </c>
      <c r="K9" s="1" t="n">
        <v>108256</v>
      </c>
      <c r="L9" s="1" t="n">
        <v>124955</v>
      </c>
      <c r="M9" s="1" t="n">
        <v>474940</v>
      </c>
      <c r="N9" s="1" t="n">
        <v>3407961</v>
      </c>
    </row>
    <row r="10" customFormat="false" ht="15" hidden="false" customHeight="false" outlineLevel="0" collapsed="false">
      <c r="A10" s="2"/>
      <c r="B10" s="1" t="n">
        <v>6</v>
      </c>
      <c r="C10" s="1" t="n">
        <v>221733</v>
      </c>
      <c r="D10" s="1" t="n">
        <v>137831</v>
      </c>
      <c r="E10" s="1" t="n">
        <v>625455</v>
      </c>
      <c r="F10" s="1" t="n">
        <v>3131093</v>
      </c>
      <c r="G10" s="1" t="n">
        <v>194841</v>
      </c>
      <c r="H10" s="1" t="n">
        <v>88270</v>
      </c>
      <c r="I10" s="1" t="n">
        <v>692496</v>
      </c>
      <c r="J10" s="1" t="n">
        <v>3140505</v>
      </c>
      <c r="K10" s="1" t="n">
        <v>179662</v>
      </c>
      <c r="L10" s="1" t="n">
        <v>206011</v>
      </c>
      <c r="M10" s="1" t="n">
        <v>603871</v>
      </c>
      <c r="N10" s="1" t="n">
        <v>3126568</v>
      </c>
    </row>
    <row r="11" customFormat="false" ht="15" hidden="false" customHeight="false" outlineLevel="0" collapsed="false">
      <c r="A11" s="2"/>
      <c r="B11" s="1" t="n">
        <v>7</v>
      </c>
      <c r="C11" s="1" t="n">
        <v>158341</v>
      </c>
      <c r="D11" s="1" t="n">
        <v>135595</v>
      </c>
      <c r="E11" s="1" t="n">
        <v>688250</v>
      </c>
      <c r="F11" s="1" t="n">
        <v>3133926</v>
      </c>
      <c r="G11" s="1" t="n">
        <v>154285</v>
      </c>
      <c r="H11" s="1" t="n">
        <v>90254</v>
      </c>
      <c r="I11" s="1" t="n">
        <v>739069</v>
      </c>
      <c r="J11" s="1" t="n">
        <v>3132504</v>
      </c>
      <c r="K11" s="1" t="n">
        <v>127608</v>
      </c>
      <c r="L11" s="1" t="n">
        <v>180740</v>
      </c>
      <c r="M11" s="1" t="n">
        <v>682894</v>
      </c>
      <c r="N11" s="1" t="n">
        <v>3124870</v>
      </c>
    </row>
    <row r="12" customFormat="false" ht="15" hidden="false" customHeight="false" outlineLevel="0" collapsed="false">
      <c r="A12" s="2"/>
      <c r="B12" s="1" t="n">
        <v>8</v>
      </c>
      <c r="C12" s="1" t="n">
        <v>138586</v>
      </c>
      <c r="D12" s="1" t="n">
        <v>148401</v>
      </c>
      <c r="E12" s="1" t="n">
        <v>677029</v>
      </c>
      <c r="F12" s="1" t="n">
        <v>3152096</v>
      </c>
      <c r="G12" s="1" t="n">
        <v>116891</v>
      </c>
      <c r="H12" s="1" t="n">
        <v>112011</v>
      </c>
      <c r="I12" s="1" t="n">
        <v>728623</v>
      </c>
      <c r="J12" s="1" t="n">
        <v>3158587</v>
      </c>
      <c r="K12" s="1" t="n">
        <v>110657</v>
      </c>
      <c r="L12" s="1" t="n">
        <v>189001</v>
      </c>
      <c r="M12" s="1" t="n">
        <v>672301</v>
      </c>
      <c r="N12" s="1" t="n">
        <v>3144153</v>
      </c>
    </row>
    <row r="13" customFormat="false" ht="15" hidden="false" customHeight="false" outlineLevel="0" collapsed="false">
      <c r="A13" s="2"/>
      <c r="B13" s="1" t="n">
        <v>9</v>
      </c>
      <c r="C13" s="1" t="n">
        <v>486368</v>
      </c>
      <c r="D13" s="1" t="n">
        <v>121643</v>
      </c>
      <c r="E13" s="1" t="n">
        <v>533560</v>
      </c>
      <c r="F13" s="1" t="n">
        <v>2974541</v>
      </c>
      <c r="G13" s="1" t="n">
        <v>546271</v>
      </c>
      <c r="H13" s="1" t="n">
        <v>42905</v>
      </c>
      <c r="I13" s="1" t="n">
        <v>541890</v>
      </c>
      <c r="J13" s="1" t="n">
        <v>2985046</v>
      </c>
      <c r="K13" s="1" t="n">
        <v>421057</v>
      </c>
      <c r="L13" s="1" t="n">
        <v>246805</v>
      </c>
      <c r="M13" s="1" t="n">
        <v>476603</v>
      </c>
      <c r="N13" s="1" t="n">
        <v>2971647</v>
      </c>
    </row>
    <row r="14" customFormat="false" ht="15" hidden="false" customHeight="false" outlineLevel="0" collapsed="false">
      <c r="A14" s="2"/>
      <c r="B14" s="1" t="n">
        <v>10</v>
      </c>
      <c r="C14" s="1" t="n">
        <v>382812</v>
      </c>
      <c r="D14" s="1" t="n">
        <v>138060</v>
      </c>
      <c r="E14" s="1" t="n">
        <v>633263</v>
      </c>
      <c r="F14" s="1" t="n">
        <v>2961977</v>
      </c>
      <c r="G14" s="1" t="n">
        <v>407860</v>
      </c>
      <c r="H14" s="1" t="n">
        <v>57524</v>
      </c>
      <c r="I14" s="1" t="n">
        <v>680248</v>
      </c>
      <c r="J14" s="1" t="n">
        <v>2970480</v>
      </c>
      <c r="K14" s="1" t="n">
        <v>322999</v>
      </c>
      <c r="L14" s="1" t="n">
        <v>245356</v>
      </c>
      <c r="M14" s="1" t="n">
        <v>589147</v>
      </c>
      <c r="N14" s="1" t="n">
        <v>2958610</v>
      </c>
    </row>
    <row r="15" customFormat="false" ht="15" hidden="false" customHeight="false" outlineLevel="0" collapsed="false">
      <c r="A15" s="2"/>
      <c r="B15" s="1" t="n">
        <v>11</v>
      </c>
      <c r="C15" s="1" t="n">
        <v>534890</v>
      </c>
      <c r="D15" s="1" t="n">
        <v>115993</v>
      </c>
      <c r="E15" s="1" t="n">
        <v>506918</v>
      </c>
      <c r="F15" s="1" t="n">
        <v>2958311</v>
      </c>
      <c r="G15" s="1" t="n">
        <v>611435</v>
      </c>
      <c r="H15" s="1" t="n">
        <v>34784</v>
      </c>
      <c r="I15" s="1" t="n">
        <v>502601</v>
      </c>
      <c r="J15" s="1" t="n">
        <v>2967292</v>
      </c>
      <c r="K15" s="1" t="n">
        <v>469541</v>
      </c>
      <c r="L15" s="1" t="n">
        <v>245898</v>
      </c>
      <c r="M15" s="1" t="n">
        <v>444978</v>
      </c>
      <c r="N15" s="1" t="n">
        <v>2955695</v>
      </c>
    </row>
    <row r="16" customFormat="false" ht="15" hidden="false" customHeight="false" outlineLevel="0" collapsed="false">
      <c r="A16" s="2"/>
      <c r="B16" s="1" t="n">
        <v>12</v>
      </c>
      <c r="C16" s="1" t="n">
        <v>250363</v>
      </c>
      <c r="D16" s="1" t="n">
        <v>164869</v>
      </c>
      <c r="E16" s="1" t="n">
        <v>703800</v>
      </c>
      <c r="F16" s="1" t="n">
        <v>2997080</v>
      </c>
      <c r="G16" s="1" t="n">
        <v>228042</v>
      </c>
      <c r="H16" s="1" t="n">
        <v>113973</v>
      </c>
      <c r="I16" s="1" t="n">
        <v>774206</v>
      </c>
      <c r="J16" s="1" t="n">
        <v>2999891</v>
      </c>
      <c r="K16" s="1" t="n">
        <v>204322</v>
      </c>
      <c r="L16" s="1" t="n">
        <v>243236</v>
      </c>
      <c r="M16" s="1" t="n">
        <v>675039</v>
      </c>
      <c r="N16" s="1" t="n">
        <v>2993515</v>
      </c>
    </row>
    <row r="17" customFormat="false" ht="15" hidden="false" customHeight="false" outlineLevel="0" collapsed="false">
      <c r="A17" s="2"/>
      <c r="B17" s="1" t="n">
        <v>13</v>
      </c>
      <c r="C17" s="1" t="n">
        <v>621074</v>
      </c>
      <c r="D17" s="1" t="n">
        <v>109142</v>
      </c>
      <c r="E17" s="1" t="n">
        <v>442426</v>
      </c>
      <c r="F17" s="1" t="n">
        <v>2943470</v>
      </c>
      <c r="G17" s="1" t="n">
        <v>734520</v>
      </c>
      <c r="H17" s="1" t="n">
        <v>33054</v>
      </c>
      <c r="I17" s="1" t="n">
        <v>395382</v>
      </c>
      <c r="J17" s="1" t="n">
        <v>2953156</v>
      </c>
      <c r="K17" s="1" t="n">
        <v>556900</v>
      </c>
      <c r="L17" s="1" t="n">
        <v>244461</v>
      </c>
      <c r="M17" s="1" t="n">
        <v>373782</v>
      </c>
      <c r="N17" s="1" t="n">
        <v>2940969</v>
      </c>
    </row>
    <row r="18" customFormat="false" ht="15" hidden="false" customHeight="false" outlineLevel="0" collapsed="false">
      <c r="A18" s="2"/>
      <c r="B18" s="1" t="n">
        <v>14</v>
      </c>
      <c r="C18" s="1" t="n">
        <v>503569</v>
      </c>
      <c r="D18" s="1" t="n">
        <v>115614</v>
      </c>
      <c r="E18" s="1" t="n">
        <v>532009</v>
      </c>
      <c r="F18" s="1" t="n">
        <v>2964920</v>
      </c>
      <c r="G18" s="1" t="n">
        <v>565385</v>
      </c>
      <c r="H18" s="1" t="n">
        <v>40540</v>
      </c>
      <c r="I18" s="1" t="n">
        <v>536067</v>
      </c>
      <c r="J18" s="1" t="n">
        <v>2974120</v>
      </c>
      <c r="K18" s="1" t="n">
        <v>436980</v>
      </c>
      <c r="L18" s="1" t="n">
        <v>245418</v>
      </c>
      <c r="M18" s="1" t="n">
        <v>471388</v>
      </c>
      <c r="N18" s="1" t="n">
        <v>2962326</v>
      </c>
    </row>
    <row r="19" customFormat="false" ht="15" hidden="false" customHeight="false" outlineLevel="0" collapsed="false">
      <c r="A19" s="2"/>
      <c r="B19" s="1" t="n">
        <v>15</v>
      </c>
      <c r="C19" s="1" t="n">
        <v>164884</v>
      </c>
      <c r="D19" s="1" t="n">
        <v>136355</v>
      </c>
      <c r="E19" s="1" t="n">
        <v>673759</v>
      </c>
      <c r="F19" s="1" t="n">
        <v>3141114</v>
      </c>
      <c r="G19" s="1" t="n">
        <v>141334</v>
      </c>
      <c r="H19" s="1" t="n">
        <v>95835</v>
      </c>
      <c r="I19" s="1" t="n">
        <v>744807</v>
      </c>
      <c r="J19" s="1" t="n">
        <v>3134136</v>
      </c>
      <c r="K19" s="1" t="n">
        <v>129786</v>
      </c>
      <c r="L19" s="1" t="n">
        <v>185947</v>
      </c>
      <c r="M19" s="1" t="n">
        <v>670973</v>
      </c>
      <c r="N19" s="1" t="n">
        <v>3129406</v>
      </c>
    </row>
    <row r="20" customFormat="false" ht="15" hidden="false" customHeight="false" outlineLevel="0" collapsed="false">
      <c r="A20" s="2"/>
      <c r="B20" s="1" t="n">
        <v>16</v>
      </c>
      <c r="C20" s="1" t="n">
        <v>520584</v>
      </c>
      <c r="D20" s="1" t="n">
        <v>114543</v>
      </c>
      <c r="E20" s="1" t="n">
        <v>519326</v>
      </c>
      <c r="F20" s="1" t="n">
        <v>2961659</v>
      </c>
      <c r="G20" s="1" t="n">
        <v>592132</v>
      </c>
      <c r="H20" s="1" t="n">
        <v>39002</v>
      </c>
      <c r="I20" s="1" t="n">
        <v>513507</v>
      </c>
      <c r="J20" s="1" t="n">
        <v>2971471</v>
      </c>
      <c r="K20" s="1" t="n">
        <v>448851</v>
      </c>
      <c r="L20" s="1" t="n">
        <v>254056</v>
      </c>
      <c r="M20" s="1" t="n">
        <v>454756</v>
      </c>
      <c r="N20" s="1" t="n">
        <v>2958449</v>
      </c>
    </row>
    <row r="21" customFormat="false" ht="15" hidden="false" customHeight="false" outlineLevel="0" collapsed="false">
      <c r="A21" s="2"/>
      <c r="B21" s="1" t="n">
        <v>17</v>
      </c>
      <c r="C21" s="1" t="n">
        <v>303498</v>
      </c>
      <c r="D21" s="1" t="n">
        <v>126092</v>
      </c>
      <c r="E21" s="1" t="n">
        <v>609653</v>
      </c>
      <c r="F21" s="1" t="n">
        <v>3076869</v>
      </c>
      <c r="G21" s="1" t="n">
        <v>276969</v>
      </c>
      <c r="H21" s="1" t="n">
        <v>56895</v>
      </c>
      <c r="I21" s="1" t="n">
        <v>695417</v>
      </c>
      <c r="J21" s="1" t="n">
        <v>3086831</v>
      </c>
      <c r="K21" s="1" t="n">
        <v>230269</v>
      </c>
      <c r="L21" s="1" t="n">
        <v>242261</v>
      </c>
      <c r="M21" s="1" t="n">
        <v>577603</v>
      </c>
      <c r="N21" s="1" t="n">
        <v>3065979</v>
      </c>
    </row>
    <row r="22" customFormat="false" ht="15" hidden="false" customHeight="false" outlineLevel="0" collapsed="false">
      <c r="A22" s="2"/>
      <c r="B22" s="1" t="n">
        <v>18</v>
      </c>
      <c r="C22" s="1" t="n">
        <v>167839</v>
      </c>
      <c r="D22" s="1" t="n">
        <v>139488</v>
      </c>
      <c r="E22" s="1" t="n">
        <v>600109</v>
      </c>
      <c r="F22" s="1" t="n">
        <v>3208676</v>
      </c>
      <c r="G22" s="1" t="n">
        <v>142382</v>
      </c>
      <c r="H22" s="1" t="n">
        <v>102599</v>
      </c>
      <c r="I22" s="1" t="n">
        <v>666743</v>
      </c>
      <c r="J22" s="1" t="n">
        <v>3204388</v>
      </c>
      <c r="K22" s="1" t="n">
        <v>133285</v>
      </c>
      <c r="L22" s="1" t="n">
        <v>187782</v>
      </c>
      <c r="M22" s="1" t="n">
        <v>597847</v>
      </c>
      <c r="N22" s="1" t="n">
        <v>3197198</v>
      </c>
    </row>
    <row r="23" customFormat="false" ht="15" hidden="false" customHeight="false" outlineLevel="0" collapsed="false">
      <c r="A23" s="2"/>
      <c r="B23" s="1" t="n">
        <v>19</v>
      </c>
      <c r="C23" s="1" t="n">
        <v>216154</v>
      </c>
      <c r="D23" s="1" t="n">
        <v>152027</v>
      </c>
      <c r="E23" s="1" t="n">
        <v>666156</v>
      </c>
      <c r="F23" s="1" t="n">
        <v>3081775</v>
      </c>
      <c r="G23" s="1" t="n">
        <v>195894</v>
      </c>
      <c r="H23" s="1" t="n">
        <v>102322</v>
      </c>
      <c r="I23" s="1" t="n">
        <v>729036</v>
      </c>
      <c r="J23" s="1" t="n">
        <v>3088860</v>
      </c>
      <c r="K23" s="1" t="n">
        <v>173645</v>
      </c>
      <c r="L23" s="1" t="n">
        <v>217067</v>
      </c>
      <c r="M23" s="1" t="n">
        <v>651186</v>
      </c>
      <c r="N23" s="1" t="n">
        <v>3074214</v>
      </c>
    </row>
    <row r="24" customFormat="false" ht="15" hidden="false" customHeight="false" outlineLevel="0" collapsed="false">
      <c r="A24" s="2"/>
      <c r="B24" s="1" t="n">
        <v>20</v>
      </c>
      <c r="C24" s="1" t="n">
        <v>196473</v>
      </c>
      <c r="D24" s="1" t="n">
        <v>156639</v>
      </c>
      <c r="E24" s="1" t="n">
        <v>653284</v>
      </c>
      <c r="F24" s="1" t="n">
        <v>3109716</v>
      </c>
      <c r="G24" s="1" t="n">
        <v>166690</v>
      </c>
      <c r="H24" s="1" t="n">
        <v>111119</v>
      </c>
      <c r="I24" s="1" t="n">
        <v>720197</v>
      </c>
      <c r="J24" s="1" t="n">
        <v>3118106</v>
      </c>
      <c r="K24" s="1" t="n">
        <v>158114</v>
      </c>
      <c r="L24" s="1" t="n">
        <v>214359</v>
      </c>
      <c r="M24" s="1" t="n">
        <v>641178</v>
      </c>
      <c r="N24" s="1" t="n">
        <v>3102461</v>
      </c>
    </row>
    <row r="25" customFormat="false" ht="15" hidden="false" customHeight="false" outlineLevel="0" collapsed="false">
      <c r="A25" s="2"/>
      <c r="B25" s="1" t="n">
        <v>21</v>
      </c>
      <c r="C25" s="1" t="n">
        <v>474346</v>
      </c>
      <c r="D25" s="1" t="n">
        <v>120582</v>
      </c>
      <c r="E25" s="1" t="n">
        <v>501404</v>
      </c>
      <c r="F25" s="1" t="n">
        <v>3019780</v>
      </c>
      <c r="G25" s="1" t="n">
        <v>533983</v>
      </c>
      <c r="H25" s="1" t="n">
        <v>46700</v>
      </c>
      <c r="I25" s="1" t="n">
        <v>499890</v>
      </c>
      <c r="J25" s="1" t="n">
        <v>3035539</v>
      </c>
      <c r="K25" s="1" t="n">
        <v>409415</v>
      </c>
      <c r="L25" s="1" t="n">
        <v>242767</v>
      </c>
      <c r="M25" s="1" t="n">
        <v>448721</v>
      </c>
      <c r="N25" s="1" t="n">
        <v>3015209</v>
      </c>
    </row>
    <row r="26" customFormat="false" ht="15" hidden="false" customHeight="false" outlineLevel="0" collapsed="false">
      <c r="A26" s="2"/>
      <c r="B26" s="1" t="n">
        <v>22</v>
      </c>
      <c r="C26" s="1" t="n">
        <v>206647</v>
      </c>
      <c r="D26" s="1" t="n">
        <v>153536</v>
      </c>
      <c r="E26" s="1" t="n">
        <v>646365</v>
      </c>
      <c r="F26" s="1" t="n">
        <v>3109564</v>
      </c>
      <c r="G26" s="1" t="n">
        <v>183575</v>
      </c>
      <c r="H26" s="1" t="n">
        <v>97108</v>
      </c>
      <c r="I26" s="1" t="n">
        <v>716506</v>
      </c>
      <c r="J26" s="1" t="n">
        <v>3118923</v>
      </c>
      <c r="K26" s="1" t="n">
        <v>165630</v>
      </c>
      <c r="L26" s="1" t="n">
        <v>217694</v>
      </c>
      <c r="M26" s="1" t="n">
        <v>629895</v>
      </c>
      <c r="N26" s="1" t="n">
        <v>3102893</v>
      </c>
    </row>
    <row r="27" customFormat="false" ht="15" hidden="false" customHeight="false" outlineLevel="0" collapsed="false">
      <c r="A27" s="2"/>
      <c r="B27" s="1" t="n">
        <v>23</v>
      </c>
      <c r="C27" s="1" t="n">
        <v>193710</v>
      </c>
      <c r="D27" s="1" t="n">
        <v>161829</v>
      </c>
      <c r="E27" s="1" t="n">
        <v>624267</v>
      </c>
      <c r="F27" s="1" t="n">
        <v>3136306</v>
      </c>
      <c r="G27" s="1" t="n">
        <v>154557</v>
      </c>
      <c r="H27" s="1" t="n">
        <v>114328</v>
      </c>
      <c r="I27" s="1" t="n">
        <v>702477</v>
      </c>
      <c r="J27" s="1" t="n">
        <v>3144750</v>
      </c>
      <c r="K27" s="1" t="n">
        <v>153518</v>
      </c>
      <c r="L27" s="1" t="n">
        <v>224983</v>
      </c>
      <c r="M27" s="1" t="n">
        <v>607014</v>
      </c>
      <c r="N27" s="1" t="n">
        <v>3130597</v>
      </c>
    </row>
    <row r="28" customFormat="false" ht="15" hidden="false" customHeight="false" outlineLevel="0" collapsed="false">
      <c r="A28" s="2"/>
      <c r="B28" s="1" t="n">
        <v>24</v>
      </c>
      <c r="C28" s="1" t="n">
        <v>411226</v>
      </c>
      <c r="D28" s="1" t="n">
        <v>125623</v>
      </c>
      <c r="E28" s="1" t="n">
        <v>537885</v>
      </c>
      <c r="F28" s="1" t="n">
        <v>3041378</v>
      </c>
      <c r="G28" s="1" t="n">
        <v>451862</v>
      </c>
      <c r="H28" s="1" t="n">
        <v>56787</v>
      </c>
      <c r="I28" s="1" t="n">
        <v>547178</v>
      </c>
      <c r="J28" s="1" t="n">
        <v>3060285</v>
      </c>
      <c r="K28" s="1" t="n">
        <v>347722</v>
      </c>
      <c r="L28" s="1" t="n">
        <v>239460</v>
      </c>
      <c r="M28" s="1" t="n">
        <v>492969</v>
      </c>
      <c r="N28" s="1" t="n">
        <v>3035961</v>
      </c>
    </row>
    <row r="29" customFormat="false" ht="15" hidden="false" customHeight="false" outlineLevel="0" collapsed="false">
      <c r="A29" s="2"/>
      <c r="B29" s="1" t="n">
        <v>25</v>
      </c>
      <c r="C29" s="1" t="n">
        <v>200481</v>
      </c>
      <c r="D29" s="1" t="n">
        <v>142650</v>
      </c>
      <c r="E29" s="1" t="n">
        <v>642341</v>
      </c>
      <c r="F29" s="1" t="n">
        <v>3130640</v>
      </c>
      <c r="G29" s="1" t="n">
        <v>184419</v>
      </c>
      <c r="H29" s="1" t="n">
        <v>76037</v>
      </c>
      <c r="I29" s="1" t="n">
        <v>721839</v>
      </c>
      <c r="J29" s="1" t="n">
        <v>3133817</v>
      </c>
      <c r="K29" s="1" t="n">
        <v>148303</v>
      </c>
      <c r="L29" s="1" t="n">
        <v>213383</v>
      </c>
      <c r="M29" s="1" t="n">
        <v>642739</v>
      </c>
      <c r="N29" s="1" t="n">
        <v>3111687</v>
      </c>
    </row>
    <row r="30" customFormat="false" ht="15" hidden="false" customHeight="false" outlineLevel="0" collapsed="false">
      <c r="A30" s="2"/>
      <c r="B30" s="1" t="n">
        <v>26</v>
      </c>
      <c r="C30" s="1" t="n">
        <v>189706</v>
      </c>
      <c r="D30" s="1" t="n">
        <v>157362</v>
      </c>
      <c r="E30" s="1" t="n">
        <v>640201</v>
      </c>
      <c r="F30" s="1" t="n">
        <v>3128843</v>
      </c>
      <c r="G30" s="1" t="n">
        <v>170456</v>
      </c>
      <c r="H30" s="1" t="n">
        <v>111253</v>
      </c>
      <c r="I30" s="1" t="n">
        <v>696437</v>
      </c>
      <c r="J30" s="1" t="n">
        <v>3137966</v>
      </c>
      <c r="K30" s="1" t="n">
        <v>151587</v>
      </c>
      <c r="L30" s="1" t="n">
        <v>212811</v>
      </c>
      <c r="M30" s="1" t="n">
        <v>633041</v>
      </c>
      <c r="N30" s="1" t="n">
        <v>3118673</v>
      </c>
    </row>
    <row r="31" customFormat="false" ht="15" hidden="false" customHeight="false" outlineLevel="0" collapsed="false">
      <c r="A31" s="2"/>
      <c r="B31" s="1" t="n">
        <v>27</v>
      </c>
      <c r="C31" s="1" t="n">
        <v>287087</v>
      </c>
      <c r="D31" s="1" t="n">
        <v>133493</v>
      </c>
      <c r="E31" s="1" t="n">
        <v>619141</v>
      </c>
      <c r="F31" s="1" t="n">
        <v>3076391</v>
      </c>
      <c r="G31" s="1" t="n">
        <v>268084</v>
      </c>
      <c r="H31" s="1" t="n">
        <v>60484</v>
      </c>
      <c r="I31" s="1" t="n">
        <v>700794</v>
      </c>
      <c r="J31" s="1" t="n">
        <v>3086750</v>
      </c>
      <c r="K31" s="1" t="n">
        <v>210119</v>
      </c>
      <c r="L31" s="1" t="n">
        <v>245290</v>
      </c>
      <c r="M31" s="1" t="n">
        <v>604997</v>
      </c>
      <c r="N31" s="1" t="n">
        <v>3055706</v>
      </c>
    </row>
    <row r="32" customFormat="false" ht="15" hidden="false" customHeight="false" outlineLevel="0" collapsed="false">
      <c r="A32" s="2"/>
      <c r="B32" s="1" t="n">
        <v>28</v>
      </c>
      <c r="C32" s="1" t="n">
        <v>143786</v>
      </c>
      <c r="D32" s="1" t="n">
        <v>132399</v>
      </c>
      <c r="E32" s="1" t="n">
        <v>692597</v>
      </c>
      <c r="F32" s="1" t="n">
        <v>3147330</v>
      </c>
      <c r="G32" s="1" t="n">
        <v>123999</v>
      </c>
      <c r="H32" s="1" t="n">
        <v>74186</v>
      </c>
      <c r="I32" s="1" t="n">
        <v>775991</v>
      </c>
      <c r="J32" s="1" t="n">
        <v>3141936</v>
      </c>
      <c r="K32" s="1" t="n">
        <v>100546</v>
      </c>
      <c r="L32" s="1" t="n">
        <v>180546</v>
      </c>
      <c r="M32" s="1" t="n">
        <v>716802</v>
      </c>
      <c r="N32" s="1" t="n">
        <v>3118218</v>
      </c>
    </row>
    <row r="33" customFormat="false" ht="15" hidden="false" customHeight="false" outlineLevel="0" collapsed="false">
      <c r="A33" s="2"/>
      <c r="B33" s="1" t="n">
        <v>29</v>
      </c>
      <c r="C33" s="1" t="n">
        <v>194210</v>
      </c>
      <c r="D33" s="1" t="n">
        <v>146952</v>
      </c>
      <c r="E33" s="1" t="n">
        <v>663762</v>
      </c>
      <c r="F33" s="1" t="n">
        <v>3111188</v>
      </c>
      <c r="G33" s="1" t="n">
        <v>157550</v>
      </c>
      <c r="H33" s="1" t="n">
        <v>84464</v>
      </c>
      <c r="I33" s="1" t="n">
        <v>755439</v>
      </c>
      <c r="J33" s="1" t="n">
        <v>3118659</v>
      </c>
      <c r="K33" s="1" t="n">
        <v>137924</v>
      </c>
      <c r="L33" s="1" t="n">
        <v>222375</v>
      </c>
      <c r="M33" s="1" t="n">
        <v>665382</v>
      </c>
      <c r="N33" s="1" t="n">
        <v>3090431</v>
      </c>
    </row>
    <row r="34" customFormat="false" ht="15" hidden="false" customHeight="false" outlineLevel="0" collapsed="false">
      <c r="A34" s="2"/>
      <c r="B34" s="1" t="n">
        <v>30</v>
      </c>
      <c r="C34" s="1" t="n">
        <v>532013</v>
      </c>
      <c r="D34" s="1" t="n">
        <v>116944</v>
      </c>
      <c r="E34" s="1" t="n">
        <v>464326</v>
      </c>
      <c r="F34" s="1" t="n">
        <v>3002829</v>
      </c>
      <c r="G34" s="1" t="n">
        <v>608028</v>
      </c>
      <c r="H34" s="1" t="n">
        <v>45632</v>
      </c>
      <c r="I34" s="1" t="n">
        <v>441244</v>
      </c>
      <c r="J34" s="1" t="n">
        <v>3021208</v>
      </c>
      <c r="K34" s="1" t="n">
        <v>467057</v>
      </c>
      <c r="L34" s="1" t="n">
        <v>242540</v>
      </c>
      <c r="M34" s="1" t="n">
        <v>408993</v>
      </c>
      <c r="N34" s="1" t="n">
        <v>2997522</v>
      </c>
    </row>
    <row r="35" customFormat="false" ht="15" hidden="false" customHeight="false" outlineLevel="0" collapsed="false">
      <c r="A35" s="2"/>
      <c r="B35" s="1" t="n">
        <v>31</v>
      </c>
      <c r="C35" s="1" t="n">
        <v>108196</v>
      </c>
      <c r="D35" s="1" t="n">
        <v>106779</v>
      </c>
      <c r="E35" s="1" t="n">
        <v>585100</v>
      </c>
      <c r="F35" s="1" t="n">
        <v>3316037</v>
      </c>
      <c r="G35" s="1" t="n">
        <v>87939</v>
      </c>
      <c r="H35" s="1" t="n">
        <v>72759</v>
      </c>
      <c r="I35" s="1" t="n">
        <v>664652</v>
      </c>
      <c r="J35" s="1" t="n">
        <v>3290762</v>
      </c>
      <c r="K35" s="1" t="n">
        <v>81065</v>
      </c>
      <c r="L35" s="1" t="n">
        <v>137727</v>
      </c>
      <c r="M35" s="1" t="n">
        <v>605587</v>
      </c>
      <c r="N35" s="1" t="n">
        <v>3291733</v>
      </c>
    </row>
    <row r="36" customFormat="false" ht="15" hidden="false" customHeight="false" outlineLevel="0" collapsed="false">
      <c r="A36" s="2"/>
      <c r="B36" s="1" t="n">
        <v>32</v>
      </c>
      <c r="C36" s="1" t="n">
        <v>180881</v>
      </c>
      <c r="D36" s="1" t="n">
        <v>130353</v>
      </c>
      <c r="E36" s="1" t="n">
        <v>673916</v>
      </c>
      <c r="F36" s="1" t="n">
        <v>3130962</v>
      </c>
      <c r="G36" s="1" t="n">
        <v>152068</v>
      </c>
      <c r="H36" s="1" t="n">
        <v>84202</v>
      </c>
      <c r="I36" s="1" t="n">
        <v>753078</v>
      </c>
      <c r="J36" s="1" t="n">
        <v>3126764</v>
      </c>
      <c r="K36" s="1" t="n">
        <v>135646</v>
      </c>
      <c r="L36" s="1" t="n">
        <v>189147</v>
      </c>
      <c r="M36" s="1" t="n">
        <v>679845</v>
      </c>
      <c r="N36" s="1" t="n">
        <v>3111474</v>
      </c>
    </row>
    <row r="37" customFormat="false" ht="15" hidden="false" customHeight="false" outlineLevel="0" collapsed="false">
      <c r="A37" s="2"/>
      <c r="B37" s="1" t="s">
        <v>12</v>
      </c>
      <c r="C37" s="1" t="n">
        <f aca="false">SUM(C4:C36)</f>
        <v>9347491</v>
      </c>
      <c r="D37" s="1" t="n">
        <f aca="false">SUM(D4:D36)</f>
        <v>4421494</v>
      </c>
      <c r="E37" s="1" t="n">
        <f aca="false">SUM(E4:E36)</f>
        <v>19969066</v>
      </c>
      <c r="F37" s="1" t="n">
        <f aca="false">SUM(F4:F36)</f>
        <v>102093645</v>
      </c>
      <c r="G37" s="1" t="n">
        <f aca="false">SUM(G4:G36)</f>
        <v>9402986</v>
      </c>
      <c r="H37" s="1" t="n">
        <f aca="false">SUM(H4:H36)</f>
        <v>2597422</v>
      </c>
      <c r="I37" s="1" t="n">
        <f aca="false">SUM(I4:I36)</f>
        <v>21545666</v>
      </c>
      <c r="J37" s="1" t="n">
        <f aca="false">SUM(J4:J36)</f>
        <v>102285622</v>
      </c>
      <c r="K37" s="1" t="n">
        <f aca="false">SUM(K4:K36)</f>
        <v>7801521</v>
      </c>
      <c r="L37" s="1" t="n">
        <f aca="false">SUM(L4:L36)</f>
        <v>6956886</v>
      </c>
      <c r="M37" s="1" t="n">
        <f aca="false">SUM(M4:M36)</f>
        <v>19272105</v>
      </c>
      <c r="N37" s="1" t="n">
        <f aca="false">SUM(N4:N36)</f>
        <v>101801184</v>
      </c>
    </row>
    <row r="42" customFormat="false" ht="15" hidden="false" customHeight="false" outlineLevel="0" collapsed="false">
      <c r="A42" s="1"/>
      <c r="B42" s="10" t="s">
        <v>0</v>
      </c>
      <c r="C42" s="11" t="s">
        <v>13</v>
      </c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"/>
      <c r="B43" s="10"/>
      <c r="C43" s="12" t="s">
        <v>3</v>
      </c>
      <c r="D43" s="12"/>
      <c r="E43" s="12"/>
      <c r="F43" s="12"/>
      <c r="G43" s="12"/>
      <c r="H43" s="13" t="s">
        <v>4</v>
      </c>
      <c r="I43" s="13"/>
      <c r="J43" s="13"/>
      <c r="K43" s="13"/>
      <c r="L43" s="13"/>
    </row>
    <row r="44" customFormat="false" ht="15" hidden="false" customHeight="false" outlineLevel="0" collapsed="false">
      <c r="A44" s="10" t="s">
        <v>14</v>
      </c>
      <c r="B44" s="10"/>
      <c r="C44" s="32" t="s">
        <v>17</v>
      </c>
      <c r="D44" s="33" t="s">
        <v>18</v>
      </c>
      <c r="E44" s="34" t="s">
        <v>19</v>
      </c>
      <c r="F44" s="35" t="s">
        <v>11</v>
      </c>
      <c r="G44" s="19"/>
      <c r="H44" s="32" t="s">
        <v>17</v>
      </c>
      <c r="I44" s="33" t="s">
        <v>18</v>
      </c>
      <c r="J44" s="34" t="s">
        <v>19</v>
      </c>
      <c r="K44" s="35" t="s">
        <v>11</v>
      </c>
      <c r="L44" s="19"/>
    </row>
    <row r="45" customFormat="false" ht="15" hidden="false" customHeight="false" outlineLevel="0" collapsed="false">
      <c r="A45" s="10"/>
      <c r="B45" s="10" t="n">
        <v>0</v>
      </c>
      <c r="C45" s="20" t="n">
        <f aca="false">(ABS(C4-G4)/C4)*100</f>
        <v>0</v>
      </c>
      <c r="D45" s="21" t="n">
        <f aca="false">(ABS(D4-H4)/D4)*100</f>
        <v>0</v>
      </c>
      <c r="E45" s="21" t="n">
        <f aca="false">(ABS(E4-I4)/E4)*100</f>
        <v>0</v>
      </c>
      <c r="F45" s="21" t="n">
        <f aca="false">(ABS(F4-J4)/F4)*100</f>
        <v>0</v>
      </c>
      <c r="G45" s="36"/>
      <c r="H45" s="20" t="n">
        <f aca="false">(ABS(C4-K4)/C4)*100</f>
        <v>0</v>
      </c>
      <c r="I45" s="21" t="n">
        <f aca="false">(ABS(D4-L4)/D4)*100</f>
        <v>0</v>
      </c>
      <c r="J45" s="21" t="n">
        <f aca="false">(ABS(E4-M4)/E4)*100</f>
        <v>0</v>
      </c>
      <c r="K45" s="21" t="n">
        <f aca="false">(ABS(F4-N4)/F4)*100</f>
        <v>0</v>
      </c>
      <c r="L45" s="36"/>
    </row>
    <row r="46" customFormat="false" ht="15" hidden="false" customHeight="false" outlineLevel="0" collapsed="false">
      <c r="A46" s="10"/>
      <c r="B46" s="10" t="n">
        <v>1</v>
      </c>
      <c r="C46" s="20" t="n">
        <f aca="false">(ABS(C5-G5)/C5)*100</f>
        <v>10.1448949691244</v>
      </c>
      <c r="D46" s="21" t="n">
        <f aca="false">(ABS(D5-H5)/D5)*100</f>
        <v>38.7719758231447</v>
      </c>
      <c r="E46" s="21" t="n">
        <f aca="false">(ABS(E5-I5)/E5)*100</f>
        <v>10.9051287989592</v>
      </c>
      <c r="F46" s="21" t="n">
        <f aca="false">(ABS(F5-J5)/F5)*100</f>
        <v>0.277138460062081</v>
      </c>
      <c r="G46" s="36"/>
      <c r="H46" s="20" t="n">
        <f aca="false">(ABS(C5-K5)/C5)*100</f>
        <v>18.4421993114792</v>
      </c>
      <c r="I46" s="21" t="n">
        <f aca="false">(ABS(D5-L5)/D5)*100</f>
        <v>45.4557999613612</v>
      </c>
      <c r="J46" s="21" t="n">
        <f aca="false">(ABS(E5-M5)/E5)*100</f>
        <v>3.01849488705513</v>
      </c>
      <c r="K46" s="21" t="n">
        <f aca="false">(ABS(F5-N5)/F5)*100</f>
        <v>0.174700923290354</v>
      </c>
      <c r="L46" s="36"/>
    </row>
    <row r="47" customFormat="false" ht="15" hidden="false" customHeight="false" outlineLevel="0" collapsed="false">
      <c r="A47" s="10"/>
      <c r="B47" s="10" t="n">
        <v>2</v>
      </c>
      <c r="C47" s="20" t="n">
        <f aca="false">(ABS(C6-G6)/C6)*100</f>
        <v>15.3417299320322</v>
      </c>
      <c r="D47" s="21" t="n">
        <f aca="false">(ABS(D6-H6)/D6)*100</f>
        <v>37.1001975651431</v>
      </c>
      <c r="E47" s="21" t="n">
        <f aca="false">(ABS(E6-I6)/E6)*100</f>
        <v>12.0209375126439</v>
      </c>
      <c r="F47" s="21" t="n">
        <f aca="false">(ABS(F6-J6)/F6)*100</f>
        <v>0.226760155786458</v>
      </c>
      <c r="G47" s="36"/>
      <c r="H47" s="20" t="n">
        <f aca="false">(ABS(C6-K6)/C6)*100</f>
        <v>18.9398566954633</v>
      </c>
      <c r="I47" s="21" t="n">
        <f aca="false">(ABS(D6-L6)/D6)*100</f>
        <v>41.3258222981632</v>
      </c>
      <c r="J47" s="21" t="n">
        <f aca="false">(ABS(E6-M6)/E6)*100</f>
        <v>2.75670256653864</v>
      </c>
      <c r="K47" s="21" t="n">
        <f aca="false">(ABS(F6-N6)/F6)*100</f>
        <v>0.143952119429818</v>
      </c>
      <c r="L47" s="36"/>
    </row>
    <row r="48" customFormat="false" ht="15" hidden="false" customHeight="false" outlineLevel="0" collapsed="false">
      <c r="A48" s="10"/>
      <c r="B48" s="10" t="n">
        <v>3</v>
      </c>
      <c r="C48" s="20" t="n">
        <f aca="false">(ABS(C7-G7)/C7)*100</f>
        <v>15.641740988618</v>
      </c>
      <c r="D48" s="21" t="n">
        <f aca="false">(ABS(D7-H7)/D7)*100</f>
        <v>23.8492597577389</v>
      </c>
      <c r="E48" s="21" t="n">
        <f aca="false">(ABS(E7-I7)/E7)*100</f>
        <v>8.22355295409475</v>
      </c>
      <c r="F48" s="21" t="n">
        <f aca="false">(ABS(F7-J7)/F7)*100</f>
        <v>0.0256796996926323</v>
      </c>
      <c r="G48" s="36"/>
      <c r="H48" s="20" t="n">
        <f aca="false">(ABS(C7-K7)/C7)*100</f>
        <v>19.6870316233101</v>
      </c>
      <c r="I48" s="21" t="n">
        <f aca="false">(ABS(D7-L7)/D7)*100</f>
        <v>27.3223591123995</v>
      </c>
      <c r="J48" s="21" t="n">
        <f aca="false">(ABS(E7-M7)/E7)*100</f>
        <v>0.976397843494331</v>
      </c>
      <c r="K48" s="21" t="n">
        <f aca="false">(ABS(F7-N7)/F7)*100</f>
        <v>0.206447118904896</v>
      </c>
      <c r="L48" s="36"/>
    </row>
    <row r="49" customFormat="false" ht="15" hidden="false" customHeight="false" outlineLevel="0" collapsed="false">
      <c r="A49" s="10"/>
      <c r="B49" s="10" t="n">
        <v>4</v>
      </c>
      <c r="C49" s="20" t="n">
        <f aca="false">(ABS(C8-G8)/C8)*100</f>
        <v>6.4736143089959</v>
      </c>
      <c r="D49" s="21" t="n">
        <f aca="false">(ABS(D8-H8)/D8)*100</f>
        <v>35.631647761405</v>
      </c>
      <c r="E49" s="21" t="n">
        <f aca="false">(ABS(E8-I8)/E8)*100</f>
        <v>7.74333968147668</v>
      </c>
      <c r="F49" s="21" t="n">
        <f aca="false">(ABS(F8-J8)/F8)*100</f>
        <v>0.312105838316473</v>
      </c>
      <c r="G49" s="36"/>
      <c r="H49" s="20" t="n">
        <f aca="false">(ABS(C8-K8)/C8)*100</f>
        <v>20.1168057625723</v>
      </c>
      <c r="I49" s="21" t="n">
        <f aca="false">(ABS(D8-L8)/D8)*100</f>
        <v>35.0584826318951</v>
      </c>
      <c r="J49" s="21" t="n">
        <f aca="false">(ABS(E8-M8)/E8)*100</f>
        <v>0.737112122960647</v>
      </c>
      <c r="K49" s="21" t="n">
        <f aca="false">(ABS(F8-N8)/F8)*100</f>
        <v>0.318808182732718</v>
      </c>
      <c r="L49" s="36"/>
    </row>
    <row r="50" customFormat="false" ht="15" hidden="false" customHeight="false" outlineLevel="0" collapsed="false">
      <c r="A50" s="10"/>
      <c r="B50" s="10" t="n">
        <v>5</v>
      </c>
      <c r="C50" s="20" t="n">
        <f aca="false">(ABS(C9-G9)/C9)*100</f>
        <v>14.770557664664</v>
      </c>
      <c r="D50" s="21" t="n">
        <f aca="false">(ABS(D9-H9)/D9)*100</f>
        <v>38.0752431284539</v>
      </c>
      <c r="E50" s="21" t="n">
        <f aca="false">(ABS(E9-I9)/E9)*100</f>
        <v>8.25090455550204</v>
      </c>
      <c r="F50" s="21" t="n">
        <f aca="false">(ABS(F9-J9)/F9)*100</f>
        <v>0.337192107758438</v>
      </c>
      <c r="G50" s="36"/>
      <c r="H50" s="20" t="n">
        <f aca="false">(ABS(C9-K9)/C9)*100</f>
        <v>20.197559986731</v>
      </c>
      <c r="I50" s="21" t="n">
        <f aca="false">(ABS(D9-L9)/D9)*100</f>
        <v>50.7698062211926</v>
      </c>
      <c r="J50" s="21" t="n">
        <f aca="false">(ABS(E9-M9)/E9)*100</f>
        <v>2.25037766993089</v>
      </c>
      <c r="K50" s="21" t="n">
        <f aca="false">(ABS(F9-N9)/F9)*100</f>
        <v>0.109739851481884</v>
      </c>
      <c r="L50" s="36"/>
    </row>
    <row r="51" customFormat="false" ht="15" hidden="false" customHeight="false" outlineLevel="0" collapsed="false">
      <c r="A51" s="10"/>
      <c r="B51" s="10" t="n">
        <v>6</v>
      </c>
      <c r="C51" s="20" t="n">
        <f aca="false">(ABS(C10-G10)/C10)*100</f>
        <v>12.1281000121768</v>
      </c>
      <c r="D51" s="21" t="n">
        <f aca="false">(ABS(D10-H10)/D10)*100</f>
        <v>35.9578033969136</v>
      </c>
      <c r="E51" s="21" t="n">
        <f aca="false">(ABS(E10-I10)/E10)*100</f>
        <v>10.7187567450896</v>
      </c>
      <c r="F51" s="21" t="n">
        <f aca="false">(ABS(F10-J10)/F10)*100</f>
        <v>0.300597906226356</v>
      </c>
      <c r="G51" s="36"/>
      <c r="H51" s="20" t="n">
        <f aca="false">(ABS(C10-K10)/C10)*100</f>
        <v>18.9737206460022</v>
      </c>
      <c r="I51" s="21" t="n">
        <f aca="false">(ABS(D10-L10)/D10)*100</f>
        <v>49.4663754888233</v>
      </c>
      <c r="J51" s="21" t="n">
        <f aca="false">(ABS(E10-M10)/E10)*100</f>
        <v>3.45092772461648</v>
      </c>
      <c r="K51" s="21" t="n">
        <f aca="false">(ABS(F10-N10)/F10)*100</f>
        <v>0.144518224147287</v>
      </c>
      <c r="L51" s="36"/>
    </row>
    <row r="52" customFormat="false" ht="15" hidden="false" customHeight="false" outlineLevel="0" collapsed="false">
      <c r="A52" s="10"/>
      <c r="B52" s="10" t="n">
        <v>7</v>
      </c>
      <c r="C52" s="20" t="n">
        <f aca="false">(ABS(C11-G11)/C11)*100</f>
        <v>2.56156017708616</v>
      </c>
      <c r="D52" s="21" t="n">
        <f aca="false">(ABS(D11-H11)/D11)*100</f>
        <v>33.4385486190494</v>
      </c>
      <c r="E52" s="21" t="n">
        <f aca="false">(ABS(E11-I11)/E11)*100</f>
        <v>7.38379949146386</v>
      </c>
      <c r="F52" s="21" t="n">
        <f aca="false">(ABS(F11-J11)/F11)*100</f>
        <v>0.0453743962046328</v>
      </c>
      <c r="G52" s="36"/>
      <c r="H52" s="20" t="n">
        <f aca="false">(ABS(C11-K11)/C11)*100</f>
        <v>19.4093759670584</v>
      </c>
      <c r="I52" s="21" t="n">
        <f aca="false">(ABS(D11-L11)/D11)*100</f>
        <v>33.2940005162432</v>
      </c>
      <c r="J52" s="21" t="n">
        <f aca="false">(ABS(E11-M11)/E11)*100</f>
        <v>0.778205593897566</v>
      </c>
      <c r="K52" s="21" t="n">
        <f aca="false">(ABS(F11-N11)/F11)*100</f>
        <v>0.288966618867197</v>
      </c>
      <c r="L52" s="36"/>
    </row>
    <row r="53" customFormat="false" ht="15" hidden="false" customHeight="false" outlineLevel="0" collapsed="false">
      <c r="A53" s="10"/>
      <c r="B53" s="10" t="n">
        <v>8</v>
      </c>
      <c r="C53" s="20" t="n">
        <f aca="false">(ABS(C12-G12)/C12)*100</f>
        <v>15.6545394195662</v>
      </c>
      <c r="D53" s="21" t="n">
        <f aca="false">(ABS(D12-H12)/D12)*100</f>
        <v>24.5213981037864</v>
      </c>
      <c r="E53" s="21" t="n">
        <f aca="false">(ABS(E12-I12)/E12)*100</f>
        <v>7.62064845080491</v>
      </c>
      <c r="F53" s="21" t="n">
        <f aca="false">(ABS(F12-J12)/F12)*100</f>
        <v>0.205926469244592</v>
      </c>
      <c r="G53" s="36"/>
      <c r="H53" s="20" t="n">
        <f aca="false">(ABS(C12-K12)/C12)*100</f>
        <v>20.1528292901159</v>
      </c>
      <c r="I53" s="21" t="n">
        <f aca="false">(ABS(D12-L12)/D12)*100</f>
        <v>27.3583062108746</v>
      </c>
      <c r="J53" s="21" t="n">
        <f aca="false">(ABS(E12-M12)/E12)*100</f>
        <v>0.698345270291228</v>
      </c>
      <c r="K53" s="21" t="n">
        <f aca="false">(ABS(F12-N12)/F12)*100</f>
        <v>0.251991056109966</v>
      </c>
      <c r="L53" s="36"/>
    </row>
    <row r="54" customFormat="false" ht="15" hidden="false" customHeight="false" outlineLevel="0" collapsed="false">
      <c r="A54" s="10"/>
      <c r="B54" s="10" t="n">
        <v>9</v>
      </c>
      <c r="C54" s="20" t="n">
        <f aca="false">(ABS(C13-G13)/C13)*100</f>
        <v>12.3163941706691</v>
      </c>
      <c r="D54" s="21" t="n">
        <f aca="false">(ABS(D13-H13)/D13)*100</f>
        <v>64.7287554565409</v>
      </c>
      <c r="E54" s="21" t="n">
        <f aca="false">(ABS(E13-I13)/E13)*100</f>
        <v>1.56121148511882</v>
      </c>
      <c r="F54" s="21" t="n">
        <f aca="false">(ABS(F13-J13)/F13)*100</f>
        <v>0.353163731816102</v>
      </c>
      <c r="G54" s="36"/>
      <c r="H54" s="20" t="n">
        <f aca="false">(ABS(C13-K13)/C13)*100</f>
        <v>13.4283094282519</v>
      </c>
      <c r="I54" s="21" t="n">
        <f aca="false">(ABS(D13-L13)/D13)*100</f>
        <v>102.892891493962</v>
      </c>
      <c r="J54" s="21" t="n">
        <f aca="false">(ABS(E13-M13)/E13)*100</f>
        <v>10.6749006672164</v>
      </c>
      <c r="K54" s="21" t="n">
        <f aca="false">(ABS(F13-N13)/F13)*100</f>
        <v>0.0972923217397239</v>
      </c>
      <c r="L54" s="36"/>
    </row>
    <row r="55" customFormat="false" ht="15" hidden="false" customHeight="false" outlineLevel="0" collapsed="false">
      <c r="A55" s="10"/>
      <c r="B55" s="10" t="n">
        <v>10</v>
      </c>
      <c r="C55" s="20" t="n">
        <f aca="false">(ABS(C14-G14)/C14)*100</f>
        <v>6.54315956657576</v>
      </c>
      <c r="D55" s="21" t="n">
        <f aca="false">(ABS(D14-H14)/D14)*100</f>
        <v>58.3340576560916</v>
      </c>
      <c r="E55" s="21" t="n">
        <f aca="false">(ABS(E14-I14)/E14)*100</f>
        <v>7.41950816643322</v>
      </c>
      <c r="F55" s="21" t="n">
        <f aca="false">(ABS(F14-J14)/F14)*100</f>
        <v>0.287071776722102</v>
      </c>
      <c r="G55" s="36"/>
      <c r="H55" s="20" t="n">
        <f aca="false">(ABS(C14-K14)/C14)*100</f>
        <v>15.6246408158574</v>
      </c>
      <c r="I55" s="21" t="n">
        <f aca="false">(ABS(D14-L14)/D14)*100</f>
        <v>77.7169346660872</v>
      </c>
      <c r="J55" s="21" t="n">
        <f aca="false">(ABS(E14-M14)/E14)*100</f>
        <v>6.96645785400379</v>
      </c>
      <c r="K55" s="21" t="n">
        <f aca="false">(ABS(F14-N14)/F14)*100</f>
        <v>0.113674076469871</v>
      </c>
      <c r="L55" s="36"/>
    </row>
    <row r="56" customFormat="false" ht="15" hidden="false" customHeight="false" outlineLevel="0" collapsed="false">
      <c r="A56" s="10"/>
      <c r="B56" s="10" t="n">
        <v>11</v>
      </c>
      <c r="C56" s="20" t="n">
        <f aca="false">(ABS(C15-G15)/C15)*100</f>
        <v>14.3104189646469</v>
      </c>
      <c r="D56" s="21" t="n">
        <f aca="false">(ABS(D15-H15)/D15)*100</f>
        <v>70.0119834817618</v>
      </c>
      <c r="E56" s="21" t="n">
        <f aca="false">(ABS(E15-I15)/E15)*100</f>
        <v>0.851617026816961</v>
      </c>
      <c r="F56" s="21" t="n">
        <f aca="false">(ABS(F15-J15)/F15)*100</f>
        <v>0.303585390447455</v>
      </c>
      <c r="G56" s="36"/>
      <c r="H56" s="20" t="n">
        <f aca="false">(ABS(C15-K15)/C15)*100</f>
        <v>12.2172783189067</v>
      </c>
      <c r="I56" s="21" t="n">
        <f aca="false">(ABS(D15-L15)/D15)*100</f>
        <v>111.993827213711</v>
      </c>
      <c r="J56" s="21" t="n">
        <f aca="false">(ABS(E15-M15)/E15)*100</f>
        <v>12.2189387632714</v>
      </c>
      <c r="K56" s="21" t="n">
        <f aca="false">(ABS(F15-N15)/F15)*100</f>
        <v>0.0884288365895269</v>
      </c>
      <c r="L56" s="36"/>
    </row>
    <row r="57" customFormat="false" ht="15" hidden="false" customHeight="false" outlineLevel="0" collapsed="false">
      <c r="A57" s="10"/>
      <c r="B57" s="10" t="n">
        <v>12</v>
      </c>
      <c r="C57" s="20" t="n">
        <f aca="false">(ABS(C16-G16)/C16)*100</f>
        <v>8.91545475968893</v>
      </c>
      <c r="D57" s="21" t="n">
        <f aca="false">(ABS(D16-H16)/D16)*100</f>
        <v>30.8705699676713</v>
      </c>
      <c r="E57" s="21" t="n">
        <f aca="false">(ABS(E16-I16)/E16)*100</f>
        <v>10.0036942313157</v>
      </c>
      <c r="F57" s="21" t="n">
        <f aca="false">(ABS(F16-J16)/F16)*100</f>
        <v>0.0937912901891174</v>
      </c>
      <c r="G57" s="36"/>
      <c r="H57" s="20" t="n">
        <f aca="false">(ABS(C16-K16)/C16)*100</f>
        <v>18.3896981582742</v>
      </c>
      <c r="I57" s="21" t="n">
        <f aca="false">(ABS(D16-L16)/D16)*100</f>
        <v>47.5328897488309</v>
      </c>
      <c r="J57" s="21" t="n">
        <f aca="false">(ABS(E16-M16)/E16)*100</f>
        <v>4.08653026427963</v>
      </c>
      <c r="K57" s="21" t="n">
        <f aca="false">(ABS(F16-N16)/F16)*100</f>
        <v>0.118949110467522</v>
      </c>
      <c r="L57" s="36"/>
    </row>
    <row r="58" customFormat="false" ht="15" hidden="false" customHeight="false" outlineLevel="0" collapsed="false">
      <c r="A58" s="10"/>
      <c r="B58" s="10" t="n">
        <v>13</v>
      </c>
      <c r="C58" s="20" t="n">
        <f aca="false">(ABS(C17-G17)/C17)*100</f>
        <v>18.2661003358698</v>
      </c>
      <c r="D58" s="21" t="n">
        <f aca="false">(ABS(D17-H17)/D17)*100</f>
        <v>69.7146836231698</v>
      </c>
      <c r="E58" s="21" t="n">
        <f aca="false">(ABS(E17-I17)/E17)*100</f>
        <v>10.6331906352701</v>
      </c>
      <c r="F58" s="21" t="n">
        <f aca="false">(ABS(F17-J17)/F17)*100</f>
        <v>0.329067393246746</v>
      </c>
      <c r="G58" s="36"/>
      <c r="H58" s="20" t="n">
        <f aca="false">(ABS(C17-K17)/C17)*100</f>
        <v>10.3327461783942</v>
      </c>
      <c r="I58" s="21" t="n">
        <f aca="false">(ABS(D17-L17)/D17)*100</f>
        <v>123.98435066244</v>
      </c>
      <c r="J58" s="21" t="n">
        <f aca="false">(ABS(E17-M17)/E17)*100</f>
        <v>15.5153630211606</v>
      </c>
      <c r="K58" s="21" t="n">
        <f aca="false">(ABS(F17-N17)/F17)*100</f>
        <v>0.0849677421546678</v>
      </c>
      <c r="L58" s="36"/>
    </row>
    <row r="59" customFormat="false" ht="15" hidden="false" customHeight="false" outlineLevel="0" collapsed="false">
      <c r="A59" s="10"/>
      <c r="B59" s="10" t="n">
        <v>14</v>
      </c>
      <c r="C59" s="20" t="n">
        <f aca="false">(ABS(C18-G18)/C18)*100</f>
        <v>12.2755769318604</v>
      </c>
      <c r="D59" s="21" t="n">
        <f aca="false">(ABS(D18-H18)/D18)*100</f>
        <v>64.9350424689052</v>
      </c>
      <c r="E59" s="21" t="n">
        <f aca="false">(ABS(E18-I18)/E18)*100</f>
        <v>0.762769050899515</v>
      </c>
      <c r="F59" s="21" t="n">
        <f aca="false">(ABS(F18-J18)/F18)*100</f>
        <v>0.310295050119396</v>
      </c>
      <c r="G59" s="36"/>
      <c r="H59" s="20" t="n">
        <f aca="false">(ABS(C18-K18)/C18)*100</f>
        <v>13.2234112902105</v>
      </c>
      <c r="I59" s="21" t="n">
        <f aca="false">(ABS(D18-L18)/D18)*100</f>
        <v>112.273600083035</v>
      </c>
      <c r="J59" s="21" t="n">
        <f aca="false">(ABS(E18-M18)/E18)*100</f>
        <v>11.3947320440068</v>
      </c>
      <c r="K59" s="21" t="n">
        <f aca="false">(ABS(F18-N18)/F18)*100</f>
        <v>0.0874897130445341</v>
      </c>
      <c r="L59" s="36"/>
    </row>
    <row r="60" customFormat="false" ht="15" hidden="false" customHeight="false" outlineLevel="0" collapsed="false">
      <c r="A60" s="10"/>
      <c r="B60" s="10" t="n">
        <v>15</v>
      </c>
      <c r="C60" s="20" t="n">
        <f aca="false">(ABS(C19-G19)/C19)*100</f>
        <v>14.2827684917882</v>
      </c>
      <c r="D60" s="21" t="n">
        <f aca="false">(ABS(D19-H19)/D19)*100</f>
        <v>29.7165487147519</v>
      </c>
      <c r="E60" s="21" t="n">
        <f aca="false">(ABS(E19-I19)/E19)*100</f>
        <v>10.5450168383651</v>
      </c>
      <c r="F60" s="21" t="n">
        <f aca="false">(ABS(F19-J19)/F19)*100</f>
        <v>0.222150485464711</v>
      </c>
      <c r="G60" s="36"/>
      <c r="H60" s="20" t="n">
        <f aca="false">(ABS(C19-K19)/C19)*100</f>
        <v>21.2864801921351</v>
      </c>
      <c r="I60" s="21" t="n">
        <f aca="false">(ABS(D19-L19)/D19)*100</f>
        <v>36.3697700854387</v>
      </c>
      <c r="J60" s="21" t="n">
        <f aca="false">(ABS(E19-M19)/E19)*100</f>
        <v>0.413500969931385</v>
      </c>
      <c r="K60" s="21" t="n">
        <f aca="false">(ABS(F19-N19)/F19)*100</f>
        <v>0.372734004560166</v>
      </c>
      <c r="L60" s="36"/>
    </row>
    <row r="61" customFormat="false" ht="15" hidden="false" customHeight="false" outlineLevel="0" collapsed="false">
      <c r="A61" s="10"/>
      <c r="B61" s="10" t="n">
        <v>16</v>
      </c>
      <c r="C61" s="20" t="n">
        <f aca="false">(ABS(C20-G20)/C20)*100</f>
        <v>13.7437954297481</v>
      </c>
      <c r="D61" s="21" t="n">
        <f aca="false">(ABS(D20-H20)/D20)*100</f>
        <v>65.949905275748</v>
      </c>
      <c r="E61" s="21" t="n">
        <f aca="false">(ABS(E20-I20)/E20)*100</f>
        <v>1.12049078998548</v>
      </c>
      <c r="F61" s="21" t="n">
        <f aca="false">(ABS(F20-J20)/F20)*100</f>
        <v>0.33130080134141</v>
      </c>
      <c r="G61" s="36"/>
      <c r="H61" s="20" t="n">
        <f aca="false">(ABS(C20-K20)/C20)*100</f>
        <v>13.7793324420266</v>
      </c>
      <c r="I61" s="21" t="n">
        <f aca="false">(ABS(D20-L20)/D20)*100</f>
        <v>121.799673485067</v>
      </c>
      <c r="J61" s="21" t="n">
        <f aca="false">(ABS(E20-M20)/E20)*100</f>
        <v>12.4334233217671</v>
      </c>
      <c r="K61" s="21" t="n">
        <f aca="false">(ABS(F20-N20)/F20)*100</f>
        <v>0.108385198971252</v>
      </c>
      <c r="L61" s="36"/>
    </row>
    <row r="62" customFormat="false" ht="15" hidden="false" customHeight="false" outlineLevel="0" collapsed="false">
      <c r="A62" s="10"/>
      <c r="B62" s="10" t="n">
        <v>17</v>
      </c>
      <c r="C62" s="20" t="n">
        <f aca="false">(ABS(C21-G21)/C21)*100</f>
        <v>8.74107901864263</v>
      </c>
      <c r="D62" s="21" t="n">
        <f aca="false">(ABS(D21-H21)/D21)*100</f>
        <v>54.8781841829775</v>
      </c>
      <c r="E62" s="21" t="n">
        <f aca="false">(ABS(E21-I21)/E21)*100</f>
        <v>14.067674562415</v>
      </c>
      <c r="F62" s="21" t="n">
        <f aca="false">(ABS(F21-J21)/F21)*100</f>
        <v>0.323770690269882</v>
      </c>
      <c r="G62" s="36"/>
      <c r="H62" s="20" t="n">
        <f aca="false">(ABS(C21-K21)/C21)*100</f>
        <v>24.128330334961</v>
      </c>
      <c r="I62" s="21" t="n">
        <f aca="false">(ABS(D21-L21)/D21)*100</f>
        <v>92.1303492687879</v>
      </c>
      <c r="J62" s="21" t="n">
        <f aca="false">(ABS(E21-M21)/E21)*100</f>
        <v>5.2570888685859</v>
      </c>
      <c r="K62" s="21" t="n">
        <f aca="false">(ABS(F21-N21)/F21)*100</f>
        <v>0.353931220341198</v>
      </c>
      <c r="L62" s="36"/>
    </row>
    <row r="63" customFormat="false" ht="15" hidden="false" customHeight="false" outlineLevel="0" collapsed="false">
      <c r="A63" s="10"/>
      <c r="B63" s="10" t="n">
        <v>18</v>
      </c>
      <c r="C63" s="20" t="n">
        <f aca="false">(ABS(C22-G22)/C22)*100</f>
        <v>15.1675117225436</v>
      </c>
      <c r="D63" s="21" t="n">
        <f aca="false">(ABS(D22-H22)/D22)*100</f>
        <v>26.4460025235146</v>
      </c>
      <c r="E63" s="21" t="n">
        <f aca="false">(ABS(E22-I22)/E22)*100</f>
        <v>11.1036495036735</v>
      </c>
      <c r="F63" s="21" t="n">
        <f aca="false">(ABS(F22-J22)/F22)*100</f>
        <v>0.133637674854052</v>
      </c>
      <c r="G63" s="36"/>
      <c r="H63" s="20" t="n">
        <f aca="false">(ABS(C22-K22)/C22)*100</f>
        <v>20.5875869136494</v>
      </c>
      <c r="I63" s="21" t="n">
        <f aca="false">(ABS(D22-L22)/D22)*100</f>
        <v>34.6223331039229</v>
      </c>
      <c r="J63" s="21" t="n">
        <f aca="false">(ABS(E22-M22)/E22)*100</f>
        <v>0.376931524106454</v>
      </c>
      <c r="K63" s="21" t="n">
        <f aca="false">(ABS(F22-N22)/F22)*100</f>
        <v>0.357717638053827</v>
      </c>
      <c r="L63" s="36"/>
    </row>
    <row r="64" customFormat="false" ht="15" hidden="false" customHeight="false" outlineLevel="0" collapsed="false">
      <c r="A64" s="10"/>
      <c r="B64" s="10" t="n">
        <v>19</v>
      </c>
      <c r="C64" s="20" t="n">
        <f aca="false">(ABS(C23-G23)/C23)*100</f>
        <v>9.3729470655181</v>
      </c>
      <c r="D64" s="21" t="n">
        <f aca="false">(ABS(D23-H23)/D23)*100</f>
        <v>32.6948502568623</v>
      </c>
      <c r="E64" s="21" t="n">
        <f aca="false">(ABS(E23-I23)/E23)*100</f>
        <v>9.4392304505251</v>
      </c>
      <c r="F64" s="21" t="n">
        <f aca="false">(ABS(F23-J23)/F23)*100</f>
        <v>0.229899976474597</v>
      </c>
      <c r="G64" s="36"/>
      <c r="H64" s="20" t="n">
        <f aca="false">(ABS(C23-K23)/C23)*100</f>
        <v>19.6660714120488</v>
      </c>
      <c r="I64" s="21" t="n">
        <f aca="false">(ABS(D23-L23)/D23)*100</f>
        <v>42.7818742723332</v>
      </c>
      <c r="J64" s="21" t="n">
        <f aca="false">(ABS(E23-M23)/E23)*100</f>
        <v>2.24722137157062</v>
      </c>
      <c r="K64" s="21" t="n">
        <f aca="false">(ABS(F23-N23)/F23)*100</f>
        <v>0.245345620624478</v>
      </c>
      <c r="L64" s="36"/>
    </row>
    <row r="65" customFormat="false" ht="15" hidden="false" customHeight="false" outlineLevel="0" collapsed="false">
      <c r="A65" s="10"/>
      <c r="B65" s="10" t="n">
        <v>20</v>
      </c>
      <c r="C65" s="20" t="n">
        <f aca="false">(ABS(C24-G24)/C24)*100</f>
        <v>15.1588258946522</v>
      </c>
      <c r="D65" s="21" t="n">
        <f aca="false">(ABS(D24-H24)/D24)*100</f>
        <v>29.0604511009391</v>
      </c>
      <c r="E65" s="21" t="n">
        <f aca="false">(ABS(E24-I24)/E24)*100</f>
        <v>10.2425591320161</v>
      </c>
      <c r="F65" s="21" t="n">
        <f aca="false">(ABS(F24-J24)/F24)*100</f>
        <v>0.269799557258605</v>
      </c>
      <c r="G65" s="36"/>
      <c r="H65" s="20" t="n">
        <f aca="false">(ABS(C24-K24)/C24)*100</f>
        <v>19.5238022527268</v>
      </c>
      <c r="I65" s="21" t="n">
        <f aca="false">(ABS(D24-L24)/D24)*100</f>
        <v>36.8490605787831</v>
      </c>
      <c r="J65" s="21" t="n">
        <f aca="false">(ABS(E24-M24)/E24)*100</f>
        <v>1.85309911156557</v>
      </c>
      <c r="K65" s="21" t="n">
        <f aca="false">(ABS(F24-N24)/F24)*100</f>
        <v>0.233301047426839</v>
      </c>
      <c r="L65" s="36"/>
    </row>
    <row r="66" customFormat="false" ht="15" hidden="false" customHeight="false" outlineLevel="0" collapsed="false">
      <c r="A66" s="10"/>
      <c r="B66" s="10" t="n">
        <v>21</v>
      </c>
      <c r="C66" s="20" t="n">
        <f aca="false">(ABS(C25-G25)/C25)*100</f>
        <v>12.5724681983194</v>
      </c>
      <c r="D66" s="21" t="n">
        <f aca="false">(ABS(D25-H25)/D25)*100</f>
        <v>61.2711681677199</v>
      </c>
      <c r="E66" s="21" t="n">
        <f aca="false">(ABS(E25-I25)/E25)*100</f>
        <v>0.301952118451389</v>
      </c>
      <c r="F66" s="21" t="n">
        <f aca="false">(ABS(F25-J25)/F25)*100</f>
        <v>0.521859208286696</v>
      </c>
      <c r="G66" s="36"/>
      <c r="H66" s="20" t="n">
        <f aca="false">(ABS(C25-K25)/C25)*100</f>
        <v>13.6885311565819</v>
      </c>
      <c r="I66" s="21" t="n">
        <f aca="false">(ABS(D25-L25)/D25)*100</f>
        <v>101.329385812144</v>
      </c>
      <c r="J66" s="21" t="n">
        <f aca="false">(ABS(E25-M25)/E25)*100</f>
        <v>10.5070960742236</v>
      </c>
      <c r="K66" s="21" t="n">
        <f aca="false">(ABS(F25-N25)/F25)*100</f>
        <v>0.15136864274881</v>
      </c>
      <c r="L66" s="36"/>
    </row>
    <row r="67" customFormat="false" ht="15" hidden="false" customHeight="false" outlineLevel="0" collapsed="false">
      <c r="A67" s="10"/>
      <c r="B67" s="10" t="n">
        <v>22</v>
      </c>
      <c r="C67" s="20" t="n">
        <f aca="false">(ABS(C26-G26)/C26)*100</f>
        <v>11.1649334372142</v>
      </c>
      <c r="D67" s="21" t="n">
        <f aca="false">(ABS(D26-H26)/D26)*100</f>
        <v>36.7522926219258</v>
      </c>
      <c r="E67" s="21" t="n">
        <f aca="false">(ABS(E26-I26)/E26)*100</f>
        <v>10.8516086112336</v>
      </c>
      <c r="F67" s="21" t="n">
        <f aca="false">(ABS(F26-J26)/F26)*100</f>
        <v>0.300974670403954</v>
      </c>
      <c r="G67" s="36"/>
      <c r="H67" s="20" t="n">
        <f aca="false">(ABS(C26-K26)/C26)*100</f>
        <v>19.848824323605</v>
      </c>
      <c r="I67" s="21" t="n">
        <f aca="false">(ABS(D26-L26)/D26)*100</f>
        <v>41.7869424760317</v>
      </c>
      <c r="J67" s="21" t="n">
        <f aca="false">(ABS(E26-M26)/E26)*100</f>
        <v>2.54809589009306</v>
      </c>
      <c r="K67" s="21" t="n">
        <f aca="false">(ABS(F26-N26)/F26)*100</f>
        <v>0.214531683541487</v>
      </c>
      <c r="L67" s="36"/>
    </row>
    <row r="68" customFormat="false" ht="15" hidden="false" customHeight="false" outlineLevel="0" collapsed="false">
      <c r="A68" s="10"/>
      <c r="B68" s="10" t="n">
        <v>23</v>
      </c>
      <c r="C68" s="20" t="n">
        <f aca="false">(ABS(C27-G27)/C27)*100</f>
        <v>20.2121728356822</v>
      </c>
      <c r="D68" s="21" t="n">
        <f aca="false">(ABS(D27-H27)/D27)*100</f>
        <v>29.3525882258433</v>
      </c>
      <c r="E68" s="21" t="n">
        <f aca="false">(ABS(E27-I27)/E27)*100</f>
        <v>12.5282931822441</v>
      </c>
      <c r="F68" s="21" t="n">
        <f aca="false">(ABS(F27-J27)/F27)*100</f>
        <v>0.269233933168511</v>
      </c>
      <c r="G68" s="36"/>
      <c r="H68" s="20" t="n">
        <f aca="false">(ABS(C27-K27)/C27)*100</f>
        <v>20.7485416344019</v>
      </c>
      <c r="I68" s="21" t="n">
        <f aca="false">(ABS(D27-L27)/D27)*100</f>
        <v>39.0251438246544</v>
      </c>
      <c r="J68" s="21" t="n">
        <f aca="false">(ABS(E27-M27)/E27)*100</f>
        <v>2.76372129233165</v>
      </c>
      <c r="K68" s="21" t="n">
        <f aca="false">(ABS(F27-N27)/F27)*100</f>
        <v>0.1820294320771</v>
      </c>
      <c r="L68" s="36"/>
    </row>
    <row r="69" customFormat="false" ht="15" hidden="false" customHeight="false" outlineLevel="0" collapsed="false">
      <c r="A69" s="10"/>
      <c r="B69" s="10" t="n">
        <v>24</v>
      </c>
      <c r="C69" s="20" t="n">
        <f aca="false">(ABS(C28-G28)/C28)*100</f>
        <v>9.88167090602248</v>
      </c>
      <c r="D69" s="21" t="n">
        <f aca="false">(ABS(D28-H28)/D28)*100</f>
        <v>54.795698239972</v>
      </c>
      <c r="E69" s="21" t="n">
        <f aca="false">(ABS(E28-I28)/E28)*100</f>
        <v>1.72769272242208</v>
      </c>
      <c r="F69" s="21" t="n">
        <f aca="false">(ABS(F28-J28)/F28)*100</f>
        <v>0.621658997993673</v>
      </c>
      <c r="G69" s="36"/>
      <c r="H69" s="20" t="n">
        <f aca="false">(ABS(C28-K28)/C28)*100</f>
        <v>15.4426033373376</v>
      </c>
      <c r="I69" s="21" t="n">
        <f aca="false">(ABS(D28-L28)/D28)*100</f>
        <v>90.6179600869268</v>
      </c>
      <c r="J69" s="21" t="n">
        <f aca="false">(ABS(E28-M28)/E28)*100</f>
        <v>8.35048383948242</v>
      </c>
      <c r="K69" s="21" t="n">
        <f aca="false">(ABS(F28-N28)/F28)*100</f>
        <v>0.178110054061021</v>
      </c>
      <c r="L69" s="36"/>
    </row>
    <row r="70" customFormat="false" ht="15" hidden="false" customHeight="false" outlineLevel="0" collapsed="false">
      <c r="A70" s="10"/>
      <c r="B70" s="10" t="n">
        <v>25</v>
      </c>
      <c r="C70" s="20" t="n">
        <f aca="false">(ABS(C29-G29)/C29)*100</f>
        <v>8.01173178505694</v>
      </c>
      <c r="D70" s="21" t="n">
        <f aca="false">(ABS(D29-H29)/D29)*100</f>
        <v>46.6968103750438</v>
      </c>
      <c r="E70" s="21" t="n">
        <f aca="false">(ABS(E29-I29)/E29)*100</f>
        <v>12.3762923431635</v>
      </c>
      <c r="F70" s="21" t="n">
        <f aca="false">(ABS(F29-J29)/F29)*100</f>
        <v>0.101480847366673</v>
      </c>
      <c r="G70" s="36"/>
      <c r="H70" s="20" t="n">
        <f aca="false">(ABS(C29-K29)/C29)*100</f>
        <v>26.0264064923858</v>
      </c>
      <c r="I70" s="21" t="n">
        <f aca="false">(ABS(D29-L29)/D29)*100</f>
        <v>49.5849982474588</v>
      </c>
      <c r="J70" s="21" t="n">
        <f aca="false">(ABS(E29-M29)/E29)*100</f>
        <v>0.0619608587961846</v>
      </c>
      <c r="K70" s="21" t="n">
        <f aca="false">(ABS(F29-N29)/F29)*100</f>
        <v>0.605403368001431</v>
      </c>
      <c r="L70" s="36"/>
    </row>
    <row r="71" customFormat="false" ht="15" hidden="false" customHeight="false" outlineLevel="0" collapsed="false">
      <c r="A71" s="10"/>
      <c r="B71" s="10" t="n">
        <v>26</v>
      </c>
      <c r="C71" s="20" t="n">
        <f aca="false">(ABS(C30-G30)/C30)*100</f>
        <v>10.1472805288183</v>
      </c>
      <c r="D71" s="21" t="n">
        <f aca="false">(ABS(D30-H30)/D30)*100</f>
        <v>29.3012290133577</v>
      </c>
      <c r="E71" s="21" t="n">
        <f aca="false">(ABS(E30-I30)/E30)*100</f>
        <v>8.78411623849385</v>
      </c>
      <c r="F71" s="21" t="n">
        <f aca="false">(ABS(F30-J30)/F30)*100</f>
        <v>0.291577429740003</v>
      </c>
      <c r="G71" s="36"/>
      <c r="H71" s="20" t="n">
        <f aca="false">(ABS(C30-K30)/C30)*100</f>
        <v>20.0937239728844</v>
      </c>
      <c r="I71" s="21" t="n">
        <f aca="false">(ABS(D30-L30)/D30)*100</f>
        <v>35.2365882487513</v>
      </c>
      <c r="J71" s="21" t="n">
        <f aca="false">(ABS(E30-M30)/E30)*100</f>
        <v>1.11839875289167</v>
      </c>
      <c r="K71" s="21" t="n">
        <f aca="false">(ABS(F30-N30)/F30)*100</f>
        <v>0.325040278467152</v>
      </c>
      <c r="L71" s="36"/>
    </row>
    <row r="72" customFormat="false" ht="15" hidden="false" customHeight="false" outlineLevel="0" collapsed="false">
      <c r="A72" s="10"/>
      <c r="B72" s="10" t="n">
        <v>27</v>
      </c>
      <c r="C72" s="20" t="n">
        <f aca="false">(ABS(C31-G31)/C31)*100</f>
        <v>6.61924782383041</v>
      </c>
      <c r="D72" s="21" t="n">
        <f aca="false">(ABS(D31-H31)/D31)*100</f>
        <v>54.6912572194797</v>
      </c>
      <c r="E72" s="21" t="n">
        <f aca="false">(ABS(E31-I31)/E31)*100</f>
        <v>13.1881106242358</v>
      </c>
      <c r="F72" s="21" t="n">
        <f aca="false">(ABS(F31-J31)/F31)*100</f>
        <v>0.336725728296566</v>
      </c>
      <c r="G72" s="36"/>
      <c r="H72" s="20" t="n">
        <f aca="false">(ABS(C31-K31)/C31)*100</f>
        <v>26.8099913963363</v>
      </c>
      <c r="I72" s="21" t="n">
        <f aca="false">(ABS(D31-L31)/D31)*100</f>
        <v>83.7474624137595</v>
      </c>
      <c r="J72" s="21" t="n">
        <f aca="false">(ABS(E31-M31)/E31)*100</f>
        <v>2.28445539868947</v>
      </c>
      <c r="K72" s="21" t="n">
        <f aca="false">(ABS(F31-N31)/F31)*100</f>
        <v>0.672378771098992</v>
      </c>
      <c r="L72" s="36"/>
    </row>
    <row r="73" customFormat="false" ht="15" hidden="false" customHeight="false" outlineLevel="0" collapsed="false">
      <c r="A73" s="10"/>
      <c r="B73" s="10" t="n">
        <v>28</v>
      </c>
      <c r="C73" s="20" t="n">
        <f aca="false">(ABS(C32-G32)/C32)*100</f>
        <v>13.7614232261834</v>
      </c>
      <c r="D73" s="21" t="n">
        <f aca="false">(ABS(D32-H32)/D32)*100</f>
        <v>43.9678547421053</v>
      </c>
      <c r="E73" s="21" t="n">
        <f aca="false">(ABS(E32-I32)/E32)*100</f>
        <v>12.0407682967151</v>
      </c>
      <c r="F73" s="21" t="n">
        <f aca="false">(ABS(F32-J32)/F32)*100</f>
        <v>0.171383363041054</v>
      </c>
      <c r="G73" s="36"/>
      <c r="H73" s="20" t="n">
        <f aca="false">(ABS(C32-K32)/C32)*100</f>
        <v>30.0724688078116</v>
      </c>
      <c r="I73" s="21" t="n">
        <f aca="false">(ABS(D32-L32)/D32)*100</f>
        <v>36.3650782860898</v>
      </c>
      <c r="J73" s="21" t="n">
        <f aca="false">(ABS(E32-M32)/E32)*100</f>
        <v>3.49481733244585</v>
      </c>
      <c r="K73" s="21" t="n">
        <f aca="false">(ABS(F32-N32)/F32)*100</f>
        <v>0.9249745021971</v>
      </c>
      <c r="L73" s="36"/>
    </row>
    <row r="74" customFormat="false" ht="15" hidden="false" customHeight="false" outlineLevel="0" collapsed="false">
      <c r="A74" s="10"/>
      <c r="B74" s="10" t="n">
        <v>29</v>
      </c>
      <c r="C74" s="20" t="n">
        <f aca="false">(ABS(C33-G33)/C33)*100</f>
        <v>18.8764739199835</v>
      </c>
      <c r="D74" s="21" t="n">
        <f aca="false">(ABS(D33-H33)/D33)*100</f>
        <v>42.5227285099897</v>
      </c>
      <c r="E74" s="21" t="n">
        <f aca="false">(ABS(E33-I33)/E33)*100</f>
        <v>13.8117276975784</v>
      </c>
      <c r="F74" s="21" t="n">
        <f aca="false">(ABS(F33-J33)/F33)*100</f>
        <v>0.24013335099004</v>
      </c>
      <c r="G74" s="36"/>
      <c r="H74" s="20" t="n">
        <f aca="false">(ABS(C33-K33)/C33)*100</f>
        <v>28.9820297615983</v>
      </c>
      <c r="I74" s="21" t="n">
        <f aca="false">(ABS(D33-L33)/D33)*100</f>
        <v>51.3249224236485</v>
      </c>
      <c r="J74" s="21" t="n">
        <f aca="false">(ABS(E33-M33)/E33)*100</f>
        <v>0.244063384164806</v>
      </c>
      <c r="K74" s="21" t="n">
        <f aca="false">(ABS(F33-N33)/F33)*100</f>
        <v>0.66717279701516</v>
      </c>
      <c r="L74" s="36"/>
    </row>
    <row r="75" customFormat="false" ht="15" hidden="false" customHeight="false" outlineLevel="0" collapsed="false">
      <c r="A75" s="10"/>
      <c r="B75" s="10" t="n">
        <v>30</v>
      </c>
      <c r="C75" s="20" t="n">
        <f aca="false">(ABS(C34-G34)/C34)*100</f>
        <v>14.2881846872163</v>
      </c>
      <c r="D75" s="21" t="n">
        <f aca="false">(ABS(D34-H34)/D34)*100</f>
        <v>60.9796141743057</v>
      </c>
      <c r="E75" s="21" t="n">
        <f aca="false">(ABS(E34-I34)/E34)*100</f>
        <v>4.9710763558362</v>
      </c>
      <c r="F75" s="21" t="n">
        <f aca="false">(ABS(F34-J34)/F34)*100</f>
        <v>0.612056164370332</v>
      </c>
      <c r="G75" s="36"/>
      <c r="H75" s="20" t="n">
        <f aca="false">(ABS(C34-K34)/C34)*100</f>
        <v>12.209476084231</v>
      </c>
      <c r="I75" s="21" t="n">
        <f aca="false">(ABS(D34-L34)/D34)*100</f>
        <v>107.398412915584</v>
      </c>
      <c r="J75" s="21" t="n">
        <f aca="false">(ABS(E34-M34)/E34)*100</f>
        <v>11.9168429077846</v>
      </c>
      <c r="K75" s="21" t="n">
        <f aca="false">(ABS(F34-N34)/F34)*100</f>
        <v>0.176733340459946</v>
      </c>
      <c r="L75" s="36"/>
    </row>
    <row r="76" customFormat="false" ht="15" hidden="false" customHeight="false" outlineLevel="0" collapsed="false">
      <c r="A76" s="10"/>
      <c r="B76" s="24" t="n">
        <v>31</v>
      </c>
      <c r="C76" s="20" t="n">
        <f aca="false">(ABS(C35-G35)/C35)*100</f>
        <v>18.7225036045695</v>
      </c>
      <c r="D76" s="21" t="n">
        <f aca="false">(ABS(D35-H35)/D35)*100</f>
        <v>31.8601972297924</v>
      </c>
      <c r="E76" s="21" t="n">
        <f aca="false">(ABS(E35-I35)/E35)*100</f>
        <v>13.5963083233635</v>
      </c>
      <c r="F76" s="21" t="n">
        <f aca="false">(ABS(F35-J35)/F35)*100</f>
        <v>0.762205005553316</v>
      </c>
      <c r="G76" s="36"/>
      <c r="H76" s="20" t="n">
        <f aca="false">(ABS(C35-K35)/C35)*100</f>
        <v>25.0757883840438</v>
      </c>
      <c r="I76" s="21" t="n">
        <f aca="false">(ABS(D35-L35)/D35)*100</f>
        <v>28.9832270390245</v>
      </c>
      <c r="J76" s="21" t="n">
        <f aca="false">(ABS(E35-M35)/E35)*100</f>
        <v>3.50145274312083</v>
      </c>
      <c r="K76" s="21" t="n">
        <f aca="false">(ABS(F35-N35)/F35)*100</f>
        <v>0.732923064489329</v>
      </c>
      <c r="L76" s="36"/>
    </row>
    <row r="77" customFormat="false" ht="15" hidden="false" customHeight="false" outlineLevel="0" collapsed="false">
      <c r="A77" s="10"/>
      <c r="B77" s="10" t="n">
        <v>32</v>
      </c>
      <c r="C77" s="20" t="n">
        <f aca="false">(ABS(C36-G36)/C36)*100</f>
        <v>15.9292573570469</v>
      </c>
      <c r="D77" s="21" t="n">
        <f aca="false">(ABS(D36-H36)/D36)*100</f>
        <v>35.4046320376209</v>
      </c>
      <c r="E77" s="21" t="n">
        <f aca="false">(ABS(E36-I36)/E36)*100</f>
        <v>11.7465678215089</v>
      </c>
      <c r="F77" s="21" t="n">
        <f aca="false">(ABS(F36-J36)/F36)*100</f>
        <v>0.134080196438028</v>
      </c>
      <c r="G77" s="25" t="s">
        <v>15</v>
      </c>
      <c r="H77" s="20" t="n">
        <f aca="false">(ABS(C36-K36)/C36)*100</f>
        <v>25.008154532538</v>
      </c>
      <c r="I77" s="21" t="n">
        <f aca="false">(ABS(D36-L36)/D36)*100</f>
        <v>45.1036800073646</v>
      </c>
      <c r="J77" s="21" t="n">
        <f aca="false">(ABS(E36-M36)/E36)*100</f>
        <v>0.879783237079992</v>
      </c>
      <c r="K77" s="21" t="n">
        <f aca="false">(ABS(F36-N36)/F36)*100</f>
        <v>0.622428505999115</v>
      </c>
      <c r="L77" s="25" t="s">
        <v>15</v>
      </c>
    </row>
    <row r="78" customFormat="false" ht="15" hidden="false" customHeight="false" outlineLevel="0" collapsed="false">
      <c r="A78" s="10"/>
      <c r="B78" s="10" t="s">
        <v>12</v>
      </c>
      <c r="C78" s="26" t="n">
        <f aca="false">(ABS(SUM(C4:C36)-SUM(G4:G36))/SUM(C4:C36))*100</f>
        <v>0.593688723530196</v>
      </c>
      <c r="D78" s="26" t="n">
        <f aca="false">(ABS(SUM(D4:D36)-SUM(H4:H36))/SUM(D4:D36))*100</f>
        <v>41.254652839063</v>
      </c>
      <c r="E78" s="26" t="n">
        <f aca="false">(ABS(SUM(E4:E36)-SUM(I4:I36))/SUM(E4:E36))*100</f>
        <v>7.89521152366365</v>
      </c>
      <c r="F78" s="26" t="n">
        <f aca="false">(ABS(SUM(F4:F36)-SUM(J4:J36))/SUM(F4:F36))*100</f>
        <v>0.188040107687408</v>
      </c>
      <c r="G78" s="27" t="n">
        <f aca="false">SUM(C45:F77)/COUNT(C45:F77)</f>
        <v>15.7583724977379</v>
      </c>
      <c r="H78" s="26" t="n">
        <f aca="false">(ABS(SUM(C4:C36)-SUM(K4:K36))/SUM(C4:C36))*100</f>
        <v>16.5388765819619</v>
      </c>
      <c r="I78" s="26" t="n">
        <f aca="false">(ABS(SUM(D4:D36)-SUM(L4:L36))/SUM(D4:D36))*100</f>
        <v>57.3424276952541</v>
      </c>
      <c r="J78" s="26" t="n">
        <f aca="false">(ABS(SUM(E4:E36)-SUM(M4:M36))/SUM(E4:E36))*100</f>
        <v>3.49020329744015</v>
      </c>
      <c r="K78" s="26" t="n">
        <f aca="false">(ABS(SUM(F4:F36)-SUM(N4:N36))/SUM(F4:F36))*100</f>
        <v>0.286463471844893</v>
      </c>
      <c r="L78" s="27" t="n">
        <f aca="false">SUM(H45:K77)/COUNT(H45:K77)</f>
        <v>20.7480778335276</v>
      </c>
    </row>
  </sheetData>
  <mergeCells count="10">
    <mergeCell ref="B1:B3"/>
    <mergeCell ref="C1:F2"/>
    <mergeCell ref="G2:J2"/>
    <mergeCell ref="K2:N2"/>
    <mergeCell ref="A3:A37"/>
    <mergeCell ref="B42:B44"/>
    <mergeCell ref="C42:L42"/>
    <mergeCell ref="C43:G43"/>
    <mergeCell ref="H43:L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2026-05-01T17:02:36Z</dcterms:created>
  <dc:creator>openpyxl</dc:creator>
  <dc:description/>
  <dc:language>fr-FR</dc:language>
  <cp:lastModifiedBy/>
  <dcterms:modified xsi:type="dcterms:W3CDTF">2026-08-28T20:59:35Z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