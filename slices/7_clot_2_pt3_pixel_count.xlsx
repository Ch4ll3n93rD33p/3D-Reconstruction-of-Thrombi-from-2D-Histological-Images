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<sst xmlns="http://schemas.openxmlformats.org/spreadsheetml/2006/main" count="77" uniqueCount="20">
  <si>
    <t xml:space="preserve">image</t>
  </si>
  <si>
    <t xml:space="preserve">Pre-alignement</t>
  </si>
  <si>
    <t xml:space="preserve">Shape of the array images</t>
  </si>
  <si>
    <t xml:space="preserve">Random correction</t>
  </si>
  <si>
    <t xml:space="preserve">Color classification</t>
  </si>
  <si>
    <t xml:space="preserve">(33, 1749, 1805, 3)</t>
  </si>
  <si>
    <t xml:space="preserve">7_clot_2_pt3/Col_clust</t>
  </si>
  <si>
    <t xml:space="preserve">#cb7237</t>
  </si>
  <si>
    <t xml:space="preserve">#e4a250</t>
  </si>
  <si>
    <t xml:space="preserve">#ef8d7f</t>
  </si>
  <si>
    <t xml:space="preserve">#f3bfaf</t>
  </si>
  <si>
    <t xml:space="preserve">#ffffff</t>
  </si>
  <si>
    <t xml:space="preserve">Total</t>
  </si>
  <si>
    <t xml:space="preserve">Error</t>
  </si>
  <si>
    <t xml:space="preserve">6_clot_1/Col_clust</t>
  </si>
  <si>
    <t xml:space="preserve">MAPE</t>
  </si>
  <si>
    <t xml:space="preserve">7_clot_2_pt3/Col_class</t>
  </si>
  <si>
    <t xml:space="preserve">#d76c3a</t>
  </si>
  <si>
    <t xml:space="preserve">#f6b354</t>
  </si>
  <si>
    <t xml:space="preserve">#fabeb3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</si>
</sst>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CB7237"/>
        <bgColor rgb="FFD76C3A"/>
      </patternFill>
    </fill>
    <fill>
      <patternFill patternType="solid">
        <fgColor rgb="FFE4A250"/>
        <bgColor rgb="FFF6B354"/>
      </patternFill>
    </fill>
    <fill>
      <patternFill patternType="solid">
        <fgColor rgb="FFEF8D7F"/>
        <bgColor rgb="FFE4A250"/>
      </patternFill>
    </fill>
    <fill>
      <patternFill patternType="solid">
        <fgColor rgb="FFF3BFAF"/>
        <bgColor rgb="FFFABEB3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theme="0" tint="-0.05"/>
        <bgColor rgb="FFEEEEEE"/>
      </patternFill>
    </fill>
    <fill>
      <patternFill patternType="solid">
        <fgColor rgb="FFD76C3A"/>
        <bgColor rgb="FFCB7237"/>
      </patternFill>
    </fill>
    <fill>
      <patternFill patternType="solid">
        <fgColor rgb="FFF6B354"/>
        <bgColor rgb="FFE4A250"/>
      </patternFill>
    </fill>
    <fill>
      <patternFill patternType="solid">
        <fgColor rgb="FFFABEB3"/>
        <bgColor rgb="FFF3BFA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B7237"/>
      <rgbColor rgb="FF800080"/>
      <rgbColor rgb="FF008080"/>
      <rgbColor rgb="FFC0C0C0"/>
      <rgbColor rgb="FF808080"/>
      <rgbColor rgb="FF9999FF"/>
      <rgbColor rgb="FF993366"/>
      <rgbColor rgb="FFF2F2F2"/>
      <rgbColor rgb="FFEEEEEE"/>
      <rgbColor rgb="FF660066"/>
      <rgbColor rgb="FFEF8D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ABEB3"/>
      <rgbColor rgb="FFCC99FF"/>
      <rgbColor rgb="FFF3BFAF"/>
      <rgbColor rgb="FF3366FF"/>
      <rgbColor rgb="FF33CCCC"/>
      <rgbColor rgb="FF99CC00"/>
      <rgbColor rgb="FFF6B354"/>
      <rgbColor rgb="FFE4A250"/>
      <rgbColor rgb="FFD76C3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R50" activeCellId="0" sqref="R50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3.07"/>
    <col collapsed="false" customWidth="true" hidden="false" outlineLevel="0" max="14" min="14" style="0" width="11.9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S1" s="2" t="s">
        <v>2</v>
      </c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3" t="s">
        <v>3</v>
      </c>
      <c r="I2" s="3"/>
      <c r="J2" s="3"/>
      <c r="K2" s="3"/>
      <c r="L2" s="3"/>
      <c r="M2" s="1" t="s">
        <v>4</v>
      </c>
      <c r="N2" s="1"/>
      <c r="O2" s="1"/>
      <c r="P2" s="1"/>
      <c r="Q2" s="1"/>
      <c r="S2" s="2" t="s">
        <v>5</v>
      </c>
    </row>
    <row r="3" customFormat="false" ht="15" hidden="false" customHeight="false" outlineLevel="0" collapsed="false">
      <c r="A3" s="1" t="s">
        <v>6</v>
      </c>
      <c r="B3" s="1"/>
      <c r="C3" s="4" t="s">
        <v>7</v>
      </c>
      <c r="D3" s="5" t="s">
        <v>8</v>
      </c>
      <c r="E3" s="6" t="s">
        <v>9</v>
      </c>
      <c r="F3" s="7" t="s">
        <v>10</v>
      </c>
      <c r="G3" s="8" t="s">
        <v>11</v>
      </c>
      <c r="H3" s="4" t="s">
        <v>7</v>
      </c>
      <c r="I3" s="5" t="s">
        <v>8</v>
      </c>
      <c r="J3" s="6" t="s">
        <v>9</v>
      </c>
      <c r="K3" s="7" t="s">
        <v>10</v>
      </c>
      <c r="L3" s="8" t="s">
        <v>11</v>
      </c>
      <c r="M3" s="4" t="s">
        <v>7</v>
      </c>
      <c r="N3" s="5" t="s">
        <v>8</v>
      </c>
      <c r="O3" s="6" t="s">
        <v>9</v>
      </c>
      <c r="P3" s="7" t="s">
        <v>10</v>
      </c>
      <c r="Q3" s="8" t="s">
        <v>11</v>
      </c>
    </row>
    <row r="4" customFormat="false" ht="15" hidden="false" customHeight="false" outlineLevel="0" collapsed="false">
      <c r="A4" s="1"/>
      <c r="B4" s="9" t="n">
        <v>0</v>
      </c>
      <c r="C4" s="9" t="n">
        <v>233753</v>
      </c>
      <c r="D4" s="9" t="n">
        <v>102724</v>
      </c>
      <c r="E4" s="9" t="n">
        <v>123129</v>
      </c>
      <c r="F4" s="9" t="n">
        <v>34559</v>
      </c>
      <c r="G4" s="9" t="n">
        <v>2662780</v>
      </c>
      <c r="H4" s="9" t="n">
        <v>233753</v>
      </c>
      <c r="I4" s="9" t="n">
        <v>102724</v>
      </c>
      <c r="J4" s="9" t="n">
        <v>123129</v>
      </c>
      <c r="K4" s="9" t="n">
        <v>34559</v>
      </c>
      <c r="L4" s="9" t="n">
        <v>2662780</v>
      </c>
      <c r="M4" s="9" t="n">
        <v>233753</v>
      </c>
      <c r="N4" s="9" t="n">
        <v>102724</v>
      </c>
      <c r="O4" s="9" t="n">
        <v>123129</v>
      </c>
      <c r="P4" s="9" t="n">
        <v>34559</v>
      </c>
      <c r="Q4" s="9" t="n">
        <v>2662780</v>
      </c>
    </row>
    <row r="5" customFormat="false" ht="15" hidden="false" customHeight="false" outlineLevel="0" collapsed="false">
      <c r="A5" s="1"/>
      <c r="B5" s="9" t="n">
        <v>1</v>
      </c>
      <c r="C5" s="9" t="n">
        <v>93348</v>
      </c>
      <c r="D5" s="9" t="n">
        <v>152971</v>
      </c>
      <c r="E5" s="9" t="n">
        <v>132180</v>
      </c>
      <c r="F5" s="9" t="n">
        <v>89903</v>
      </c>
      <c r="G5" s="9" t="n">
        <v>2688543</v>
      </c>
      <c r="H5" s="9" t="n">
        <v>109245</v>
      </c>
      <c r="I5" s="9" t="n">
        <v>18536</v>
      </c>
      <c r="J5" s="9" t="n">
        <v>225370</v>
      </c>
      <c r="K5" s="9" t="n">
        <v>97419</v>
      </c>
      <c r="L5" s="9" t="n">
        <v>2706375</v>
      </c>
      <c r="M5" s="9" t="n">
        <v>81946</v>
      </c>
      <c r="N5" s="9" t="n">
        <v>160613</v>
      </c>
      <c r="O5" s="9" t="n">
        <v>148657</v>
      </c>
      <c r="P5" s="9" t="n">
        <v>78820</v>
      </c>
      <c r="Q5" s="9" t="n">
        <v>2686909</v>
      </c>
    </row>
    <row r="6" customFormat="false" ht="15" hidden="false" customHeight="false" outlineLevel="0" collapsed="false">
      <c r="A6" s="1"/>
      <c r="B6" s="9" t="n">
        <v>2</v>
      </c>
      <c r="C6" s="9" t="n">
        <v>85307</v>
      </c>
      <c r="D6" s="9" t="n">
        <v>157309</v>
      </c>
      <c r="E6" s="9" t="n">
        <v>133016</v>
      </c>
      <c r="F6" s="9" t="n">
        <v>89614</v>
      </c>
      <c r="G6" s="9" t="n">
        <v>2691699</v>
      </c>
      <c r="H6" s="9" t="n">
        <v>83161</v>
      </c>
      <c r="I6" s="9" t="n">
        <v>18490</v>
      </c>
      <c r="J6" s="9" t="n">
        <v>232644</v>
      </c>
      <c r="K6" s="9" t="n">
        <v>114111</v>
      </c>
      <c r="L6" s="9" t="n">
        <v>2708539</v>
      </c>
      <c r="M6" s="9" t="n">
        <v>76258</v>
      </c>
      <c r="N6" s="9" t="n">
        <v>163207</v>
      </c>
      <c r="O6" s="9" t="n">
        <v>147231</v>
      </c>
      <c r="P6" s="9" t="n">
        <v>79918</v>
      </c>
      <c r="Q6" s="9" t="n">
        <v>2690331</v>
      </c>
    </row>
    <row r="7" customFormat="false" ht="15" hidden="false" customHeight="false" outlineLevel="0" collapsed="false">
      <c r="A7" s="1"/>
      <c r="B7" s="9" t="n">
        <v>3</v>
      </c>
      <c r="C7" s="9" t="n">
        <v>53675</v>
      </c>
      <c r="D7" s="9" t="n">
        <v>150557</v>
      </c>
      <c r="E7" s="9" t="n">
        <v>101201</v>
      </c>
      <c r="F7" s="9" t="n">
        <v>135192</v>
      </c>
      <c r="G7" s="9" t="n">
        <v>2716320</v>
      </c>
      <c r="H7" s="9" t="n">
        <v>50959</v>
      </c>
      <c r="I7" s="9" t="n">
        <v>40117</v>
      </c>
      <c r="J7" s="9" t="n">
        <v>156626</v>
      </c>
      <c r="K7" s="9" t="n">
        <v>175212</v>
      </c>
      <c r="L7" s="9" t="n">
        <v>2734031</v>
      </c>
      <c r="M7" s="9" t="n">
        <v>42113</v>
      </c>
      <c r="N7" s="9" t="n">
        <v>153201</v>
      </c>
      <c r="O7" s="9" t="n">
        <v>125215</v>
      </c>
      <c r="P7" s="9" t="n">
        <v>121795</v>
      </c>
      <c r="Q7" s="9" t="n">
        <v>2714621</v>
      </c>
    </row>
    <row r="8" customFormat="false" ht="15" hidden="false" customHeight="false" outlineLevel="0" collapsed="false">
      <c r="A8" s="1"/>
      <c r="B8" s="9" t="n">
        <v>4</v>
      </c>
      <c r="C8" s="9" t="n">
        <v>76036</v>
      </c>
      <c r="D8" s="9" t="n">
        <v>131916</v>
      </c>
      <c r="E8" s="9" t="n">
        <v>110366</v>
      </c>
      <c r="F8" s="9" t="n">
        <v>113424</v>
      </c>
      <c r="G8" s="9" t="n">
        <v>2725203</v>
      </c>
      <c r="H8" s="9" t="n">
        <v>90680</v>
      </c>
      <c r="I8" s="9" t="n">
        <v>26495</v>
      </c>
      <c r="J8" s="9" t="n">
        <v>164512</v>
      </c>
      <c r="K8" s="9" t="n">
        <v>128118</v>
      </c>
      <c r="L8" s="9" t="n">
        <v>2747140</v>
      </c>
      <c r="M8" s="9" t="n">
        <v>64504</v>
      </c>
      <c r="N8" s="9" t="n">
        <v>136310</v>
      </c>
      <c r="O8" s="9" t="n">
        <v>131248</v>
      </c>
      <c r="P8" s="9" t="n">
        <v>101817</v>
      </c>
      <c r="Q8" s="9" t="n">
        <v>2723066</v>
      </c>
    </row>
    <row r="9" customFormat="false" ht="15" hidden="false" customHeight="false" outlineLevel="0" collapsed="false">
      <c r="A9" s="1"/>
      <c r="B9" s="9" t="n">
        <v>5</v>
      </c>
      <c r="C9" s="9" t="n">
        <v>74120</v>
      </c>
      <c r="D9" s="9" t="n">
        <v>95596</v>
      </c>
      <c r="E9" s="9" t="n">
        <v>90692</v>
      </c>
      <c r="F9" s="9" t="n">
        <v>65948</v>
      </c>
      <c r="G9" s="9" t="n">
        <v>2830589</v>
      </c>
      <c r="H9" s="9" t="n">
        <v>72796</v>
      </c>
      <c r="I9" s="9" t="n">
        <v>11945</v>
      </c>
      <c r="J9" s="9" t="n">
        <v>147970</v>
      </c>
      <c r="K9" s="9" t="n">
        <v>72336</v>
      </c>
      <c r="L9" s="9" t="n">
        <v>2851898</v>
      </c>
      <c r="M9" s="9" t="n">
        <v>67900</v>
      </c>
      <c r="N9" s="9" t="n">
        <v>99758</v>
      </c>
      <c r="O9" s="9" t="n">
        <v>99793</v>
      </c>
      <c r="P9" s="9" t="n">
        <v>59825</v>
      </c>
      <c r="Q9" s="9" t="n">
        <v>2829669</v>
      </c>
    </row>
    <row r="10" customFormat="false" ht="15" hidden="false" customHeight="false" outlineLevel="0" collapsed="false">
      <c r="A10" s="1"/>
      <c r="B10" s="9" t="n">
        <v>6</v>
      </c>
      <c r="C10" s="9" t="n">
        <v>86686</v>
      </c>
      <c r="D10" s="9" t="n">
        <v>146273</v>
      </c>
      <c r="E10" s="9" t="n">
        <v>127603</v>
      </c>
      <c r="F10" s="9" t="n">
        <v>85103</v>
      </c>
      <c r="G10" s="9" t="n">
        <v>2711280</v>
      </c>
      <c r="H10" s="9" t="n">
        <v>72911</v>
      </c>
      <c r="I10" s="9" t="n">
        <v>13749</v>
      </c>
      <c r="J10" s="9" t="n">
        <v>242132</v>
      </c>
      <c r="K10" s="9" t="n">
        <v>98266</v>
      </c>
      <c r="L10" s="9" t="n">
        <v>2729887</v>
      </c>
      <c r="M10" s="9" t="n">
        <v>76012</v>
      </c>
      <c r="N10" s="9" t="n">
        <v>155354</v>
      </c>
      <c r="O10" s="9" t="n">
        <v>139930</v>
      </c>
      <c r="P10" s="9" t="n">
        <v>75509</v>
      </c>
      <c r="Q10" s="9" t="n">
        <v>2710140</v>
      </c>
    </row>
    <row r="11" customFormat="false" ht="15" hidden="false" customHeight="false" outlineLevel="0" collapsed="false">
      <c r="A11" s="1"/>
      <c r="B11" s="9" t="n">
        <v>7</v>
      </c>
      <c r="C11" s="9" t="n">
        <v>59815</v>
      </c>
      <c r="D11" s="9" t="n">
        <v>148573</v>
      </c>
      <c r="E11" s="9" t="n">
        <v>101282</v>
      </c>
      <c r="F11" s="9" t="n">
        <v>140422</v>
      </c>
      <c r="G11" s="9" t="n">
        <v>2706853</v>
      </c>
      <c r="H11" s="9" t="n">
        <v>68453</v>
      </c>
      <c r="I11" s="9" t="n">
        <v>30044</v>
      </c>
      <c r="J11" s="9" t="n">
        <v>149035</v>
      </c>
      <c r="K11" s="9" t="n">
        <v>182736</v>
      </c>
      <c r="L11" s="9" t="n">
        <v>2726677</v>
      </c>
      <c r="M11" s="9" t="n">
        <v>46786</v>
      </c>
      <c r="N11" s="9" t="n">
        <v>151936</v>
      </c>
      <c r="O11" s="9" t="n">
        <v>128006</v>
      </c>
      <c r="P11" s="9" t="n">
        <v>124974</v>
      </c>
      <c r="Q11" s="9" t="n">
        <v>2705243</v>
      </c>
    </row>
    <row r="12" customFormat="false" ht="15" hidden="false" customHeight="false" outlineLevel="0" collapsed="false">
      <c r="A12" s="1"/>
      <c r="B12" s="9" t="n">
        <v>8</v>
      </c>
      <c r="C12" s="9" t="n">
        <v>66091</v>
      </c>
      <c r="D12" s="9" t="n">
        <v>146094</v>
      </c>
      <c r="E12" s="9" t="n">
        <v>107217</v>
      </c>
      <c r="F12" s="9" t="n">
        <v>124006</v>
      </c>
      <c r="G12" s="9" t="n">
        <v>2713537</v>
      </c>
      <c r="H12" s="9" t="n">
        <v>83785</v>
      </c>
      <c r="I12" s="9" t="n">
        <v>24187</v>
      </c>
      <c r="J12" s="9" t="n">
        <v>149798</v>
      </c>
      <c r="K12" s="9" t="n">
        <v>170928</v>
      </c>
      <c r="L12" s="9" t="n">
        <v>2728247</v>
      </c>
      <c r="M12" s="9" t="n">
        <v>57630</v>
      </c>
      <c r="N12" s="9" t="n">
        <v>149937</v>
      </c>
      <c r="O12" s="9" t="n">
        <v>123321</v>
      </c>
      <c r="P12" s="9" t="n">
        <v>113394</v>
      </c>
      <c r="Q12" s="9" t="n">
        <v>2712663</v>
      </c>
    </row>
    <row r="13" customFormat="false" ht="15" hidden="false" customHeight="false" outlineLevel="0" collapsed="false">
      <c r="A13" s="1"/>
      <c r="B13" s="9" t="n">
        <v>9</v>
      </c>
      <c r="C13" s="9" t="n">
        <v>206871</v>
      </c>
      <c r="D13" s="9" t="n">
        <v>116719</v>
      </c>
      <c r="E13" s="9" t="n">
        <v>142827</v>
      </c>
      <c r="F13" s="9" t="n">
        <v>38520</v>
      </c>
      <c r="G13" s="9" t="n">
        <v>2652008</v>
      </c>
      <c r="H13" s="9" t="n">
        <v>232962</v>
      </c>
      <c r="I13" s="9" t="n">
        <v>7425</v>
      </c>
      <c r="J13" s="9" t="n">
        <v>212259</v>
      </c>
      <c r="K13" s="9" t="n">
        <v>33857</v>
      </c>
      <c r="L13" s="9" t="n">
        <v>2670442</v>
      </c>
      <c r="M13" s="9" t="n">
        <v>205874</v>
      </c>
      <c r="N13" s="9" t="n">
        <v>122002</v>
      </c>
      <c r="O13" s="9" t="n">
        <v>143711</v>
      </c>
      <c r="P13" s="9" t="n">
        <v>34313</v>
      </c>
      <c r="Q13" s="9" t="n">
        <v>2651045</v>
      </c>
    </row>
    <row r="14" customFormat="false" ht="15" hidden="false" customHeight="false" outlineLevel="0" collapsed="false">
      <c r="A14" s="1"/>
      <c r="B14" s="9" t="n">
        <v>10</v>
      </c>
      <c r="C14" s="9" t="n">
        <v>182644</v>
      </c>
      <c r="D14" s="9" t="n">
        <v>127088</v>
      </c>
      <c r="E14" s="9" t="n">
        <v>154992</v>
      </c>
      <c r="F14" s="9" t="n">
        <v>50855</v>
      </c>
      <c r="G14" s="9" t="n">
        <v>2641366</v>
      </c>
      <c r="H14" s="9" t="n">
        <v>211978</v>
      </c>
      <c r="I14" s="9" t="n">
        <v>6761</v>
      </c>
      <c r="J14" s="9" t="n">
        <v>231261</v>
      </c>
      <c r="K14" s="9" t="n">
        <v>49194</v>
      </c>
      <c r="L14" s="9" t="n">
        <v>2657751</v>
      </c>
      <c r="M14" s="9" t="n">
        <v>180301</v>
      </c>
      <c r="N14" s="9" t="n">
        <v>132961</v>
      </c>
      <c r="O14" s="9" t="n">
        <v>157673</v>
      </c>
      <c r="P14" s="9" t="n">
        <v>45430</v>
      </c>
      <c r="Q14" s="9" t="n">
        <v>2640580</v>
      </c>
    </row>
    <row r="15" customFormat="false" ht="15" hidden="false" customHeight="false" outlineLevel="0" collapsed="false">
      <c r="A15" s="1"/>
      <c r="B15" s="9" t="n">
        <v>11</v>
      </c>
      <c r="C15" s="9" t="n">
        <v>248083</v>
      </c>
      <c r="D15" s="9" t="n">
        <v>98397</v>
      </c>
      <c r="E15" s="9" t="n">
        <v>134316</v>
      </c>
      <c r="F15" s="9" t="n">
        <v>34249</v>
      </c>
      <c r="G15" s="9" t="n">
        <v>2641900</v>
      </c>
      <c r="H15" s="9" t="n">
        <v>261088</v>
      </c>
      <c r="I15" s="9" t="n">
        <v>1574</v>
      </c>
      <c r="J15" s="9" t="n">
        <v>200687</v>
      </c>
      <c r="K15" s="9" t="n">
        <v>32327</v>
      </c>
      <c r="L15" s="9" t="n">
        <v>2661269</v>
      </c>
      <c r="M15" s="9" t="n">
        <v>249425</v>
      </c>
      <c r="N15" s="9" t="n">
        <v>102921</v>
      </c>
      <c r="O15" s="9" t="n">
        <v>132396</v>
      </c>
      <c r="P15" s="9" t="n">
        <v>31033</v>
      </c>
      <c r="Q15" s="9" t="n">
        <v>2641170</v>
      </c>
    </row>
    <row r="16" customFormat="false" ht="15" hidden="false" customHeight="false" outlineLevel="0" collapsed="false">
      <c r="A16" s="1"/>
      <c r="B16" s="9" t="n">
        <v>12</v>
      </c>
      <c r="C16" s="9" t="n">
        <v>123892</v>
      </c>
      <c r="D16" s="9" t="n">
        <v>153835</v>
      </c>
      <c r="E16" s="9" t="n">
        <v>145851</v>
      </c>
      <c r="F16" s="9" t="n">
        <v>72093</v>
      </c>
      <c r="G16" s="9" t="n">
        <v>2661274</v>
      </c>
      <c r="H16" s="9" t="n">
        <v>161244</v>
      </c>
      <c r="I16" s="9" t="n">
        <v>13263</v>
      </c>
      <c r="J16" s="9" t="n">
        <v>230863</v>
      </c>
      <c r="K16" s="9" t="n">
        <v>74292</v>
      </c>
      <c r="L16" s="9" t="n">
        <v>2677283</v>
      </c>
      <c r="M16" s="9" t="n">
        <v>117006</v>
      </c>
      <c r="N16" s="9" t="n">
        <v>160689</v>
      </c>
      <c r="O16" s="9" t="n">
        <v>154656</v>
      </c>
      <c r="P16" s="9" t="n">
        <v>64362</v>
      </c>
      <c r="Q16" s="9" t="n">
        <v>2660232</v>
      </c>
    </row>
    <row r="17" customFormat="false" ht="15" hidden="false" customHeight="false" outlineLevel="0" collapsed="false">
      <c r="A17" s="1"/>
      <c r="B17" s="9" t="n">
        <v>13</v>
      </c>
      <c r="C17" s="9" t="n">
        <v>282320</v>
      </c>
      <c r="D17" s="9" t="n">
        <v>87977</v>
      </c>
      <c r="E17" s="9" t="n">
        <v>116679</v>
      </c>
      <c r="F17" s="9" t="n">
        <v>32008</v>
      </c>
      <c r="G17" s="9" t="n">
        <v>2637961</v>
      </c>
      <c r="H17" s="9" t="n">
        <v>297540</v>
      </c>
      <c r="I17" s="9" t="n">
        <v>2898</v>
      </c>
      <c r="J17" s="9" t="n">
        <v>173301</v>
      </c>
      <c r="K17" s="9" t="n">
        <v>25693</v>
      </c>
      <c r="L17" s="9" t="n">
        <v>2657513</v>
      </c>
      <c r="M17" s="9" t="n">
        <v>282987</v>
      </c>
      <c r="N17" s="9" t="n">
        <v>94425</v>
      </c>
      <c r="O17" s="9" t="n">
        <v>114735</v>
      </c>
      <c r="P17" s="9" t="n">
        <v>27949</v>
      </c>
      <c r="Q17" s="9" t="n">
        <v>2636849</v>
      </c>
    </row>
    <row r="18" customFormat="false" ht="15" hidden="false" customHeight="false" outlineLevel="0" collapsed="false">
      <c r="A18" s="1"/>
      <c r="B18" s="9" t="n">
        <v>14</v>
      </c>
      <c r="C18" s="9" t="n">
        <v>236327</v>
      </c>
      <c r="D18" s="9" t="n">
        <v>102082</v>
      </c>
      <c r="E18" s="9" t="n">
        <v>137966</v>
      </c>
      <c r="F18" s="9" t="n">
        <v>37956</v>
      </c>
      <c r="G18" s="9" t="n">
        <v>2642614</v>
      </c>
      <c r="H18" s="9" t="n">
        <v>256668</v>
      </c>
      <c r="I18" s="9" t="n">
        <v>3852</v>
      </c>
      <c r="J18" s="9" t="n">
        <v>202524</v>
      </c>
      <c r="K18" s="9" t="n">
        <v>33664</v>
      </c>
      <c r="L18" s="9" t="n">
        <v>2660237</v>
      </c>
      <c r="M18" s="9" t="n">
        <v>236529</v>
      </c>
      <c r="N18" s="9" t="n">
        <v>108101</v>
      </c>
      <c r="O18" s="9" t="n">
        <v>136513</v>
      </c>
      <c r="P18" s="9" t="n">
        <v>34023</v>
      </c>
      <c r="Q18" s="9" t="n">
        <v>2641779</v>
      </c>
    </row>
    <row r="19" customFormat="false" ht="15" hidden="false" customHeight="false" outlineLevel="0" collapsed="false">
      <c r="A19" s="1"/>
      <c r="B19" s="9" t="n">
        <v>15</v>
      </c>
      <c r="C19" s="9" t="n">
        <v>65882</v>
      </c>
      <c r="D19" s="9" t="n">
        <v>132157</v>
      </c>
      <c r="E19" s="9" t="n">
        <v>97836</v>
      </c>
      <c r="F19" s="9" t="n">
        <v>126074</v>
      </c>
      <c r="G19" s="9" t="n">
        <v>2734996</v>
      </c>
      <c r="H19" s="9" t="n">
        <v>56012</v>
      </c>
      <c r="I19" s="9" t="n">
        <v>29277</v>
      </c>
      <c r="J19" s="9" t="n">
        <v>162314</v>
      </c>
      <c r="K19" s="9" t="n">
        <v>153655</v>
      </c>
      <c r="L19" s="9" t="n">
        <v>2755687</v>
      </c>
      <c r="M19" s="9" t="n">
        <v>53719</v>
      </c>
      <c r="N19" s="9" t="n">
        <v>136522</v>
      </c>
      <c r="O19" s="9" t="n">
        <v>118879</v>
      </c>
      <c r="P19" s="9" t="n">
        <v>114923</v>
      </c>
      <c r="Q19" s="9" t="n">
        <v>2732902</v>
      </c>
    </row>
    <row r="20" customFormat="false" ht="15" hidden="false" customHeight="false" outlineLevel="0" collapsed="false">
      <c r="A20" s="1"/>
      <c r="B20" s="9" t="n">
        <v>16</v>
      </c>
      <c r="C20" s="9" t="n">
        <v>229095</v>
      </c>
      <c r="D20" s="9" t="n">
        <v>101454</v>
      </c>
      <c r="E20" s="9" t="n">
        <v>140998</v>
      </c>
      <c r="F20" s="9" t="n">
        <v>40798</v>
      </c>
      <c r="G20" s="9" t="n">
        <v>2644600</v>
      </c>
      <c r="H20" s="9" t="n">
        <v>252786</v>
      </c>
      <c r="I20" s="9" t="n">
        <v>3829</v>
      </c>
      <c r="J20" s="9" t="n">
        <v>201093</v>
      </c>
      <c r="K20" s="9" t="n">
        <v>37833</v>
      </c>
      <c r="L20" s="9" t="n">
        <v>2661404</v>
      </c>
      <c r="M20" s="9" t="n">
        <v>226973</v>
      </c>
      <c r="N20" s="9" t="n">
        <v>109175</v>
      </c>
      <c r="O20" s="9" t="n">
        <v>141409</v>
      </c>
      <c r="P20" s="9" t="n">
        <v>35841</v>
      </c>
      <c r="Q20" s="9" t="n">
        <v>2643547</v>
      </c>
    </row>
    <row r="21" customFormat="false" ht="15" hidden="false" customHeight="false" outlineLevel="0" collapsed="false">
      <c r="A21" s="1"/>
      <c r="B21" s="9" t="n">
        <v>17</v>
      </c>
      <c r="C21" s="9" t="n">
        <v>115201</v>
      </c>
      <c r="D21" s="9" t="n">
        <v>131490</v>
      </c>
      <c r="E21" s="9" t="n">
        <v>129773</v>
      </c>
      <c r="F21" s="9" t="n">
        <v>72840</v>
      </c>
      <c r="G21" s="9" t="n">
        <v>2707641</v>
      </c>
      <c r="H21" s="9" t="n">
        <v>125550</v>
      </c>
      <c r="I21" s="9" t="n">
        <v>16853</v>
      </c>
      <c r="J21" s="9" t="n">
        <v>215275</v>
      </c>
      <c r="K21" s="9" t="n">
        <v>73426</v>
      </c>
      <c r="L21" s="9" t="n">
        <v>2725841</v>
      </c>
      <c r="M21" s="9" t="n">
        <v>105125</v>
      </c>
      <c r="N21" s="9" t="n">
        <v>139533</v>
      </c>
      <c r="O21" s="9" t="n">
        <v>142207</v>
      </c>
      <c r="P21" s="9" t="n">
        <v>63987</v>
      </c>
      <c r="Q21" s="9" t="n">
        <v>2706093</v>
      </c>
    </row>
    <row r="22" customFormat="false" ht="15" hidden="false" customHeight="false" outlineLevel="0" collapsed="false">
      <c r="A22" s="1"/>
      <c r="B22" s="9" t="n">
        <v>18</v>
      </c>
      <c r="C22" s="9" t="n">
        <v>59652</v>
      </c>
      <c r="D22" s="9" t="n">
        <v>139063</v>
      </c>
      <c r="E22" s="9" t="n">
        <v>102284</v>
      </c>
      <c r="F22" s="9" t="n">
        <v>145859</v>
      </c>
      <c r="G22" s="9" t="n">
        <v>2710087</v>
      </c>
      <c r="H22" s="9" t="n">
        <v>67316</v>
      </c>
      <c r="I22" s="9" t="n">
        <v>34557</v>
      </c>
      <c r="J22" s="9" t="n">
        <v>148249</v>
      </c>
      <c r="K22" s="9" t="n">
        <v>178855</v>
      </c>
      <c r="L22" s="9" t="n">
        <v>2727968</v>
      </c>
      <c r="M22" s="9" t="n">
        <v>44917</v>
      </c>
      <c r="N22" s="9" t="n">
        <v>143546</v>
      </c>
      <c r="O22" s="9" t="n">
        <v>129354</v>
      </c>
      <c r="P22" s="9" t="n">
        <v>131335</v>
      </c>
      <c r="Q22" s="9" t="n">
        <v>2707793</v>
      </c>
    </row>
    <row r="23" customFormat="false" ht="15" hidden="false" customHeight="false" outlineLevel="0" collapsed="false">
      <c r="A23" s="1"/>
      <c r="B23" s="9" t="n">
        <v>19</v>
      </c>
      <c r="C23" s="9" t="n">
        <v>61648</v>
      </c>
      <c r="D23" s="9" t="n">
        <v>127393</v>
      </c>
      <c r="E23" s="9" t="n">
        <v>132505</v>
      </c>
      <c r="F23" s="9" t="n">
        <v>102656</v>
      </c>
      <c r="G23" s="9" t="n">
        <v>2732743</v>
      </c>
      <c r="H23" s="9" t="n">
        <v>58330</v>
      </c>
      <c r="I23" s="9" t="n">
        <v>22443</v>
      </c>
      <c r="J23" s="9" t="n">
        <v>207666</v>
      </c>
      <c r="K23" s="9" t="n">
        <v>112392</v>
      </c>
      <c r="L23" s="9" t="n">
        <v>2756114</v>
      </c>
      <c r="M23" s="9" t="n">
        <v>50651</v>
      </c>
      <c r="N23" s="9" t="n">
        <v>132356</v>
      </c>
      <c r="O23" s="9" t="n">
        <v>150672</v>
      </c>
      <c r="P23" s="9" t="n">
        <v>92302</v>
      </c>
      <c r="Q23" s="9" t="n">
        <v>2730964</v>
      </c>
    </row>
    <row r="24" customFormat="false" ht="15" hidden="false" customHeight="false" outlineLevel="0" collapsed="false">
      <c r="A24" s="1"/>
      <c r="B24" s="9" t="n">
        <v>20</v>
      </c>
      <c r="C24" s="9" t="n">
        <v>78664</v>
      </c>
      <c r="D24" s="9" t="n">
        <v>136082</v>
      </c>
      <c r="E24" s="9" t="n">
        <v>135083</v>
      </c>
      <c r="F24" s="9" t="n">
        <v>96252</v>
      </c>
      <c r="G24" s="9" t="n">
        <v>2710864</v>
      </c>
      <c r="H24" s="9" t="n">
        <v>80403</v>
      </c>
      <c r="I24" s="9" t="n">
        <v>20403</v>
      </c>
      <c r="J24" s="9" t="n">
        <v>223196</v>
      </c>
      <c r="K24" s="9" t="n">
        <v>105193</v>
      </c>
      <c r="L24" s="9" t="n">
        <v>2727750</v>
      </c>
      <c r="M24" s="9" t="n">
        <v>67623</v>
      </c>
      <c r="N24" s="9" t="n">
        <v>142367</v>
      </c>
      <c r="O24" s="9" t="n">
        <v>152086</v>
      </c>
      <c r="P24" s="9" t="n">
        <v>85377</v>
      </c>
      <c r="Q24" s="9" t="n">
        <v>2709492</v>
      </c>
    </row>
    <row r="25" customFormat="false" ht="15" hidden="false" customHeight="false" outlineLevel="0" collapsed="false">
      <c r="A25" s="1"/>
      <c r="B25" s="9" t="n">
        <v>21</v>
      </c>
      <c r="C25" s="9" t="n">
        <v>200795</v>
      </c>
      <c r="D25" s="9" t="n">
        <v>103182</v>
      </c>
      <c r="E25" s="9" t="n">
        <v>140257</v>
      </c>
      <c r="F25" s="9" t="n">
        <v>45209</v>
      </c>
      <c r="G25" s="9" t="n">
        <v>2667502</v>
      </c>
      <c r="H25" s="9" t="n">
        <v>214331</v>
      </c>
      <c r="I25" s="9" t="n">
        <v>6106</v>
      </c>
      <c r="J25" s="9" t="n">
        <v>213729</v>
      </c>
      <c r="K25" s="9" t="n">
        <v>35076</v>
      </c>
      <c r="L25" s="9" t="n">
        <v>2687703</v>
      </c>
      <c r="M25" s="9" t="n">
        <v>195675</v>
      </c>
      <c r="N25" s="9" t="n">
        <v>111845</v>
      </c>
      <c r="O25" s="9" t="n">
        <v>143918</v>
      </c>
      <c r="P25" s="9" t="n">
        <v>39302</v>
      </c>
      <c r="Q25" s="9" t="n">
        <v>2666205</v>
      </c>
    </row>
    <row r="26" customFormat="false" ht="15" hidden="false" customHeight="false" outlineLevel="0" collapsed="false">
      <c r="A26" s="1"/>
      <c r="B26" s="9" t="n">
        <v>22</v>
      </c>
      <c r="C26" s="9" t="n">
        <v>75674</v>
      </c>
      <c r="D26" s="9" t="n">
        <v>136583</v>
      </c>
      <c r="E26" s="9" t="n">
        <v>127639</v>
      </c>
      <c r="F26" s="9" t="n">
        <v>110349</v>
      </c>
      <c r="G26" s="9" t="n">
        <v>2706700</v>
      </c>
      <c r="H26" s="9" t="n">
        <v>77217</v>
      </c>
      <c r="I26" s="9" t="n">
        <v>21040</v>
      </c>
      <c r="J26" s="9" t="n">
        <v>208354</v>
      </c>
      <c r="K26" s="9" t="n">
        <v>123957</v>
      </c>
      <c r="L26" s="9" t="n">
        <v>2726377</v>
      </c>
      <c r="M26" s="9" t="n">
        <v>64484</v>
      </c>
      <c r="N26" s="9" t="n">
        <v>142313</v>
      </c>
      <c r="O26" s="9" t="n">
        <v>145562</v>
      </c>
      <c r="P26" s="9" t="n">
        <v>99405</v>
      </c>
      <c r="Q26" s="9" t="n">
        <v>2705181</v>
      </c>
    </row>
    <row r="27" customFormat="false" ht="15" hidden="false" customHeight="false" outlineLevel="0" collapsed="false">
      <c r="A27" s="1"/>
      <c r="B27" s="9" t="n">
        <v>23</v>
      </c>
      <c r="C27" s="9" t="n">
        <v>73609</v>
      </c>
      <c r="D27" s="9" t="n">
        <v>144725</v>
      </c>
      <c r="E27" s="9" t="n">
        <v>122351</v>
      </c>
      <c r="F27" s="9" t="n">
        <v>105465</v>
      </c>
      <c r="G27" s="9" t="n">
        <v>2710795</v>
      </c>
      <c r="H27" s="9" t="n">
        <v>95373</v>
      </c>
      <c r="I27" s="9" t="n">
        <v>17614</v>
      </c>
      <c r="J27" s="9" t="n">
        <v>187820</v>
      </c>
      <c r="K27" s="9" t="n">
        <v>130975</v>
      </c>
      <c r="L27" s="9" t="n">
        <v>2725163</v>
      </c>
      <c r="M27" s="9" t="n">
        <v>66397</v>
      </c>
      <c r="N27" s="9" t="n">
        <v>148741</v>
      </c>
      <c r="O27" s="9" t="n">
        <v>134807</v>
      </c>
      <c r="P27" s="9" t="n">
        <v>97098</v>
      </c>
      <c r="Q27" s="9" t="n">
        <v>2709902</v>
      </c>
    </row>
    <row r="28" customFormat="false" ht="15" hidden="false" customHeight="false" outlineLevel="0" collapsed="false">
      <c r="A28" s="1"/>
      <c r="B28" s="9" t="n">
        <v>24</v>
      </c>
      <c r="C28" s="9" t="n">
        <v>153607</v>
      </c>
      <c r="D28" s="9" t="n">
        <v>116798</v>
      </c>
      <c r="E28" s="9" t="n">
        <v>154768</v>
      </c>
      <c r="F28" s="9" t="n">
        <v>58041</v>
      </c>
      <c r="G28" s="9" t="n">
        <v>2673731</v>
      </c>
      <c r="H28" s="9" t="n">
        <v>135290</v>
      </c>
      <c r="I28" s="9" t="n">
        <v>6100</v>
      </c>
      <c r="J28" s="9" t="n">
        <v>267873</v>
      </c>
      <c r="K28" s="9" t="n">
        <v>57992</v>
      </c>
      <c r="L28" s="9" t="n">
        <v>2689690</v>
      </c>
      <c r="M28" s="9" t="n">
        <v>145265</v>
      </c>
      <c r="N28" s="9" t="n">
        <v>126934</v>
      </c>
      <c r="O28" s="9" t="n">
        <v>162160</v>
      </c>
      <c r="P28" s="9" t="n">
        <v>50090</v>
      </c>
      <c r="Q28" s="9" t="n">
        <v>2672496</v>
      </c>
    </row>
    <row r="29" customFormat="false" ht="15" hidden="false" customHeight="false" outlineLevel="0" collapsed="false">
      <c r="A29" s="1"/>
      <c r="B29" s="9" t="n">
        <v>25</v>
      </c>
      <c r="C29" s="9" t="n">
        <v>64978</v>
      </c>
      <c r="D29" s="9" t="n">
        <v>138591</v>
      </c>
      <c r="E29" s="9" t="n">
        <v>115009</v>
      </c>
      <c r="F29" s="9" t="n">
        <v>146598</v>
      </c>
      <c r="G29" s="9" t="n">
        <v>2691769</v>
      </c>
      <c r="H29" s="9" t="n">
        <v>71393</v>
      </c>
      <c r="I29" s="9" t="n">
        <v>35199</v>
      </c>
      <c r="J29" s="9" t="n">
        <v>168378</v>
      </c>
      <c r="K29" s="9" t="n">
        <v>178318</v>
      </c>
      <c r="L29" s="9" t="n">
        <v>2703657</v>
      </c>
      <c r="M29" s="9" t="n">
        <v>49555</v>
      </c>
      <c r="N29" s="9" t="n">
        <v>143970</v>
      </c>
      <c r="O29" s="9" t="n">
        <v>142315</v>
      </c>
      <c r="P29" s="9" t="n">
        <v>131930</v>
      </c>
      <c r="Q29" s="9" t="n">
        <v>2689175</v>
      </c>
    </row>
    <row r="30" customFormat="false" ht="15" hidden="false" customHeight="false" outlineLevel="0" collapsed="false">
      <c r="A30" s="1"/>
      <c r="B30" s="9" t="n">
        <v>26</v>
      </c>
      <c r="C30" s="9" t="n">
        <v>53763</v>
      </c>
      <c r="D30" s="9" t="n">
        <v>142867</v>
      </c>
      <c r="E30" s="9" t="n">
        <v>111058</v>
      </c>
      <c r="F30" s="9" t="n">
        <v>131707</v>
      </c>
      <c r="G30" s="9" t="n">
        <v>2717550</v>
      </c>
      <c r="H30" s="9" t="n">
        <v>52094</v>
      </c>
      <c r="I30" s="9" t="n">
        <v>35903</v>
      </c>
      <c r="J30" s="9" t="n">
        <v>174195</v>
      </c>
      <c r="K30" s="9" t="n">
        <v>161080</v>
      </c>
      <c r="L30" s="9" t="n">
        <v>2733673</v>
      </c>
      <c r="M30" s="9" t="n">
        <v>43306</v>
      </c>
      <c r="N30" s="9" t="n">
        <v>144321</v>
      </c>
      <c r="O30" s="9" t="n">
        <v>133611</v>
      </c>
      <c r="P30" s="9" t="n">
        <v>119966</v>
      </c>
      <c r="Q30" s="9" t="n">
        <v>2715741</v>
      </c>
    </row>
    <row r="31" customFormat="false" ht="15" hidden="false" customHeight="false" outlineLevel="0" collapsed="false">
      <c r="A31" s="1"/>
      <c r="B31" s="9" t="n">
        <v>27</v>
      </c>
      <c r="C31" s="9" t="n">
        <v>91529</v>
      </c>
      <c r="D31" s="9" t="n">
        <v>124516</v>
      </c>
      <c r="E31" s="9" t="n">
        <v>138641</v>
      </c>
      <c r="F31" s="9" t="n">
        <v>126899</v>
      </c>
      <c r="G31" s="9" t="n">
        <v>2675360</v>
      </c>
      <c r="H31" s="9" t="n">
        <v>102014</v>
      </c>
      <c r="I31" s="9" t="n">
        <v>22368</v>
      </c>
      <c r="J31" s="9" t="n">
        <v>211902</v>
      </c>
      <c r="K31" s="9" t="n">
        <v>129946</v>
      </c>
      <c r="L31" s="9" t="n">
        <v>2690715</v>
      </c>
      <c r="M31" s="9" t="n">
        <v>70783</v>
      </c>
      <c r="N31" s="9" t="n">
        <v>136913</v>
      </c>
      <c r="O31" s="9" t="n">
        <v>167122</v>
      </c>
      <c r="P31" s="9" t="n">
        <v>109840</v>
      </c>
      <c r="Q31" s="9" t="n">
        <v>2672287</v>
      </c>
    </row>
    <row r="32" customFormat="false" ht="15" hidden="false" customHeight="false" outlineLevel="0" collapsed="false">
      <c r="A32" s="1"/>
      <c r="B32" s="9" t="n">
        <v>28</v>
      </c>
      <c r="C32" s="9" t="n">
        <v>54483</v>
      </c>
      <c r="D32" s="9" t="n">
        <v>113937</v>
      </c>
      <c r="E32" s="9" t="n">
        <v>79586</v>
      </c>
      <c r="F32" s="9" t="n">
        <v>212128</v>
      </c>
      <c r="G32" s="9" t="n">
        <v>2696811</v>
      </c>
      <c r="H32" s="9" t="n">
        <v>51413</v>
      </c>
      <c r="I32" s="9" t="n">
        <v>38004</v>
      </c>
      <c r="J32" s="9" t="n">
        <v>72441</v>
      </c>
      <c r="K32" s="9" t="n">
        <v>292854</v>
      </c>
      <c r="L32" s="9" t="n">
        <v>2702233</v>
      </c>
      <c r="M32" s="9" t="n">
        <v>34897</v>
      </c>
      <c r="N32" s="9" t="n">
        <v>116090</v>
      </c>
      <c r="O32" s="9" t="n">
        <v>117863</v>
      </c>
      <c r="P32" s="9" t="n">
        <v>195311</v>
      </c>
      <c r="Q32" s="9" t="n">
        <v>2692784</v>
      </c>
    </row>
    <row r="33" customFormat="false" ht="15" hidden="false" customHeight="false" outlineLevel="0" collapsed="false">
      <c r="A33" s="1"/>
      <c r="B33" s="9" t="n">
        <v>29</v>
      </c>
      <c r="C33" s="9" t="n">
        <v>53498</v>
      </c>
      <c r="D33" s="9" t="n">
        <v>129106</v>
      </c>
      <c r="E33" s="9" t="n">
        <v>111497</v>
      </c>
      <c r="F33" s="9" t="n">
        <v>155052</v>
      </c>
      <c r="G33" s="9" t="n">
        <v>2707792</v>
      </c>
      <c r="H33" s="9" t="n">
        <v>51578</v>
      </c>
      <c r="I33" s="9" t="n">
        <v>30264</v>
      </c>
      <c r="J33" s="9" t="n">
        <v>164638</v>
      </c>
      <c r="K33" s="9" t="n">
        <v>190210</v>
      </c>
      <c r="L33" s="9" t="n">
        <v>2720255</v>
      </c>
      <c r="M33" s="9" t="n">
        <v>37933</v>
      </c>
      <c r="N33" s="9" t="n">
        <v>132362</v>
      </c>
      <c r="O33" s="9" t="n">
        <v>141393</v>
      </c>
      <c r="P33" s="9" t="n">
        <v>140359</v>
      </c>
      <c r="Q33" s="9" t="n">
        <v>2704898</v>
      </c>
    </row>
    <row r="34" customFormat="false" ht="15" hidden="false" customHeight="false" outlineLevel="0" collapsed="false">
      <c r="A34" s="1"/>
      <c r="B34" s="9" t="n">
        <v>30</v>
      </c>
      <c r="C34" s="9" t="n">
        <v>191957</v>
      </c>
      <c r="D34" s="9" t="n">
        <v>93516</v>
      </c>
      <c r="E34" s="9" t="n">
        <v>153095</v>
      </c>
      <c r="F34" s="9" t="n">
        <v>42313</v>
      </c>
      <c r="G34" s="9" t="n">
        <v>2676064</v>
      </c>
      <c r="H34" s="9" t="n">
        <v>194212</v>
      </c>
      <c r="I34" s="9" t="n">
        <v>5401</v>
      </c>
      <c r="J34" s="9" t="n">
        <v>234143</v>
      </c>
      <c r="K34" s="9" t="n">
        <v>32573</v>
      </c>
      <c r="L34" s="9" t="n">
        <v>2690616</v>
      </c>
      <c r="M34" s="9" t="n">
        <v>186021</v>
      </c>
      <c r="N34" s="9" t="n">
        <v>103097</v>
      </c>
      <c r="O34" s="9" t="n">
        <v>156189</v>
      </c>
      <c r="P34" s="9" t="n">
        <v>37109</v>
      </c>
      <c r="Q34" s="9" t="n">
        <v>2674529</v>
      </c>
    </row>
    <row r="35" customFormat="false" ht="15" hidden="false" customHeight="false" outlineLevel="0" collapsed="false">
      <c r="A35" s="1"/>
      <c r="B35" s="9" t="n">
        <v>31</v>
      </c>
      <c r="C35" s="9" t="n">
        <v>27163</v>
      </c>
      <c r="D35" s="9" t="n">
        <v>92519</v>
      </c>
      <c r="E35" s="9" t="n">
        <v>38092</v>
      </c>
      <c r="F35" s="9" t="n">
        <v>222346</v>
      </c>
      <c r="G35" s="9" t="n">
        <v>2776825</v>
      </c>
      <c r="H35" s="9" t="n">
        <v>14200</v>
      </c>
      <c r="I35" s="9" t="n">
        <v>28778</v>
      </c>
      <c r="J35" s="9" t="n">
        <v>22042</v>
      </c>
      <c r="K35" s="9" t="n">
        <v>310419</v>
      </c>
      <c r="L35" s="9" t="n">
        <v>2781506</v>
      </c>
      <c r="M35" s="9" t="n">
        <v>17626</v>
      </c>
      <c r="N35" s="9" t="n">
        <v>86272</v>
      </c>
      <c r="O35" s="9" t="n">
        <v>66185</v>
      </c>
      <c r="P35" s="9" t="n">
        <v>213134</v>
      </c>
      <c r="Q35" s="9" t="n">
        <v>2773728</v>
      </c>
    </row>
    <row r="36" customFormat="false" ht="15" hidden="false" customHeight="false" outlineLevel="0" collapsed="false">
      <c r="A36" s="1"/>
      <c r="B36" s="9" t="n">
        <v>32</v>
      </c>
      <c r="C36" s="9" t="n">
        <v>46212</v>
      </c>
      <c r="D36" s="9" t="n">
        <v>115483</v>
      </c>
      <c r="E36" s="9" t="n">
        <v>91114</v>
      </c>
      <c r="F36" s="9" t="n">
        <v>196273</v>
      </c>
      <c r="G36" s="9" t="n">
        <v>2707863</v>
      </c>
      <c r="H36" s="9" t="n">
        <v>40209</v>
      </c>
      <c r="I36" s="9" t="n">
        <v>34437</v>
      </c>
      <c r="J36" s="9" t="n">
        <v>110833</v>
      </c>
      <c r="K36" s="9" t="n">
        <v>256859</v>
      </c>
      <c r="L36" s="9" t="n">
        <v>2714607</v>
      </c>
      <c r="M36" s="9" t="n">
        <v>29740</v>
      </c>
      <c r="N36" s="9" t="n">
        <v>116016</v>
      </c>
      <c r="O36" s="9" t="n">
        <v>126030</v>
      </c>
      <c r="P36" s="9" t="n">
        <v>180610</v>
      </c>
      <c r="Q36" s="9" t="n">
        <v>2704549</v>
      </c>
    </row>
    <row r="37" customFormat="false" ht="15" hidden="false" customHeight="false" outlineLevel="0" collapsed="false">
      <c r="A37" s="1"/>
      <c r="B37" s="9" t="s">
        <v>12</v>
      </c>
      <c r="C37" s="9" t="n">
        <f aca="false">SUM(C4:C36)</f>
        <v>3806378</v>
      </c>
      <c r="D37" s="9" t="n">
        <f aca="false">SUM(D4:D36)</f>
        <v>4137573</v>
      </c>
      <c r="E37" s="9" t="n">
        <f aca="false">SUM(E4:E36)</f>
        <v>3980903</v>
      </c>
      <c r="F37" s="9" t="n">
        <f aca="false">SUM(F4:F36)</f>
        <v>3280711</v>
      </c>
      <c r="G37" s="9" t="n">
        <f aca="false">SUM(G4:G36)</f>
        <v>88973620</v>
      </c>
      <c r="H37" s="9" t="n">
        <f aca="false">SUM(H4:H36)</f>
        <v>4026944</v>
      </c>
      <c r="I37" s="9" t="n">
        <f aca="false">SUM(I4:I36)</f>
        <v>730636</v>
      </c>
      <c r="J37" s="9" t="n">
        <f aca="false">SUM(J4:J36)</f>
        <v>6036252</v>
      </c>
      <c r="K37" s="9" t="n">
        <f aca="false">SUM(K4:K36)</f>
        <v>3884325</v>
      </c>
      <c r="L37" s="9" t="n">
        <f aca="false">SUM(L4:L36)</f>
        <v>89501028</v>
      </c>
      <c r="M37" s="9" t="n">
        <f aca="false">SUM(M4:M36)</f>
        <v>3509714</v>
      </c>
      <c r="N37" s="9" t="n">
        <f aca="false">SUM(N4:N36)</f>
        <v>4306512</v>
      </c>
      <c r="O37" s="9" t="n">
        <f aca="false">SUM(O4:O36)</f>
        <v>4477976</v>
      </c>
      <c r="P37" s="9" t="n">
        <f aca="false">SUM(P4:P36)</f>
        <v>2965640</v>
      </c>
      <c r="Q37" s="9" t="n">
        <f aca="false">SUM(Q4:Q36)</f>
        <v>88919343</v>
      </c>
    </row>
    <row r="38" customFormat="false" ht="15" hidden="false" customHeight="false" outlineLevel="0" collapsed="false">
      <c r="H38" s="9"/>
      <c r="N38" s="9"/>
    </row>
    <row r="39" customFormat="false" ht="15" hidden="false" customHeight="false" outlineLevel="0" collapsed="false">
      <c r="H39" s="9"/>
      <c r="N39" s="9"/>
    </row>
    <row r="40" customFormat="false" ht="15" hidden="false" customHeight="false" outlineLevel="0" collapsed="false">
      <c r="H40" s="9"/>
      <c r="N40" s="9"/>
    </row>
    <row r="41" customFormat="false" ht="15" hidden="false" customHeight="false" outlineLevel="0" collapsed="false">
      <c r="H41" s="9"/>
      <c r="N41" s="9"/>
    </row>
    <row r="42" customFormat="false" ht="15" hidden="false" customHeight="false" outlineLevel="0" collapsed="false">
      <c r="A42" s="9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15" hidden="false" customHeight="false" outlineLevel="0" collapsed="false">
      <c r="A43" s="9"/>
      <c r="B43" s="10"/>
      <c r="C43" s="12" t="s">
        <v>3</v>
      </c>
      <c r="D43" s="12"/>
      <c r="E43" s="12"/>
      <c r="F43" s="12"/>
      <c r="G43" s="12"/>
      <c r="H43" s="12"/>
      <c r="I43" s="13" t="s">
        <v>4</v>
      </c>
      <c r="J43" s="13"/>
      <c r="K43" s="13"/>
      <c r="L43" s="13"/>
      <c r="M43" s="13"/>
      <c r="N43" s="13"/>
    </row>
    <row r="44" customFormat="false" ht="15" hidden="false" customHeight="false" outlineLevel="0" collapsed="false">
      <c r="A44" s="10" t="s">
        <v>14</v>
      </c>
      <c r="B44" s="10"/>
      <c r="C44" s="14" t="s">
        <v>7</v>
      </c>
      <c r="D44" s="15" t="s">
        <v>8</v>
      </c>
      <c r="E44" s="16" t="s">
        <v>9</v>
      </c>
      <c r="F44" s="17" t="s">
        <v>10</v>
      </c>
      <c r="G44" s="18" t="s">
        <v>11</v>
      </c>
      <c r="H44" s="19"/>
      <c r="I44" s="14" t="s">
        <v>7</v>
      </c>
      <c r="J44" s="15" t="s">
        <v>8</v>
      </c>
      <c r="K44" s="16" t="s">
        <v>9</v>
      </c>
      <c r="L44" s="17" t="s">
        <v>10</v>
      </c>
      <c r="M44" s="18" t="s">
        <v>11</v>
      </c>
      <c r="N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(ABS(C4-H4)/C4)*100</f>
        <v>0</v>
      </c>
      <c r="D45" s="21" t="n">
        <f aca="false">(ABS(D4-I4)/D4)*100</f>
        <v>0</v>
      </c>
      <c r="E45" s="21" t="n">
        <f aca="false">(ABS(E4-J4)/E4)*100</f>
        <v>0</v>
      </c>
      <c r="F45" s="21" t="n">
        <f aca="false">(ABS(F4-K4)/F4)*100</f>
        <v>0</v>
      </c>
      <c r="G45" s="22" t="n">
        <f aca="false">(ABS(G4-L4)/G4)*100</f>
        <v>0</v>
      </c>
      <c r="H45" s="19"/>
      <c r="I45" s="9" t="n">
        <f aca="false">(ABS(C4-M4)/C4)*100</f>
        <v>0</v>
      </c>
      <c r="J45" s="9" t="n">
        <f aca="false">(ABS(D4-N4)/D4)*100</f>
        <v>0</v>
      </c>
      <c r="K45" s="9" t="n">
        <f aca="false">(ABS(E4-O4)/E4)*100</f>
        <v>0</v>
      </c>
      <c r="L45" s="9" t="n">
        <f aca="false">(ABS(F4-P4)/F4)*100</f>
        <v>0</v>
      </c>
      <c r="M45" s="23" t="n">
        <f aca="false">(ABS(G4-Q4)/G4)*100</f>
        <v>0</v>
      </c>
      <c r="N45" s="19"/>
    </row>
    <row r="46" customFormat="false" ht="15" hidden="false" customHeight="false" outlineLevel="0" collapsed="false">
      <c r="A46" s="10"/>
      <c r="B46" s="10" t="n">
        <v>1</v>
      </c>
      <c r="C46" s="20" t="n">
        <f aca="false">(ABS(C5-H5)/C5)*100</f>
        <v>17.0298238848181</v>
      </c>
      <c r="D46" s="21" t="n">
        <f aca="false">(ABS(D5-I5)/D5)*100</f>
        <v>87.8826705715462</v>
      </c>
      <c r="E46" s="21" t="n">
        <f aca="false">(ABS(E5-J5)/E5)*100</f>
        <v>70.5023452867302</v>
      </c>
      <c r="F46" s="21" t="n">
        <f aca="false">(ABS(F5-K5)/F5)*100</f>
        <v>8.3601214642448</v>
      </c>
      <c r="G46" s="22" t="n">
        <f aca="false">(ABS(G5-L5)/G5)*100</f>
        <v>0.663258872928571</v>
      </c>
      <c r="H46" s="19"/>
      <c r="I46" s="9" t="n">
        <f aca="false">(ABS(C5-M5)/C5)*100</f>
        <v>12.2145091485624</v>
      </c>
      <c r="J46" s="9" t="n">
        <f aca="false">(ABS(D5-N5)/D5)*100</f>
        <v>4.99571814265449</v>
      </c>
      <c r="K46" s="9" t="n">
        <f aca="false">(ABS(E5-O5)/E5)*100</f>
        <v>12.4655772431533</v>
      </c>
      <c r="L46" s="9" t="n">
        <f aca="false">(ABS(F5-P5)/F5)*100</f>
        <v>12.3277309989656</v>
      </c>
      <c r="M46" s="23" t="n">
        <f aca="false">(ABS(G5-Q5)/G5)*100</f>
        <v>0.0607764130980981</v>
      </c>
      <c r="N46" s="19"/>
    </row>
    <row r="47" customFormat="false" ht="15" hidden="false" customHeight="false" outlineLevel="0" collapsed="false">
      <c r="A47" s="10"/>
      <c r="B47" s="10" t="n">
        <v>2</v>
      </c>
      <c r="C47" s="20" t="n">
        <f aca="false">(ABS(C6-H6)/C6)*100</f>
        <v>2.51562005462623</v>
      </c>
      <c r="D47" s="21" t="n">
        <f aca="false">(ABS(D6-I6)/D6)*100</f>
        <v>88.2460634801569</v>
      </c>
      <c r="E47" s="21" t="n">
        <f aca="false">(ABS(E6-J6)/E6)*100</f>
        <v>74.8992602393697</v>
      </c>
      <c r="F47" s="21" t="n">
        <f aca="false">(ABS(F6-K6)/F6)*100</f>
        <v>27.3361305153213</v>
      </c>
      <c r="G47" s="22" t="n">
        <f aca="false">(ABS(G6-L6)/G6)*100</f>
        <v>0.62562715964898</v>
      </c>
      <c r="H47" s="19"/>
      <c r="I47" s="9" t="n">
        <f aca="false">(ABS(C6-M6)/C6)*100</f>
        <v>10.6075703048988</v>
      </c>
      <c r="J47" s="9" t="n">
        <f aca="false">(ABS(D6-N6)/D6)*100</f>
        <v>3.74930868545347</v>
      </c>
      <c r="K47" s="9" t="n">
        <f aca="false">(ABS(E6-O6)/E6)*100</f>
        <v>10.6866843086546</v>
      </c>
      <c r="L47" s="9" t="n">
        <f aca="false">(ABS(F6-P6)/F6)*100</f>
        <v>10.819737987368</v>
      </c>
      <c r="M47" s="23" t="n">
        <f aca="false">(ABS(G6-Q6)/G6)*100</f>
        <v>0.0508229189073518</v>
      </c>
      <c r="N47" s="19"/>
    </row>
    <row r="48" customFormat="false" ht="15" hidden="false" customHeight="false" outlineLevel="0" collapsed="false">
      <c r="A48" s="10"/>
      <c r="B48" s="10" t="n">
        <v>3</v>
      </c>
      <c r="C48" s="20" t="n">
        <f aca="false">(ABS(C7-H7)/C7)*100</f>
        <v>5.06008383791337</v>
      </c>
      <c r="D48" s="21" t="n">
        <f aca="false">(ABS(D7-I7)/D7)*100</f>
        <v>73.3542777818368</v>
      </c>
      <c r="E48" s="21" t="n">
        <f aca="false">(ABS(E7-J7)/E7)*100</f>
        <v>54.7672453829508</v>
      </c>
      <c r="F48" s="21" t="n">
        <f aca="false">(ABS(F7-K7)/F7)*100</f>
        <v>29.6023433339251</v>
      </c>
      <c r="G48" s="22" t="n">
        <f aca="false">(ABS(G7-L7)/G7)*100</f>
        <v>0.652021853095364</v>
      </c>
      <c r="H48" s="19"/>
      <c r="I48" s="9" t="n">
        <f aca="false">(ABS(C7-M7)/C7)*100</f>
        <v>21.5407545412203</v>
      </c>
      <c r="J48" s="9" t="n">
        <f aca="false">(ABS(D7-N7)/D7)*100</f>
        <v>1.75614551299508</v>
      </c>
      <c r="K48" s="9" t="n">
        <f aca="false">(ABS(E7-O7)/E7)*100</f>
        <v>23.7290145354295</v>
      </c>
      <c r="L48" s="9" t="n">
        <f aca="false">(ABS(F7-P7)/F7)*100</f>
        <v>9.90961003609681</v>
      </c>
      <c r="M48" s="23" t="n">
        <f aca="false">(ABS(G7-Q7)/G7)*100</f>
        <v>0.0625478588678801</v>
      </c>
      <c r="N48" s="19"/>
    </row>
    <row r="49" customFormat="false" ht="15" hidden="false" customHeight="false" outlineLevel="0" collapsed="false">
      <c r="A49" s="10"/>
      <c r="B49" s="10" t="n">
        <v>4</v>
      </c>
      <c r="C49" s="20" t="n">
        <f aca="false">(ABS(C8-H8)/C8)*100</f>
        <v>19.2592982271556</v>
      </c>
      <c r="D49" s="21" t="n">
        <f aca="false">(ABS(D8-I8)/D8)*100</f>
        <v>79.9152490979108</v>
      </c>
      <c r="E49" s="21" t="n">
        <f aca="false">(ABS(E8-J8)/E8)*100</f>
        <v>49.060399035935</v>
      </c>
      <c r="F49" s="21" t="n">
        <f aca="false">(ABS(F8-K8)/F8)*100</f>
        <v>12.9549301735083</v>
      </c>
      <c r="G49" s="22" t="n">
        <f aca="false">(ABS(G8-L8)/G8)*100</f>
        <v>0.804967556545329</v>
      </c>
      <c r="H49" s="19"/>
      <c r="I49" s="9" t="n">
        <f aca="false">(ABS(C8-M8)/C8)*100</f>
        <v>15.16650007891</v>
      </c>
      <c r="J49" s="9" t="n">
        <f aca="false">(ABS(D8-N8)/D8)*100</f>
        <v>3.33090754722702</v>
      </c>
      <c r="K49" s="9" t="n">
        <f aca="false">(ABS(E8-O8)/E8)*100</f>
        <v>18.9206820941232</v>
      </c>
      <c r="L49" s="9" t="n">
        <f aca="false">(ABS(F8-P8)/F8)*100</f>
        <v>10.2332839610664</v>
      </c>
      <c r="M49" s="23" t="n">
        <f aca="false">(ABS(G8-Q8)/G8)*100</f>
        <v>0.0784161767031667</v>
      </c>
      <c r="N49" s="19"/>
    </row>
    <row r="50" customFormat="false" ht="15" hidden="false" customHeight="false" outlineLevel="0" collapsed="false">
      <c r="A50" s="10"/>
      <c r="B50" s="10" t="n">
        <v>5</v>
      </c>
      <c r="C50" s="20" t="n">
        <f aca="false">(ABS(C9-H9)/C9)*100</f>
        <v>1.78629249865084</v>
      </c>
      <c r="D50" s="21" t="n">
        <f aca="false">(ABS(D9-I9)/D9)*100</f>
        <v>87.5047073099293</v>
      </c>
      <c r="E50" s="21" t="n">
        <f aca="false">(ABS(E9-J9)/E9)*100</f>
        <v>63.1566180037931</v>
      </c>
      <c r="F50" s="21" t="n">
        <f aca="false">(ABS(F9-K9)/F9)*100</f>
        <v>9.68641960332383</v>
      </c>
      <c r="G50" s="22" t="n">
        <f aca="false">(ABS(G9-L9)/G9)*100</f>
        <v>0.752811517320247</v>
      </c>
      <c r="H50" s="19"/>
      <c r="I50" s="9" t="n">
        <f aca="false">(ABS(C9-M9)/C9)*100</f>
        <v>8.3917970858068</v>
      </c>
      <c r="J50" s="9" t="n">
        <f aca="false">(ABS(D9-N9)/D9)*100</f>
        <v>4.35373865015273</v>
      </c>
      <c r="K50" s="9" t="n">
        <f aca="false">(ABS(E9-O9)/E9)*100</f>
        <v>10.0350637321925</v>
      </c>
      <c r="L50" s="9" t="n">
        <f aca="false">(ABS(F9-P9)/F9)*100</f>
        <v>9.28458785709953</v>
      </c>
      <c r="M50" s="23" t="n">
        <f aca="false">(ABS(G9-Q9)/G9)*100</f>
        <v>0.0325020693572963</v>
      </c>
      <c r="N50" s="19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(ABS(C10-H10)/C10)*100</f>
        <v>15.8906859239093</v>
      </c>
      <c r="D51" s="21" t="n">
        <f aca="false">(ABS(D10-I10)/D10)*100</f>
        <v>90.6004525783979</v>
      </c>
      <c r="E51" s="21" t="n">
        <f aca="false">(ABS(E10-J10)/E10)*100</f>
        <v>89.7541593849674</v>
      </c>
      <c r="F51" s="21" t="n">
        <f aca="false">(ABS(F10-K10)/F10)*100</f>
        <v>15.4671398188078</v>
      </c>
      <c r="G51" s="22" t="n">
        <f aca="false">(ABS(G10-L10)/G10)*100</f>
        <v>0.6862810185595</v>
      </c>
      <c r="H51" s="19"/>
      <c r="I51" s="9" t="n">
        <f aca="false">(ABS(C10-M10)/C10)*100</f>
        <v>12.3134070092056</v>
      </c>
      <c r="J51" s="9" t="n">
        <f aca="false">(ABS(D10-N10)/D10)*100</f>
        <v>6.2082544283634</v>
      </c>
      <c r="K51" s="9" t="n">
        <f aca="false">(ABS(E10-O10)/E10)*100</f>
        <v>9.66043118108508</v>
      </c>
      <c r="L51" s="9" t="n">
        <f aca="false">(ABS(F10-P10)/F10)*100</f>
        <v>11.2733981175752</v>
      </c>
      <c r="M51" s="23" t="n">
        <f aca="false">(ABS(G10-Q10)/G10)*100</f>
        <v>0.0420465610339028</v>
      </c>
      <c r="N51" s="19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(ABS(C11-H11)/C11)*100</f>
        <v>14.4411936805149</v>
      </c>
      <c r="D52" s="21" t="n">
        <f aca="false">(ABS(D11-I11)/D11)*100</f>
        <v>79.7782908065395</v>
      </c>
      <c r="E52" s="21" t="n">
        <f aca="false">(ABS(E11-J11)/E11)*100</f>
        <v>47.148555518256</v>
      </c>
      <c r="F52" s="21" t="n">
        <f aca="false">(ABS(F11-K11)/F11)*100</f>
        <v>30.1334548717437</v>
      </c>
      <c r="G52" s="22" t="n">
        <f aca="false">(ABS(G11-L11)/G11)*100</f>
        <v>0.732363375476984</v>
      </c>
      <c r="H52" s="19"/>
      <c r="I52" s="9" t="n">
        <f aca="false">(ABS(C11-M11)/C11)*100</f>
        <v>21.7821616651342</v>
      </c>
      <c r="J52" s="9" t="n">
        <f aca="false">(ABS(D11-N11)/D11)*100</f>
        <v>2.26353375108533</v>
      </c>
      <c r="K52" s="9" t="n">
        <f aca="false">(ABS(E11-O11)/E11)*100</f>
        <v>26.3857348788531</v>
      </c>
      <c r="L52" s="9" t="n">
        <f aca="false">(ABS(F11-P11)/F11)*100</f>
        <v>11.0011251798151</v>
      </c>
      <c r="M52" s="23" t="n">
        <f aca="false">(ABS(G11-Q11)/G11)*100</f>
        <v>0.0594786639688228</v>
      </c>
      <c r="N52" s="19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(ABS(C12-H12)/C12)*100</f>
        <v>26.7721777549137</v>
      </c>
      <c r="D53" s="21" t="n">
        <f aca="false">(ABS(D12-I12)/D12)*100</f>
        <v>83.4442208441141</v>
      </c>
      <c r="E53" s="21" t="n">
        <f aca="false">(ABS(E12-J12)/E12)*100</f>
        <v>39.7147840361137</v>
      </c>
      <c r="F53" s="21" t="n">
        <f aca="false">(ABS(F12-K12)/F12)*100</f>
        <v>37.8384916858862</v>
      </c>
      <c r="G53" s="22" t="n">
        <f aca="false">(ABS(G12-L12)/G12)*100</f>
        <v>0.542096901571639</v>
      </c>
      <c r="H53" s="19"/>
      <c r="I53" s="9" t="n">
        <f aca="false">(ABS(C12-M12)/C12)*100</f>
        <v>12.8020456643113</v>
      </c>
      <c r="J53" s="9" t="n">
        <f aca="false">(ABS(D12-N12)/D12)*100</f>
        <v>2.63049817240954</v>
      </c>
      <c r="K53" s="9" t="n">
        <f aca="false">(ABS(E12-O12)/E12)*100</f>
        <v>15.0200061557402</v>
      </c>
      <c r="L53" s="9" t="n">
        <f aca="false">(ABS(F12-P12)/F12)*100</f>
        <v>8.55765043626921</v>
      </c>
      <c r="M53" s="23" t="n">
        <f aca="false">(ABS(G12-Q12)/G12)*100</f>
        <v>0.032208884566527</v>
      </c>
      <c r="N53" s="19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(ABS(C13-H13)/C13)*100</f>
        <v>12.6122076076395</v>
      </c>
      <c r="D54" s="21" t="n">
        <f aca="false">(ABS(D13-I13)/D13)*100</f>
        <v>93.638567842425</v>
      </c>
      <c r="E54" s="21" t="n">
        <f aca="false">(ABS(E13-J13)/E13)*100</f>
        <v>48.6126572706841</v>
      </c>
      <c r="F54" s="21" t="n">
        <f aca="false">(ABS(F13-K13)/F13)*100</f>
        <v>12.1053997923157</v>
      </c>
      <c r="G54" s="22" t="n">
        <f aca="false">(ABS(G13-L13)/G13)*100</f>
        <v>0.695095942395347</v>
      </c>
      <c r="H54" s="19"/>
      <c r="I54" s="9" t="n">
        <f aca="false">(ABS(C13-M13)/C13)*100</f>
        <v>0.481942853275713</v>
      </c>
      <c r="J54" s="9" t="n">
        <f aca="false">(ABS(D13-N13)/D13)*100</f>
        <v>4.52625536545036</v>
      </c>
      <c r="K54" s="9" t="n">
        <f aca="false">(ABS(E13-O13)/E13)*100</f>
        <v>0.618930594355409</v>
      </c>
      <c r="L54" s="9" t="n">
        <f aca="false">(ABS(F13-P13)/F13)*100</f>
        <v>10.9215991692627</v>
      </c>
      <c r="M54" s="23" t="n">
        <f aca="false">(ABS(G13-Q13)/G13)*100</f>
        <v>0.0363121076557839</v>
      </c>
      <c r="N54" s="19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(ABS(C14-H14)/C14)*100</f>
        <v>16.0607520641247</v>
      </c>
      <c r="D55" s="21" t="n">
        <f aca="false">(ABS(D14-I14)/D14)*100</f>
        <v>94.6800642074783</v>
      </c>
      <c r="E55" s="21" t="n">
        <f aca="false">(ABS(E14-J14)/E14)*100</f>
        <v>49.2083462372252</v>
      </c>
      <c r="F55" s="21" t="n">
        <f aca="false">(ABS(F14-K14)/F14)*100</f>
        <v>3.26614885458657</v>
      </c>
      <c r="G55" s="22" t="n">
        <f aca="false">(ABS(G14-L14)/G14)*100</f>
        <v>0.620322969251516</v>
      </c>
      <c r="H55" s="19"/>
      <c r="I55" s="9" t="n">
        <f aca="false">(ABS(C14-M14)/C14)*100</f>
        <v>1.28282341604433</v>
      </c>
      <c r="J55" s="9" t="n">
        <f aca="false">(ABS(D14-N14)/D14)*100</f>
        <v>4.62120735238575</v>
      </c>
      <c r="K55" s="9" t="n">
        <f aca="false">(ABS(E14-O14)/E14)*100</f>
        <v>1.72976669763601</v>
      </c>
      <c r="L55" s="9" t="n">
        <f aca="false">(ABS(F14-P14)/F14)*100</f>
        <v>10.6675843083276</v>
      </c>
      <c r="M55" s="23" t="n">
        <f aca="false">(ABS(G14-Q14)/G14)*100</f>
        <v>0.0297573301087392</v>
      </c>
      <c r="N55" s="19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(ABS(C15-H15)/C15)*100</f>
        <v>5.24219716788333</v>
      </c>
      <c r="D56" s="21" t="n">
        <f aca="false">(ABS(D15-I15)/D15)*100</f>
        <v>98.4003577344838</v>
      </c>
      <c r="E56" s="21" t="n">
        <f aca="false">(ABS(E15-J15)/E15)*100</f>
        <v>49.4140683165073</v>
      </c>
      <c r="F56" s="21" t="n">
        <f aca="false">(ABS(F15-K15)/F15)*100</f>
        <v>5.61184268153815</v>
      </c>
      <c r="G56" s="22" t="n">
        <f aca="false">(ABS(G15-L15)/G15)*100</f>
        <v>0.733146599038571</v>
      </c>
      <c r="H56" s="19"/>
      <c r="I56" s="9" t="n">
        <f aca="false">(ABS(C15-M15)/C15)*100</f>
        <v>0.54094798918104</v>
      </c>
      <c r="J56" s="9" t="n">
        <f aca="false">(ABS(D15-N15)/D15)*100</f>
        <v>4.59770114942529</v>
      </c>
      <c r="K56" s="9" t="n">
        <f aca="false">(ABS(E15-O15)/E15)*100</f>
        <v>1.42946484409899</v>
      </c>
      <c r="L56" s="9" t="n">
        <f aca="false">(ABS(F15-P15)/F15)*100</f>
        <v>9.39005518409297</v>
      </c>
      <c r="M56" s="23" t="n">
        <f aca="false">(ABS(G15-Q15)/G15)*100</f>
        <v>0.0276316287520345</v>
      </c>
      <c r="N56" s="19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(ABS(C16-H16)/C16)*100</f>
        <v>30.1488393116585</v>
      </c>
      <c r="D57" s="21" t="n">
        <f aca="false">(ABS(D16-I16)/D16)*100</f>
        <v>91.3784249358078</v>
      </c>
      <c r="E57" s="21" t="n">
        <f aca="false">(ABS(E16-J16)/E16)*100</f>
        <v>58.2868818177455</v>
      </c>
      <c r="F57" s="21" t="n">
        <f aca="false">(ABS(F16-K16)/F16)*100</f>
        <v>3.05022679039574</v>
      </c>
      <c r="G57" s="22" t="n">
        <f aca="false">(ABS(G16-L16)/G16)*100</f>
        <v>0.601553992561457</v>
      </c>
      <c r="H57" s="19"/>
      <c r="I57" s="9" t="n">
        <f aca="false">(ABS(C16-M16)/C16)*100</f>
        <v>5.55806670325768</v>
      </c>
      <c r="J57" s="9" t="n">
        <f aca="false">(ABS(D16-N16)/D16)*100</f>
        <v>4.45542301816882</v>
      </c>
      <c r="K57" s="9" t="n">
        <f aca="false">(ABS(E16-O16)/E16)*100</f>
        <v>6.0369829483514</v>
      </c>
      <c r="L57" s="9" t="n">
        <f aca="false">(ABS(F16-P16)/F16)*100</f>
        <v>10.7236486205318</v>
      </c>
      <c r="M57" s="23" t="n">
        <f aca="false">(ABS(G16-Q16)/G16)*100</f>
        <v>0.0391541795395739</v>
      </c>
      <c r="N57" s="19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(ABS(C17-H17)/C17)*100</f>
        <v>5.39104562198923</v>
      </c>
      <c r="D58" s="21" t="n">
        <f aca="false">(ABS(D17-I17)/D17)*100</f>
        <v>96.7059572388238</v>
      </c>
      <c r="E58" s="21" t="n">
        <f aca="false">(ABS(E17-J17)/E17)*100</f>
        <v>48.5280127529376</v>
      </c>
      <c r="F58" s="21" t="n">
        <f aca="false">(ABS(F17-K17)/F17)*100</f>
        <v>19.7294426393402</v>
      </c>
      <c r="G58" s="22" t="n">
        <f aca="false">(ABS(G17-L17)/G17)*100</f>
        <v>0.741178508704261</v>
      </c>
      <c r="H58" s="19"/>
      <c r="I58" s="9" t="n">
        <f aca="false">(ABS(C17-M17)/C17)*100</f>
        <v>0.236256729951828</v>
      </c>
      <c r="J58" s="9" t="n">
        <f aca="false">(ABS(D17-N17)/D17)*100</f>
        <v>7.32918831058118</v>
      </c>
      <c r="K58" s="9" t="n">
        <f aca="false">(ABS(E17-O17)/E17)*100</f>
        <v>1.66610958270126</v>
      </c>
      <c r="L58" s="9" t="n">
        <f aca="false">(ABS(F17-P17)/F17)*100</f>
        <v>12.6812046988253</v>
      </c>
      <c r="M58" s="23" t="n">
        <f aca="false">(ABS(G17-Q17)/G17)*100</f>
        <v>0.0421537695212325</v>
      </c>
      <c r="N58" s="19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(ABS(C18-H18)/C18)*100</f>
        <v>8.60714179928658</v>
      </c>
      <c r="D59" s="21" t="n">
        <f aca="false">(ABS(D18-I18)/D18)*100</f>
        <v>96.2265629591897</v>
      </c>
      <c r="E59" s="21" t="n">
        <f aca="false">(ABS(E18-J18)/E18)*100</f>
        <v>46.7926880535784</v>
      </c>
      <c r="F59" s="21" t="n">
        <f aca="false">(ABS(F18-K18)/F18)*100</f>
        <v>11.3078301190853</v>
      </c>
      <c r="G59" s="22" t="n">
        <f aca="false">(ABS(G18-L18)/G18)*100</f>
        <v>0.66687756895256</v>
      </c>
      <c r="H59" s="19"/>
      <c r="I59" s="9" t="n">
        <f aca="false">(ABS(C18-M18)/C18)*100</f>
        <v>0.0854747870535318</v>
      </c>
      <c r="J59" s="9" t="n">
        <f aca="false">(ABS(D18-N18)/D18)*100</f>
        <v>5.89624027742403</v>
      </c>
      <c r="K59" s="9" t="n">
        <f aca="false">(ABS(E18-O18)/E18)*100</f>
        <v>1.0531580244408</v>
      </c>
      <c r="L59" s="9" t="n">
        <f aca="false">(ABS(F18-P18)/F18)*100</f>
        <v>10.3619981030667</v>
      </c>
      <c r="M59" s="23" t="n">
        <f aca="false">(ABS(G18-Q18)/G18)*100</f>
        <v>0.0315975015647386</v>
      </c>
      <c r="N59" s="19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(ABS(C19-H19)/C19)*100</f>
        <v>14.9813302571264</v>
      </c>
      <c r="D60" s="21" t="n">
        <f aca="false">(ABS(D19-I19)/D19)*100</f>
        <v>77.8468034232012</v>
      </c>
      <c r="E60" s="21" t="n">
        <f aca="false">(ABS(E19-J19)/E19)*100</f>
        <v>65.9041661556073</v>
      </c>
      <c r="F60" s="21" t="n">
        <f aca="false">(ABS(F19-K19)/F19)*100</f>
        <v>21.8768342402081</v>
      </c>
      <c r="G60" s="22" t="n">
        <f aca="false">(ABS(G19-L19)/G19)*100</f>
        <v>0.756527614665616</v>
      </c>
      <c r="H60" s="19"/>
      <c r="I60" s="9" t="n">
        <f aca="false">(ABS(C19-M19)/C19)*100</f>
        <v>18.4617953310464</v>
      </c>
      <c r="J60" s="9" t="n">
        <f aca="false">(ABS(D19-N19)/D19)*100</f>
        <v>3.30288974477326</v>
      </c>
      <c r="K60" s="9" t="n">
        <f aca="false">(ABS(E19-O19)/E19)*100</f>
        <v>21.5084427000286</v>
      </c>
      <c r="L60" s="9" t="n">
        <f aca="false">(ABS(F19-P19)/F19)*100</f>
        <v>8.84480543173057</v>
      </c>
      <c r="M60" s="23" t="n">
        <f aca="false">(ABS(G19-Q19)/G19)*100</f>
        <v>0.0765631832733942</v>
      </c>
      <c r="N60" s="19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(ABS(C20-H20)/C20)*100</f>
        <v>10.3411248608656</v>
      </c>
      <c r="D61" s="21" t="n">
        <f aca="false">(ABS(D20-I20)/D20)*100</f>
        <v>96.2258757663572</v>
      </c>
      <c r="E61" s="21" t="n">
        <f aca="false">(ABS(E20-J20)/E20)*100</f>
        <v>42.6211719315168</v>
      </c>
      <c r="F61" s="21" t="n">
        <f aca="false">(ABS(F20-K20)/F20)*100</f>
        <v>7.26751311338791</v>
      </c>
      <c r="G61" s="22" t="n">
        <f aca="false">(ABS(G20-L20)/G20)*100</f>
        <v>0.635408001210013</v>
      </c>
      <c r="H61" s="19"/>
      <c r="I61" s="9" t="n">
        <f aca="false">(ABS(C20-M20)/C20)*100</f>
        <v>0.926253301032323</v>
      </c>
      <c r="J61" s="9" t="n">
        <f aca="false">(ABS(D20-N20)/D20)*100</f>
        <v>7.61034557533464</v>
      </c>
      <c r="K61" s="9" t="n">
        <f aca="false">(ABS(E20-O20)/E20)*100</f>
        <v>0.291493496361651</v>
      </c>
      <c r="L61" s="9" t="n">
        <f aca="false">(ABS(F20-P20)/F20)*100</f>
        <v>12.1501053973234</v>
      </c>
      <c r="M61" s="23" t="n">
        <f aca="false">(ABS(G20-Q20)/G20)*100</f>
        <v>0.0398169855554715</v>
      </c>
      <c r="N61" s="19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(ABS(C21-H21)/C21)*100</f>
        <v>8.98342896329025</v>
      </c>
      <c r="D62" s="21" t="n">
        <f aca="false">(ABS(D21-I21)/D21)*100</f>
        <v>87.1830557456841</v>
      </c>
      <c r="E62" s="21" t="n">
        <f aca="false">(ABS(E21-J21)/E21)*100</f>
        <v>65.8858160017877</v>
      </c>
      <c r="F62" s="21" t="n">
        <f aca="false">(ABS(F21-K21)/F21)*100</f>
        <v>0.804503020318506</v>
      </c>
      <c r="G62" s="22" t="n">
        <f aca="false">(ABS(G21-L21)/G21)*100</f>
        <v>0.672171827801396</v>
      </c>
      <c r="H62" s="19"/>
      <c r="I62" s="9" t="n">
        <f aca="false">(ABS(C21-M21)/C21)*100</f>
        <v>8.74645185371655</v>
      </c>
      <c r="J62" s="9" t="n">
        <f aca="false">(ABS(D21-N21)/D21)*100</f>
        <v>6.11681496691764</v>
      </c>
      <c r="K62" s="9" t="n">
        <f aca="false">(ABS(E21-O21)/E21)*100</f>
        <v>9.58134588859008</v>
      </c>
      <c r="L62" s="9" t="n">
        <f aca="false">(ABS(F21-P21)/F21)*100</f>
        <v>12.1540362438221</v>
      </c>
      <c r="M62" s="23" t="n">
        <f aca="false">(ABS(G21-Q21)/G21)*100</f>
        <v>0.0571715378811297</v>
      </c>
      <c r="N62" s="19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(ABS(C22-H22)/C22)*100</f>
        <v>12.8478508683699</v>
      </c>
      <c r="D63" s="21" t="n">
        <f aca="false">(ABS(D22-I22)/D22)*100</f>
        <v>75.1501118198227</v>
      </c>
      <c r="E63" s="21" t="n">
        <f aca="false">(ABS(E22-J22)/E22)*100</f>
        <v>44.938602322944</v>
      </c>
      <c r="F63" s="21" t="n">
        <f aca="false">(ABS(F22-K22)/F22)*100</f>
        <v>22.6218471263343</v>
      </c>
      <c r="G63" s="22" t="n">
        <f aca="false">(ABS(G22-L22)/G22)*100</f>
        <v>0.659794316566221</v>
      </c>
      <c r="H63" s="19"/>
      <c r="I63" s="9" t="n">
        <f aca="false">(ABS(C22-M22)/C22)*100</f>
        <v>24.7016026285791</v>
      </c>
      <c r="J63" s="9" t="n">
        <f aca="false">(ABS(D22-N22)/D22)*100</f>
        <v>3.22371874617979</v>
      </c>
      <c r="K63" s="9" t="n">
        <f aca="false">(ABS(E22-O22)/E22)*100</f>
        <v>26.4655273552071</v>
      </c>
      <c r="L63" s="9" t="n">
        <f aca="false">(ABS(F22-P22)/F22)*100</f>
        <v>9.95756175484543</v>
      </c>
      <c r="M63" s="23" t="n">
        <f aca="false">(ABS(G22-Q22)/G22)*100</f>
        <v>0.0846467290533477</v>
      </c>
      <c r="N63" s="19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(ABS(C23-H23)/C23)*100</f>
        <v>5.3821697378666</v>
      </c>
      <c r="D64" s="21" t="n">
        <f aca="false">(ABS(D23-I23)/D23)*100</f>
        <v>82.3828624806701</v>
      </c>
      <c r="E64" s="21" t="n">
        <f aca="false">(ABS(E23-J23)/E23)*100</f>
        <v>56.7231425229237</v>
      </c>
      <c r="F64" s="21" t="n">
        <f aca="false">(ABS(F23-K23)/F23)*100</f>
        <v>9.48410224438903</v>
      </c>
      <c r="G64" s="22" t="n">
        <f aca="false">(ABS(G23-L23)/G23)*100</f>
        <v>0.855221292305936</v>
      </c>
      <c r="H64" s="19"/>
      <c r="I64" s="9" t="n">
        <f aca="false">(ABS(C23-M23)/C23)*100</f>
        <v>17.8383726966001</v>
      </c>
      <c r="J64" s="9" t="n">
        <f aca="false">(ABS(D23-N23)/D23)*100</f>
        <v>3.89581845156327</v>
      </c>
      <c r="K64" s="9" t="n">
        <f aca="false">(ABS(E23-O23)/E23)*100</f>
        <v>13.7104260216596</v>
      </c>
      <c r="L64" s="9" t="n">
        <f aca="false">(ABS(F23-P23)/F23)*100</f>
        <v>10.0861128428928</v>
      </c>
      <c r="M64" s="23" t="n">
        <f aca="false">(ABS(G23-Q23)/G23)*100</f>
        <v>0.0650994257418279</v>
      </c>
      <c r="N64" s="19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(ABS(C24-H24)/C24)*100</f>
        <v>2.21066815824265</v>
      </c>
      <c r="D65" s="21" t="n">
        <f aca="false">(ABS(D24-I24)/D24)*100</f>
        <v>85.006834114725</v>
      </c>
      <c r="E65" s="21" t="n">
        <f aca="false">(ABS(E24-J24)/E24)*100</f>
        <v>65.2287852653554</v>
      </c>
      <c r="F65" s="21" t="n">
        <f aca="false">(ABS(F24-K24)/F24)*100</f>
        <v>9.28915762789345</v>
      </c>
      <c r="G65" s="22" t="n">
        <f aca="false">(ABS(G24-L24)/G24)*100</f>
        <v>0.622901038192989</v>
      </c>
      <c r="H65" s="19"/>
      <c r="I65" s="9" t="n">
        <f aca="false">(ABS(C24-M24)/C24)*100</f>
        <v>14.0356452761111</v>
      </c>
      <c r="J65" s="9" t="n">
        <f aca="false">(ABS(D24-N24)/D24)*100</f>
        <v>4.61853882218074</v>
      </c>
      <c r="K65" s="9" t="n">
        <f aca="false">(ABS(E24-O24)/E24)*100</f>
        <v>12.587076093957</v>
      </c>
      <c r="L65" s="9" t="n">
        <f aca="false">(ABS(F24-P24)/F24)*100</f>
        <v>11.2984665253709</v>
      </c>
      <c r="M65" s="23" t="n">
        <f aca="false">(ABS(G24-Q24)/G24)*100</f>
        <v>0.050611170460783</v>
      </c>
      <c r="N65" s="19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(ABS(C25-H25)/C25)*100</f>
        <v>6.74120371523195</v>
      </c>
      <c r="D66" s="21" t="n">
        <f aca="false">(ABS(D25-I25)/D25)*100</f>
        <v>94.0823011765618</v>
      </c>
      <c r="E66" s="21" t="n">
        <f aca="false">(ABS(E25-J25)/E25)*100</f>
        <v>52.3838382398027</v>
      </c>
      <c r="F66" s="21" t="n">
        <f aca="false">(ABS(F25-K25)/F25)*100</f>
        <v>22.4136786922958</v>
      </c>
      <c r="G66" s="22" t="n">
        <f aca="false">(ABS(G25-L25)/G25)*100</f>
        <v>0.757300275688641</v>
      </c>
      <c r="H66" s="19"/>
      <c r="I66" s="9" t="n">
        <f aca="false">(ABS(C25-M25)/C25)*100</f>
        <v>2.54986428944944</v>
      </c>
      <c r="J66" s="9" t="n">
        <f aca="false">(ABS(D25-N25)/D25)*100</f>
        <v>8.39584423639782</v>
      </c>
      <c r="K66" s="9" t="n">
        <f aca="false">(ABS(E25-O25)/E25)*100</f>
        <v>2.61020840314565</v>
      </c>
      <c r="L66" s="9" t="n">
        <f aca="false">(ABS(F25-P25)/F25)*100</f>
        <v>13.0659824371254</v>
      </c>
      <c r="M66" s="23" t="n">
        <f aca="false">(ABS(G25-Q25)/G25)*100</f>
        <v>0.0486222690742125</v>
      </c>
      <c r="N66" s="19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(ABS(C26-H26)/C26)*100</f>
        <v>2.03900943520892</v>
      </c>
      <c r="D67" s="21" t="n">
        <f aca="false">(ABS(D26-I26)/D26)*100</f>
        <v>84.5954474568577</v>
      </c>
      <c r="E67" s="21" t="n">
        <f aca="false">(ABS(E26-J26)/E26)*100</f>
        <v>63.2369416871019</v>
      </c>
      <c r="F67" s="21" t="n">
        <f aca="false">(ABS(F26-K26)/F26)*100</f>
        <v>12.3317837044287</v>
      </c>
      <c r="G67" s="22" t="n">
        <f aca="false">(ABS(G26-L26)/G26)*100</f>
        <v>0.726973805741309</v>
      </c>
      <c r="H67" s="19"/>
      <c r="I67" s="9" t="n">
        <f aca="false">(ABS(C26-M26)/C26)*100</f>
        <v>14.7871131432196</v>
      </c>
      <c r="J67" s="9" t="n">
        <f aca="false">(ABS(D26-N26)/D26)*100</f>
        <v>4.19525123917325</v>
      </c>
      <c r="K67" s="9" t="n">
        <f aca="false">(ABS(E26-O26)/E26)*100</f>
        <v>14.0419464270325</v>
      </c>
      <c r="L67" s="9" t="n">
        <f aca="false">(ABS(F26-P26)/F26)*100</f>
        <v>9.91762498980507</v>
      </c>
      <c r="M67" s="23" t="n">
        <f aca="false">(ABS(G26-Q26)/G26)*100</f>
        <v>0.0561199985221857</v>
      </c>
      <c r="N67" s="19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(ABS(C27-H27)/C27)*100</f>
        <v>29.5670366395414</v>
      </c>
      <c r="D68" s="21" t="n">
        <f aca="false">(ABS(D27-I27)/D27)*100</f>
        <v>87.8293314907583</v>
      </c>
      <c r="E68" s="21" t="n">
        <f aca="false">(ABS(E27-J27)/E27)*100</f>
        <v>53.5091662511953</v>
      </c>
      <c r="F68" s="21" t="n">
        <f aca="false">(ABS(F27-K27)/F27)*100</f>
        <v>24.1881192812782</v>
      </c>
      <c r="G68" s="22" t="n">
        <f aca="false">(ABS(G27-L27)/G27)*100</f>
        <v>0.530029013628843</v>
      </c>
      <c r="H68" s="19"/>
      <c r="I68" s="9" t="n">
        <f aca="false">(ABS(C27-M27)/C27)*100</f>
        <v>9.79771495333451</v>
      </c>
      <c r="J68" s="9" t="n">
        <f aca="false">(ABS(D27-N27)/D27)*100</f>
        <v>2.7749179478321</v>
      </c>
      <c r="K68" s="9" t="n">
        <f aca="false">(ABS(E27-O27)/E27)*100</f>
        <v>10.1805461336646</v>
      </c>
      <c r="L68" s="9" t="n">
        <f aca="false">(ABS(F27-P27)/F27)*100</f>
        <v>7.93343763333807</v>
      </c>
      <c r="M68" s="23" t="n">
        <f aca="false">(ABS(G27-Q27)/G27)*100</f>
        <v>0.0329423656159909</v>
      </c>
      <c r="N68" s="19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(ABS(C28-H28)/C28)*100</f>
        <v>11.9245867701342</v>
      </c>
      <c r="D69" s="21" t="n">
        <f aca="false">(ABS(D28-I28)/D28)*100</f>
        <v>94.7773078306135</v>
      </c>
      <c r="E69" s="21" t="n">
        <f aca="false">(ABS(E28-J28)/E28)*100</f>
        <v>73.0803525276543</v>
      </c>
      <c r="F69" s="21" t="n">
        <f aca="false">(ABS(F28-K28)/F28)*100</f>
        <v>0.0844230802363846</v>
      </c>
      <c r="G69" s="22" t="n">
        <f aca="false">(ABS(G28-L28)/G28)*100</f>
        <v>0.596881286860945</v>
      </c>
      <c r="H69" s="19"/>
      <c r="I69" s="9" t="n">
        <f aca="false">(ABS(C28-M28)/C28)*100</f>
        <v>5.43074208857669</v>
      </c>
      <c r="J69" s="9" t="n">
        <f aca="false">(ABS(D28-N28)/D28)*100</f>
        <v>8.67823079162315</v>
      </c>
      <c r="K69" s="9" t="n">
        <f aca="false">(ABS(E28-O28)/E28)*100</f>
        <v>4.77618112271271</v>
      </c>
      <c r="L69" s="9" t="n">
        <f aca="false">(ABS(F28-P28)/F28)*100</f>
        <v>13.698936958357</v>
      </c>
      <c r="M69" s="23" t="n">
        <f aca="false">(ABS(G28-Q28)/G28)*100</f>
        <v>0.0461901365545001</v>
      </c>
      <c r="N69" s="19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(ABS(C29-H29)/C29)*100</f>
        <v>9.87257225522485</v>
      </c>
      <c r="D70" s="21" t="n">
        <f aca="false">(ABS(D29-I29)/D29)*100</f>
        <v>74.6022468991493</v>
      </c>
      <c r="E70" s="21" t="n">
        <f aca="false">(ABS(E29-J29)/E29)*100</f>
        <v>46.4041944543471</v>
      </c>
      <c r="F70" s="21" t="n">
        <f aca="false">(ABS(F29-K29)/F29)*100</f>
        <v>21.6374029659341</v>
      </c>
      <c r="G70" s="22" t="n">
        <f aca="false">(ABS(G29-L29)/G29)*100</f>
        <v>0.44164265209979</v>
      </c>
      <c r="H70" s="19"/>
      <c r="I70" s="9" t="n">
        <f aca="false">(ABS(C29-M29)/C29)*100</f>
        <v>23.7357259380098</v>
      </c>
      <c r="J70" s="9" t="n">
        <f aca="false">(ABS(D29-N29)/D29)*100</f>
        <v>3.88120440721259</v>
      </c>
      <c r="K70" s="9" t="n">
        <f aca="false">(ABS(E29-O29)/E29)*100</f>
        <v>23.742489718196</v>
      </c>
      <c r="L70" s="9" t="n">
        <f aca="false">(ABS(F29-P29)/F29)*100</f>
        <v>10.005593527879</v>
      </c>
      <c r="M70" s="23" t="n">
        <f aca="false">(ABS(G29-Q29)/G29)*100</f>
        <v>0.096367853259325</v>
      </c>
      <c r="N70" s="19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(ABS(C30-H30)/C30)*100</f>
        <v>3.10436545579674</v>
      </c>
      <c r="D71" s="21" t="n">
        <f aca="false">(ABS(D30-I30)/D30)*100</f>
        <v>74.8696339952543</v>
      </c>
      <c r="E71" s="21" t="n">
        <f aca="false">(ABS(E30-J30)/E30)*100</f>
        <v>56.8504745268238</v>
      </c>
      <c r="F71" s="21" t="n">
        <f aca="false">(ABS(F30-K30)/F30)*100</f>
        <v>22.3017759116828</v>
      </c>
      <c r="G71" s="22" t="n">
        <f aca="false">(ABS(G30-L30)/G30)*100</f>
        <v>0.593291751761697</v>
      </c>
      <c r="H71" s="19"/>
      <c r="I71" s="9" t="n">
        <f aca="false">(ABS(C30-M30)/C30)*100</f>
        <v>19.4501794914718</v>
      </c>
      <c r="J71" s="9" t="n">
        <f aca="false">(ABS(D30-N30)/D30)*100</f>
        <v>1.01772977664541</v>
      </c>
      <c r="K71" s="9" t="n">
        <f aca="false">(ABS(E30-O30)/E30)*100</f>
        <v>20.3074069405176</v>
      </c>
      <c r="L71" s="9" t="n">
        <f aca="false">(ABS(F30-P30)/F30)*100</f>
        <v>8.9144844237588</v>
      </c>
      <c r="M71" s="23" t="n">
        <f aca="false">(ABS(G30-Q30)/G30)*100</f>
        <v>0.0665673124689518</v>
      </c>
      <c r="N71" s="19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(ABS(C31-H31)/C31)*100</f>
        <v>11.455385724743</v>
      </c>
      <c r="D72" s="21" t="n">
        <f aca="false">(ABS(D31-I31)/D31)*100</f>
        <v>82.0360435606669</v>
      </c>
      <c r="E72" s="21" t="n">
        <f aca="false">(ABS(E31-J31)/E31)*100</f>
        <v>52.842232817132</v>
      </c>
      <c r="F72" s="21" t="n">
        <f aca="false">(ABS(F31-K31)/F31)*100</f>
        <v>2.40112215226282</v>
      </c>
      <c r="G72" s="22" t="n">
        <f aca="false">(ABS(G31-L31)/G31)*100</f>
        <v>0.573941450870163</v>
      </c>
      <c r="H72" s="19"/>
      <c r="I72" s="9" t="n">
        <f aca="false">(ABS(C31-M31)/C31)*100</f>
        <v>22.6660402713894</v>
      </c>
      <c r="J72" s="9" t="n">
        <f aca="false">(ABS(D31-N31)/D31)*100</f>
        <v>9.95615021362717</v>
      </c>
      <c r="K72" s="9" t="n">
        <f aca="false">(ABS(E31-O31)/E31)*100</f>
        <v>20.5429851198419</v>
      </c>
      <c r="L72" s="9" t="n">
        <f aca="false">(ABS(F31-P31)/F31)*100</f>
        <v>13.4429743339191</v>
      </c>
      <c r="M72" s="23" t="n">
        <f aca="false">(ABS(G31-Q31)/G31)*100</f>
        <v>0.114863046468513</v>
      </c>
      <c r="N72" s="19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(ABS(C32-H32)/C32)*100</f>
        <v>5.63478516234422</v>
      </c>
      <c r="D73" s="21" t="n">
        <f aca="false">(ABS(D32-I32)/D32)*100</f>
        <v>66.6447247162906</v>
      </c>
      <c r="E73" s="21" t="n">
        <f aca="false">(ABS(E32-J32)/E32)*100</f>
        <v>8.97770964742543</v>
      </c>
      <c r="F73" s="21" t="n">
        <f aca="false">(ABS(F32-K32)/F32)*100</f>
        <v>38.0553250867401</v>
      </c>
      <c r="G73" s="22" t="n">
        <f aca="false">(ABS(G32-L32)/G32)*100</f>
        <v>0.201052279896515</v>
      </c>
      <c r="H73" s="19"/>
      <c r="I73" s="9" t="n">
        <f aca="false">(ABS(C32-M32)/C32)*100</f>
        <v>35.9488280748123</v>
      </c>
      <c r="J73" s="9" t="n">
        <f aca="false">(ABS(D32-N32)/D32)*100</f>
        <v>1.88964076638844</v>
      </c>
      <c r="K73" s="9" t="n">
        <f aca="false">(ABS(E32-O32)/E32)*100</f>
        <v>48.0951423617219</v>
      </c>
      <c r="L73" s="9" t="n">
        <f aca="false">(ABS(F32-P32)/F32)*100</f>
        <v>7.92776059737517</v>
      </c>
      <c r="M73" s="23" t="n">
        <f aca="false">(ABS(G32-Q32)/G32)*100</f>
        <v>0.149324516994331</v>
      </c>
      <c r="N73" s="19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(ABS(C33-H33)/C33)*100</f>
        <v>3.58891921193316</v>
      </c>
      <c r="D74" s="21" t="n">
        <f aca="false">(ABS(D33-I33)/D33)*100</f>
        <v>76.5587966477158</v>
      </c>
      <c r="E74" s="21" t="n">
        <f aca="false">(ABS(E33-J33)/E33)*100</f>
        <v>47.6613720548535</v>
      </c>
      <c r="F74" s="21" t="n">
        <f aca="false">(ABS(F33-K33)/F33)*100</f>
        <v>22.6749735572582</v>
      </c>
      <c r="G74" s="22" t="n">
        <f aca="false">(ABS(G33-L33)/G33)*100</f>
        <v>0.460264303905174</v>
      </c>
      <c r="H74" s="19"/>
      <c r="I74" s="9" t="n">
        <f aca="false">(ABS(C33-M33)/C33)*100</f>
        <v>29.0945455904894</v>
      </c>
      <c r="J74" s="9" t="n">
        <f aca="false">(ABS(D33-N33)/D33)*100</f>
        <v>2.52195870060261</v>
      </c>
      <c r="K74" s="9" t="n">
        <f aca="false">(ABS(E33-O33)/E33)*100</f>
        <v>26.8132774872867</v>
      </c>
      <c r="L74" s="9" t="n">
        <f aca="false">(ABS(F33-P33)/F33)*100</f>
        <v>9.47617573459227</v>
      </c>
      <c r="M74" s="23" t="n">
        <f aca="false">(ABS(G33-Q33)/G33)*100</f>
        <v>0.106876746810686</v>
      </c>
      <c r="N74" s="19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(ABS(C34-H34)/C34)*100</f>
        <v>1.17474225998531</v>
      </c>
      <c r="D75" s="21" t="n">
        <f aca="false">(ABS(D34-I34)/D34)*100</f>
        <v>94.2245177295864</v>
      </c>
      <c r="E75" s="21" t="n">
        <f aca="false">(ABS(E34-J34)/E34)*100</f>
        <v>52.9396779777263</v>
      </c>
      <c r="F75" s="21" t="n">
        <f aca="false">(ABS(F34-K34)/F34)*100</f>
        <v>23.018930352374</v>
      </c>
      <c r="G75" s="22" t="n">
        <f aca="false">(ABS(G34-L34)/G34)*100</f>
        <v>0.543783706219283</v>
      </c>
      <c r="H75" s="19"/>
      <c r="I75" s="9" t="n">
        <f aca="false">(ABS(C34-M34)/C34)*100</f>
        <v>3.09235922628505</v>
      </c>
      <c r="J75" s="9" t="n">
        <f aca="false">(ABS(D34-N34)/D34)*100</f>
        <v>10.2453056161512</v>
      </c>
      <c r="K75" s="9" t="n">
        <f aca="false">(ABS(E34-O34)/E34)*100</f>
        <v>2.02096737319965</v>
      </c>
      <c r="L75" s="9" t="n">
        <f aca="false">(ABS(F34-P34)/F34)*100</f>
        <v>12.2988206934039</v>
      </c>
      <c r="M75" s="23" t="n">
        <f aca="false">(ABS(G34-Q34)/G34)*100</f>
        <v>0.0573603620840159</v>
      </c>
      <c r="N75" s="19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(ABS(C35-H35)/C35)*100</f>
        <v>47.7230055590325</v>
      </c>
      <c r="D76" s="21" t="n">
        <f aca="false">(ABS(D35-I35)/D35)*100</f>
        <v>68.8950377760244</v>
      </c>
      <c r="E76" s="21" t="n">
        <f aca="false">(ABS(E35-J35)/E35)*100</f>
        <v>42.1348314606742</v>
      </c>
      <c r="F76" s="21" t="n">
        <f aca="false">(ABS(F35-K35)/F35)*100</f>
        <v>39.610786791757</v>
      </c>
      <c r="G76" s="22" t="n">
        <f aca="false">(ABS(G35-L35)/G35)*100</f>
        <v>0.168573820820541</v>
      </c>
      <c r="H76" s="19"/>
      <c r="I76" s="9" t="n">
        <f aca="false">(ABS(C35-M35)/C35)*100</f>
        <v>35.1102602805287</v>
      </c>
      <c r="J76" s="9" t="n">
        <f aca="false">(ABS(D35-N35)/D35)*100</f>
        <v>6.7521265902139</v>
      </c>
      <c r="K76" s="9" t="n">
        <f aca="false">(ABS(E35-O35)/E35)*100</f>
        <v>73.7503937834716</v>
      </c>
      <c r="L76" s="9" t="n">
        <f aca="false">(ABS(F35-P35)/F35)*100</f>
        <v>4.14309229759024</v>
      </c>
      <c r="M76" s="23" t="n">
        <f aca="false">(ABS(G35-Q35)/G35)*100</f>
        <v>0.111530254877423</v>
      </c>
      <c r="N76" s="19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(ABS(C36-H36)/C36)*100</f>
        <v>12.9901324331343</v>
      </c>
      <c r="D77" s="21" t="n">
        <f aca="false">(ABS(D36-I36)/D36)*100</f>
        <v>70.1800264974065</v>
      </c>
      <c r="E77" s="21" t="n">
        <f aca="false">(ABS(E36-J36)/E36)*100</f>
        <v>21.6421186645301</v>
      </c>
      <c r="F77" s="21" t="n">
        <f aca="false">(ABS(F36-K36)/F36)*100</f>
        <v>30.8682294559109</v>
      </c>
      <c r="G77" s="22" t="n">
        <f aca="false">(ABS(G36-L36)/G36)*100</f>
        <v>0.249052481606344</v>
      </c>
      <c r="H77" s="25" t="s">
        <v>15</v>
      </c>
      <c r="I77" s="9" t="n">
        <f aca="false">(ABS(C36-M36)/C36)*100</f>
        <v>35.6444213624167</v>
      </c>
      <c r="J77" s="9" t="n">
        <f aca="false">(ABS(D36-N36)/D36)*100</f>
        <v>0.461539793735875</v>
      </c>
      <c r="K77" s="9" t="n">
        <f aca="false">(ABS(E36-O36)/E36)*100</f>
        <v>38.3212239611915</v>
      </c>
      <c r="L77" s="9" t="n">
        <f aca="false">(ABS(F36-P36)/F36)*100</f>
        <v>7.98021123639013</v>
      </c>
      <c r="M77" s="23" t="n">
        <f aca="false">(ABS(G36-Q36)/G36)*100</f>
        <v>0.122384330374173</v>
      </c>
      <c r="N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(ABS(SUM(C4:C36)-SUM(H4:H36))/SUM(C4:C36))*100</f>
        <v>5.79464257096904</v>
      </c>
      <c r="D78" s="26" t="n">
        <f aca="false">(ABS(SUM(D4:D36)-SUM(I4:I36))/SUM(D4:D36))*100</f>
        <v>82.3414354260336</v>
      </c>
      <c r="E78" s="26" t="n">
        <f aca="false">(ABS(SUM(E4:E36)-SUM(J4:J36))/SUM(E4:E36))*100</f>
        <v>51.630220580607</v>
      </c>
      <c r="F78" s="26" t="n">
        <f aca="false">(ABS(SUM(F4:F36)-SUM(K4:K36))/SUM(F4:F36))*100</f>
        <v>18.3988775603825</v>
      </c>
      <c r="G78" s="26" t="n">
        <f aca="false">(ABS(SUM(G4:G36)-SUM(L4:L36))/SUM(G4:G36))*100</f>
        <v>0.592768957810191</v>
      </c>
      <c r="H78" s="27" t="n">
        <f aca="false">SUM(C45:G77)/COUNT(C45:G77)</f>
        <v>32.5816967561815</v>
      </c>
      <c r="I78" s="28" t="n">
        <f aca="false">(ABS(SUM(C4:C36)-SUM(M4:M36))/SUM(C4:C36))*100</f>
        <v>7.79386597967937</v>
      </c>
      <c r="J78" s="28" t="n">
        <f aca="false">(ABS(SUM(D4:D36)-SUM(N4:N36))/SUM(D4:D36))*100</f>
        <v>4.08304578553659</v>
      </c>
      <c r="K78" s="28" t="n">
        <f aca="false">(ABS(SUM(E4:E36)-SUM(O4:O36))/SUM(E4:E36))*100</f>
        <v>12.4864383784282</v>
      </c>
      <c r="L78" s="28" t="n">
        <f aca="false">(ABS(SUM(F4:F36)-SUM(P4:P36))/SUM(F4:F36))*100</f>
        <v>9.6037413841085</v>
      </c>
      <c r="M78" s="28" t="n">
        <f aca="false">(ABS(SUM(G4:G36)-SUM(Q4:Q36))/SUM(G4:G36))*100</f>
        <v>0.0610034749625788</v>
      </c>
      <c r="N78" s="27" t="n">
        <f aca="false">SUM(I45:M77)/COUNT(I45:M77)</f>
        <v>8.71222345296613</v>
      </c>
    </row>
  </sheetData>
  <mergeCells count="10">
    <mergeCell ref="B1:B3"/>
    <mergeCell ref="C1:G2"/>
    <mergeCell ref="H2:L2"/>
    <mergeCell ref="M2:Q2"/>
    <mergeCell ref="A3:A37"/>
    <mergeCell ref="B42:B44"/>
    <mergeCell ref="C42:N42"/>
    <mergeCell ref="C43:H43"/>
    <mergeCell ref="I43:N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O44" activeCellId="0" sqref="O44"/>
    </sheetView>
  </sheetViews>
  <sheetFormatPr defaultColWidth="8.6796875" defaultRowHeight="15" zeroHeight="false" outlineLevelRow="0" outlineLevelCol="0"/>
  <cols>
    <col collapsed="false" customWidth="true" hidden="false" outlineLevel="0" max="7" min="7" style="0" width="11.12"/>
    <col collapsed="false" customWidth="true" hidden="false" outlineLevel="0" max="12" min="12" style="0" width="13.3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/>
      <c r="E1" s="1"/>
      <c r="F1" s="1"/>
      <c r="P1" s="2" t="s">
        <v>2</v>
      </c>
    </row>
    <row r="2" customFormat="false" ht="15" hidden="false" customHeight="false" outlineLevel="0" collapsed="false">
      <c r="B2" s="1"/>
      <c r="C2" s="1"/>
      <c r="D2" s="1"/>
      <c r="E2" s="1"/>
      <c r="F2" s="1"/>
      <c r="G2" s="3" t="s">
        <v>3</v>
      </c>
      <c r="H2" s="3"/>
      <c r="I2" s="3"/>
      <c r="J2" s="3"/>
      <c r="K2" s="1" t="s">
        <v>4</v>
      </c>
      <c r="L2" s="1"/>
      <c r="M2" s="1"/>
      <c r="N2" s="1"/>
      <c r="P2" s="2" t="s">
        <v>5</v>
      </c>
    </row>
    <row r="3" customFormat="false" ht="15" hidden="false" customHeight="false" outlineLevel="0" collapsed="false">
      <c r="A3" s="1" t="s">
        <v>16</v>
      </c>
      <c r="B3" s="1"/>
      <c r="C3" s="29" t="s">
        <v>17</v>
      </c>
      <c r="D3" s="30" t="s">
        <v>18</v>
      </c>
      <c r="E3" s="31" t="s">
        <v>19</v>
      </c>
      <c r="F3" s="8" t="s">
        <v>11</v>
      </c>
      <c r="G3" s="29" t="s">
        <v>17</v>
      </c>
      <c r="H3" s="30" t="s">
        <v>18</v>
      </c>
      <c r="I3" s="31" t="s">
        <v>19</v>
      </c>
      <c r="J3" s="8" t="s">
        <v>11</v>
      </c>
      <c r="K3" s="29" t="s">
        <v>17</v>
      </c>
      <c r="L3" s="30" t="s">
        <v>18</v>
      </c>
      <c r="M3" s="31" t="s">
        <v>19</v>
      </c>
      <c r="N3" s="8" t="s">
        <v>11</v>
      </c>
    </row>
    <row r="4" customFormat="false" ht="15" hidden="false" customHeight="false" outlineLevel="0" collapsed="false">
      <c r="A4" s="1"/>
      <c r="B4" s="9" t="n">
        <v>0</v>
      </c>
      <c r="C4" s="9" t="n">
        <v>275926</v>
      </c>
      <c r="D4" s="9" t="n">
        <v>68918</v>
      </c>
      <c r="E4" s="9" t="n">
        <v>146583</v>
      </c>
      <c r="F4" s="9" t="n">
        <v>2665518</v>
      </c>
      <c r="G4" s="9" t="n">
        <v>275926</v>
      </c>
      <c r="H4" s="9" t="n">
        <v>68918</v>
      </c>
      <c r="I4" s="9" t="n">
        <v>146583</v>
      </c>
      <c r="J4" s="9" t="n">
        <v>2665518</v>
      </c>
      <c r="K4" s="9" t="n">
        <v>275926</v>
      </c>
      <c r="L4" s="9" t="n">
        <v>68918</v>
      </c>
      <c r="M4" s="9" t="n">
        <v>146583</v>
      </c>
      <c r="N4" s="9" t="n">
        <v>2665518</v>
      </c>
    </row>
    <row r="5" customFormat="false" ht="15" hidden="false" customHeight="false" outlineLevel="0" collapsed="false">
      <c r="A5" s="1"/>
      <c r="B5" s="9" t="n">
        <v>1</v>
      </c>
      <c r="C5" s="9" t="n">
        <v>125073</v>
      </c>
      <c r="D5" s="9" t="n">
        <v>125221</v>
      </c>
      <c r="E5" s="9" t="n">
        <v>214468</v>
      </c>
      <c r="F5" s="9" t="n">
        <v>2692183</v>
      </c>
      <c r="G5" s="9" t="n">
        <v>133910</v>
      </c>
      <c r="H5" s="9" t="n">
        <v>87528</v>
      </c>
      <c r="I5" s="9" t="n">
        <v>239908</v>
      </c>
      <c r="J5" s="9" t="n">
        <v>2695599</v>
      </c>
      <c r="K5" s="9" t="n">
        <v>109010</v>
      </c>
      <c r="L5" s="9" t="n">
        <v>153629</v>
      </c>
      <c r="M5" s="9" t="n">
        <v>204343</v>
      </c>
      <c r="N5" s="9" t="n">
        <v>2689963</v>
      </c>
    </row>
    <row r="6" customFormat="false" ht="15" hidden="false" customHeight="false" outlineLevel="0" collapsed="false">
      <c r="A6" s="1"/>
      <c r="B6" s="9" t="n">
        <v>2</v>
      </c>
      <c r="C6" s="9" t="n">
        <v>118092</v>
      </c>
      <c r="D6" s="9" t="n">
        <v>127912</v>
      </c>
      <c r="E6" s="9" t="n">
        <v>215453</v>
      </c>
      <c r="F6" s="9" t="n">
        <v>2695488</v>
      </c>
      <c r="G6" s="9" t="n">
        <v>126481</v>
      </c>
      <c r="H6" s="9" t="n">
        <v>98069</v>
      </c>
      <c r="I6" s="9" t="n">
        <v>233895</v>
      </c>
      <c r="J6" s="9" t="n">
        <v>2698500</v>
      </c>
      <c r="K6" s="9" t="n">
        <v>104001</v>
      </c>
      <c r="L6" s="9" t="n">
        <v>153021</v>
      </c>
      <c r="M6" s="9" t="n">
        <v>206258</v>
      </c>
      <c r="N6" s="9" t="n">
        <v>2693665</v>
      </c>
    </row>
    <row r="7" customFormat="false" ht="15" hidden="false" customHeight="false" outlineLevel="0" collapsed="false">
      <c r="A7" s="1"/>
      <c r="B7" s="9" t="n">
        <v>3</v>
      </c>
      <c r="C7" s="9" t="n">
        <v>76485</v>
      </c>
      <c r="D7" s="9" t="n">
        <v>135425</v>
      </c>
      <c r="E7" s="9" t="n">
        <v>223861</v>
      </c>
      <c r="F7" s="9" t="n">
        <v>2721174</v>
      </c>
      <c r="G7" s="9" t="n">
        <v>59350</v>
      </c>
      <c r="H7" s="9" t="n">
        <v>128054</v>
      </c>
      <c r="I7" s="9" t="n">
        <v>245938</v>
      </c>
      <c r="J7" s="9" t="n">
        <v>2723603</v>
      </c>
      <c r="K7" s="9" t="n">
        <v>61821</v>
      </c>
      <c r="L7" s="9" t="n">
        <v>158875</v>
      </c>
      <c r="M7" s="9" t="n">
        <v>217554</v>
      </c>
      <c r="N7" s="9" t="n">
        <v>2718695</v>
      </c>
    </row>
    <row r="8" customFormat="false" ht="15" hidden="false" customHeight="false" outlineLevel="0" collapsed="false">
      <c r="A8" s="1"/>
      <c r="B8" s="9" t="n">
        <v>4</v>
      </c>
      <c r="C8" s="9" t="n">
        <v>100874</v>
      </c>
      <c r="D8" s="9" t="n">
        <v>111308</v>
      </c>
      <c r="E8" s="9" t="n">
        <v>214496</v>
      </c>
      <c r="F8" s="9" t="n">
        <v>2730267</v>
      </c>
      <c r="G8" s="9" t="n">
        <v>109323</v>
      </c>
      <c r="H8" s="9" t="n">
        <v>80756</v>
      </c>
      <c r="I8" s="9" t="n">
        <v>230189</v>
      </c>
      <c r="J8" s="9" t="n">
        <v>2736677</v>
      </c>
      <c r="K8" s="9" t="n">
        <v>85095</v>
      </c>
      <c r="L8" s="9" t="n">
        <v>137535</v>
      </c>
      <c r="M8" s="9" t="n">
        <v>207022</v>
      </c>
      <c r="N8" s="9" t="n">
        <v>2727293</v>
      </c>
    </row>
    <row r="9" customFormat="false" ht="15" hidden="false" customHeight="false" outlineLevel="0" collapsed="false">
      <c r="A9" s="1"/>
      <c r="B9" s="9" t="n">
        <v>5</v>
      </c>
      <c r="C9" s="9" t="n">
        <v>95231</v>
      </c>
      <c r="D9" s="9" t="n">
        <v>76681</v>
      </c>
      <c r="E9" s="9" t="n">
        <v>151251</v>
      </c>
      <c r="F9" s="9" t="n">
        <v>2833782</v>
      </c>
      <c r="G9" s="9" t="n">
        <v>103853</v>
      </c>
      <c r="H9" s="9" t="n">
        <v>48300</v>
      </c>
      <c r="I9" s="9" t="n">
        <v>164225</v>
      </c>
      <c r="J9" s="9" t="n">
        <v>2840567</v>
      </c>
      <c r="K9" s="9" t="n">
        <v>84884</v>
      </c>
      <c r="L9" s="9" t="n">
        <v>94718</v>
      </c>
      <c r="M9" s="9" t="n">
        <v>144790</v>
      </c>
      <c r="N9" s="9" t="n">
        <v>2832553</v>
      </c>
    </row>
    <row r="10" customFormat="false" ht="15" hidden="false" customHeight="false" outlineLevel="0" collapsed="false">
      <c r="A10" s="1"/>
      <c r="B10" s="9" t="n">
        <v>6</v>
      </c>
      <c r="C10" s="9" t="n">
        <v>118699</v>
      </c>
      <c r="D10" s="9" t="n">
        <v>117054</v>
      </c>
      <c r="E10" s="9" t="n">
        <v>206188</v>
      </c>
      <c r="F10" s="9" t="n">
        <v>2715004</v>
      </c>
      <c r="G10" s="9" t="n">
        <v>125395</v>
      </c>
      <c r="H10" s="9" t="n">
        <v>76838</v>
      </c>
      <c r="I10" s="9" t="n">
        <v>234992</v>
      </c>
      <c r="J10" s="9" t="n">
        <v>2719720</v>
      </c>
      <c r="K10" s="9" t="n">
        <v>102637</v>
      </c>
      <c r="L10" s="9" t="n">
        <v>145752</v>
      </c>
      <c r="M10" s="9" t="n">
        <v>195144</v>
      </c>
      <c r="N10" s="9" t="n">
        <v>2713412</v>
      </c>
    </row>
    <row r="11" customFormat="false" ht="15" hidden="false" customHeight="false" outlineLevel="0" collapsed="false">
      <c r="A11" s="1"/>
      <c r="B11" s="9" t="n">
        <v>7</v>
      </c>
      <c r="C11" s="9" t="n">
        <v>82631</v>
      </c>
      <c r="D11" s="9" t="n">
        <v>132833</v>
      </c>
      <c r="E11" s="9" t="n">
        <v>229853</v>
      </c>
      <c r="F11" s="9" t="n">
        <v>2711628</v>
      </c>
      <c r="G11" s="9" t="n">
        <v>75457</v>
      </c>
      <c r="H11" s="9" t="n">
        <v>117657</v>
      </c>
      <c r="I11" s="9" t="n">
        <v>250735</v>
      </c>
      <c r="J11" s="9" t="n">
        <v>2713096</v>
      </c>
      <c r="K11" s="9" t="n">
        <v>66613</v>
      </c>
      <c r="L11" s="9" t="n">
        <v>159040</v>
      </c>
      <c r="M11" s="9" t="n">
        <v>222151</v>
      </c>
      <c r="N11" s="9" t="n">
        <v>2709141</v>
      </c>
    </row>
    <row r="12" customFormat="false" ht="15" hidden="false" customHeight="false" outlineLevel="0" collapsed="false">
      <c r="A12" s="1"/>
      <c r="B12" s="9" t="n">
        <v>8</v>
      </c>
      <c r="C12" s="9" t="n">
        <v>91019</v>
      </c>
      <c r="D12" s="9" t="n">
        <v>123426</v>
      </c>
      <c r="E12" s="9" t="n">
        <v>224535</v>
      </c>
      <c r="F12" s="9" t="n">
        <v>2717965</v>
      </c>
      <c r="G12" s="9" t="n">
        <v>97112</v>
      </c>
      <c r="H12" s="9" t="n">
        <v>93474</v>
      </c>
      <c r="I12" s="9" t="n">
        <v>244213</v>
      </c>
      <c r="J12" s="9" t="n">
        <v>2722146</v>
      </c>
      <c r="K12" s="9" t="n">
        <v>78082</v>
      </c>
      <c r="L12" s="9" t="n">
        <v>146351</v>
      </c>
      <c r="M12" s="9" t="n">
        <v>215984</v>
      </c>
      <c r="N12" s="9" t="n">
        <v>2716528</v>
      </c>
    </row>
    <row r="13" customFormat="false" ht="15" hidden="false" customHeight="false" outlineLevel="0" collapsed="false">
      <c r="A13" s="1"/>
      <c r="B13" s="9" t="n">
        <v>9</v>
      </c>
      <c r="C13" s="9" t="n">
        <v>252290</v>
      </c>
      <c r="D13" s="9" t="n">
        <v>78599</v>
      </c>
      <c r="E13" s="9" t="n">
        <v>171268</v>
      </c>
      <c r="F13" s="9" t="n">
        <v>2654788</v>
      </c>
      <c r="G13" s="9" t="n">
        <v>300185</v>
      </c>
      <c r="H13" s="9" t="n">
        <v>21686</v>
      </c>
      <c r="I13" s="9" t="n">
        <v>174543</v>
      </c>
      <c r="J13" s="9" t="n">
        <v>2660531</v>
      </c>
      <c r="K13" s="9" t="n">
        <v>239132</v>
      </c>
      <c r="L13" s="9" t="n">
        <v>108608</v>
      </c>
      <c r="M13" s="9" t="n">
        <v>155561</v>
      </c>
      <c r="N13" s="9" t="n">
        <v>2653644</v>
      </c>
    </row>
    <row r="14" customFormat="false" ht="15" hidden="false" customHeight="false" outlineLevel="0" collapsed="false">
      <c r="A14" s="1"/>
      <c r="B14" s="9" t="n">
        <v>10</v>
      </c>
      <c r="C14" s="9" t="n">
        <v>226187</v>
      </c>
      <c r="D14" s="9" t="n">
        <v>87777</v>
      </c>
      <c r="E14" s="9" t="n">
        <v>198535</v>
      </c>
      <c r="F14" s="9" t="n">
        <v>2644446</v>
      </c>
      <c r="G14" s="9" t="n">
        <v>273504</v>
      </c>
      <c r="H14" s="9" t="n">
        <v>25983</v>
      </c>
      <c r="I14" s="9" t="n">
        <v>209246</v>
      </c>
      <c r="J14" s="9" t="n">
        <v>2648212</v>
      </c>
      <c r="K14" s="9" t="n">
        <v>212726</v>
      </c>
      <c r="L14" s="9" t="n">
        <v>117452</v>
      </c>
      <c r="M14" s="9" t="n">
        <v>183333</v>
      </c>
      <c r="N14" s="9" t="n">
        <v>2643434</v>
      </c>
    </row>
    <row r="15" customFormat="false" ht="15" hidden="false" customHeight="false" outlineLevel="0" collapsed="false">
      <c r="A15" s="1"/>
      <c r="B15" s="9" t="n">
        <v>11</v>
      </c>
      <c r="C15" s="9" t="n">
        <v>289307</v>
      </c>
      <c r="D15" s="9" t="n">
        <v>66797</v>
      </c>
      <c r="E15" s="9" t="n">
        <v>155975</v>
      </c>
      <c r="F15" s="9" t="n">
        <v>2644866</v>
      </c>
      <c r="G15" s="9" t="n">
        <v>336920</v>
      </c>
      <c r="H15" s="9" t="n">
        <v>13832</v>
      </c>
      <c r="I15" s="9" t="n">
        <v>155591</v>
      </c>
      <c r="J15" s="9" t="n">
        <v>2650602</v>
      </c>
      <c r="K15" s="9" t="n">
        <v>276699</v>
      </c>
      <c r="L15" s="9" t="n">
        <v>96986</v>
      </c>
      <c r="M15" s="9" t="n">
        <v>139227</v>
      </c>
      <c r="N15" s="9" t="n">
        <v>2644033</v>
      </c>
    </row>
    <row r="16" customFormat="false" ht="15" hidden="false" customHeight="false" outlineLevel="0" collapsed="false">
      <c r="A16" s="1"/>
      <c r="B16" s="9" t="n">
        <v>12</v>
      </c>
      <c r="C16" s="9" t="n">
        <v>160274</v>
      </c>
      <c r="D16" s="9" t="n">
        <v>121203</v>
      </c>
      <c r="E16" s="9" t="n">
        <v>210763</v>
      </c>
      <c r="F16" s="9" t="n">
        <v>2664705</v>
      </c>
      <c r="G16" s="9" t="n">
        <v>183643</v>
      </c>
      <c r="H16" s="9" t="n">
        <v>66933</v>
      </c>
      <c r="I16" s="9" t="n">
        <v>238200</v>
      </c>
      <c r="J16" s="9" t="n">
        <v>2668169</v>
      </c>
      <c r="K16" s="9" t="n">
        <v>146243</v>
      </c>
      <c r="L16" s="9" t="n">
        <v>147975</v>
      </c>
      <c r="M16" s="9" t="n">
        <v>199307</v>
      </c>
      <c r="N16" s="9" t="n">
        <v>2663420</v>
      </c>
    </row>
    <row r="17" customFormat="false" ht="15" hidden="false" customHeight="false" outlineLevel="0" collapsed="false">
      <c r="A17" s="1"/>
      <c r="B17" s="9" t="n">
        <v>13</v>
      </c>
      <c r="C17" s="9" t="n">
        <v>323070</v>
      </c>
      <c r="D17" s="9" t="n">
        <v>58482</v>
      </c>
      <c r="E17" s="9" t="n">
        <v>134640</v>
      </c>
      <c r="F17" s="9" t="n">
        <v>2640753</v>
      </c>
      <c r="G17" s="9" t="n">
        <v>382473</v>
      </c>
      <c r="H17" s="9" t="n">
        <v>9579</v>
      </c>
      <c r="I17" s="9" t="n">
        <v>118695</v>
      </c>
      <c r="J17" s="9" t="n">
        <v>2646198</v>
      </c>
      <c r="K17" s="9" t="n">
        <v>309475</v>
      </c>
      <c r="L17" s="9" t="n">
        <v>91961</v>
      </c>
      <c r="M17" s="9" t="n">
        <v>116034</v>
      </c>
      <c r="N17" s="9" t="n">
        <v>2639475</v>
      </c>
    </row>
    <row r="18" customFormat="false" ht="15" hidden="false" customHeight="false" outlineLevel="0" collapsed="false">
      <c r="A18" s="1"/>
      <c r="B18" s="9" t="n">
        <v>14</v>
      </c>
      <c r="C18" s="9" t="n">
        <v>279546</v>
      </c>
      <c r="D18" s="9" t="n">
        <v>68515</v>
      </c>
      <c r="E18" s="9" t="n">
        <v>163223</v>
      </c>
      <c r="F18" s="9" t="n">
        <v>2645661</v>
      </c>
      <c r="G18" s="9" t="n">
        <v>333084</v>
      </c>
      <c r="H18" s="9" t="n">
        <v>14689</v>
      </c>
      <c r="I18" s="9" t="n">
        <v>158576</v>
      </c>
      <c r="J18" s="9" t="n">
        <v>2650596</v>
      </c>
      <c r="K18" s="9" t="n">
        <v>265581</v>
      </c>
      <c r="L18" s="9" t="n">
        <v>101598</v>
      </c>
      <c r="M18" s="9" t="n">
        <v>145008</v>
      </c>
      <c r="N18" s="9" t="n">
        <v>2644758</v>
      </c>
    </row>
    <row r="19" customFormat="false" ht="15" hidden="false" customHeight="false" outlineLevel="0" collapsed="false">
      <c r="A19" s="1"/>
      <c r="B19" s="9" t="n">
        <v>15</v>
      </c>
      <c r="C19" s="9" t="n">
        <v>88336</v>
      </c>
      <c r="D19" s="9" t="n">
        <v>117219</v>
      </c>
      <c r="E19" s="9" t="n">
        <v>210561</v>
      </c>
      <c r="F19" s="9" t="n">
        <v>2740829</v>
      </c>
      <c r="G19" s="9" t="n">
        <v>66872</v>
      </c>
      <c r="H19" s="9" t="n">
        <v>111055</v>
      </c>
      <c r="I19" s="9" t="n">
        <v>235042</v>
      </c>
      <c r="J19" s="9" t="n">
        <v>2743976</v>
      </c>
      <c r="K19" s="9" t="n">
        <v>73495</v>
      </c>
      <c r="L19" s="9" t="n">
        <v>139848</v>
      </c>
      <c r="M19" s="9" t="n">
        <v>205507</v>
      </c>
      <c r="N19" s="9" t="n">
        <v>2738095</v>
      </c>
    </row>
    <row r="20" customFormat="false" ht="15" hidden="false" customHeight="false" outlineLevel="0" collapsed="false">
      <c r="A20" s="1"/>
      <c r="B20" s="9" t="n">
        <v>16</v>
      </c>
      <c r="C20" s="9" t="n">
        <v>271410</v>
      </c>
      <c r="D20" s="9" t="n">
        <v>68643</v>
      </c>
      <c r="E20" s="9" t="n">
        <v>169104</v>
      </c>
      <c r="F20" s="9" t="n">
        <v>2647788</v>
      </c>
      <c r="G20" s="9" t="n">
        <v>324086</v>
      </c>
      <c r="H20" s="9" t="n">
        <v>14196</v>
      </c>
      <c r="I20" s="9" t="n">
        <v>165766</v>
      </c>
      <c r="J20" s="9" t="n">
        <v>2652897</v>
      </c>
      <c r="K20" s="9" t="n">
        <v>255428</v>
      </c>
      <c r="L20" s="9" t="n">
        <v>104367</v>
      </c>
      <c r="M20" s="9" t="n">
        <v>150562</v>
      </c>
      <c r="N20" s="9" t="n">
        <v>2646588</v>
      </c>
    </row>
    <row r="21" customFormat="false" ht="15" hidden="false" customHeight="false" outlineLevel="0" collapsed="false">
      <c r="A21" s="1"/>
      <c r="B21" s="9" t="n">
        <v>17</v>
      </c>
      <c r="C21" s="9" t="n">
        <v>150678</v>
      </c>
      <c r="D21" s="9" t="n">
        <v>101260</v>
      </c>
      <c r="E21" s="9" t="n">
        <v>193584</v>
      </c>
      <c r="F21" s="9" t="n">
        <v>2711423</v>
      </c>
      <c r="G21" s="9" t="n">
        <v>165648</v>
      </c>
      <c r="H21" s="9" t="n">
        <v>58754</v>
      </c>
      <c r="I21" s="9" t="n">
        <v>216517</v>
      </c>
      <c r="J21" s="9" t="n">
        <v>2716026</v>
      </c>
      <c r="K21" s="9" t="n">
        <v>134780</v>
      </c>
      <c r="L21" s="9" t="n">
        <v>129689</v>
      </c>
      <c r="M21" s="9" t="n">
        <v>183017</v>
      </c>
      <c r="N21" s="9" t="n">
        <v>2709459</v>
      </c>
    </row>
    <row r="22" customFormat="false" ht="15" hidden="false" customHeight="false" outlineLevel="0" collapsed="false">
      <c r="A22" s="1"/>
      <c r="B22" s="9" t="n">
        <v>18</v>
      </c>
      <c r="C22" s="9" t="n">
        <v>81537</v>
      </c>
      <c r="D22" s="9" t="n">
        <v>126093</v>
      </c>
      <c r="E22" s="9" t="n">
        <v>234061</v>
      </c>
      <c r="F22" s="9" t="n">
        <v>2715254</v>
      </c>
      <c r="G22" s="9" t="n">
        <v>57647</v>
      </c>
      <c r="H22" s="9" t="n">
        <v>121542</v>
      </c>
      <c r="I22" s="9" t="n">
        <v>261166</v>
      </c>
      <c r="J22" s="9" t="n">
        <v>2716590</v>
      </c>
      <c r="K22" s="9" t="n">
        <v>64561</v>
      </c>
      <c r="L22" s="9" t="n">
        <v>152244</v>
      </c>
      <c r="M22" s="9" t="n">
        <v>227966</v>
      </c>
      <c r="N22" s="9" t="n">
        <v>2712174</v>
      </c>
    </row>
    <row r="23" customFormat="false" ht="15" hidden="false" customHeight="false" outlineLevel="0" collapsed="false">
      <c r="A23" s="1"/>
      <c r="B23" s="9" t="n">
        <v>19</v>
      </c>
      <c r="C23" s="9" t="n">
        <v>86577</v>
      </c>
      <c r="D23" s="9" t="n">
        <v>107438</v>
      </c>
      <c r="E23" s="9" t="n">
        <v>225986</v>
      </c>
      <c r="F23" s="9" t="n">
        <v>2736944</v>
      </c>
      <c r="G23" s="9" t="n">
        <v>73553</v>
      </c>
      <c r="H23" s="9" t="n">
        <v>87372</v>
      </c>
      <c r="I23" s="9" t="n">
        <v>252448</v>
      </c>
      <c r="J23" s="9" t="n">
        <v>2743572</v>
      </c>
      <c r="K23" s="9" t="n">
        <v>71094</v>
      </c>
      <c r="L23" s="9" t="n">
        <v>132072</v>
      </c>
      <c r="M23" s="9" t="n">
        <v>219164</v>
      </c>
      <c r="N23" s="9" t="n">
        <v>2734615</v>
      </c>
    </row>
    <row r="24" customFormat="false" ht="15" hidden="false" customHeight="false" outlineLevel="0" collapsed="false">
      <c r="A24" s="1"/>
      <c r="B24" s="9" t="n">
        <v>20</v>
      </c>
      <c r="C24" s="9" t="n">
        <v>106731</v>
      </c>
      <c r="D24" s="9" t="n">
        <v>113608</v>
      </c>
      <c r="E24" s="9" t="n">
        <v>221761</v>
      </c>
      <c r="F24" s="9" t="n">
        <v>2714845</v>
      </c>
      <c r="G24" s="9" t="n">
        <v>100648</v>
      </c>
      <c r="H24" s="9" t="n">
        <v>93834</v>
      </c>
      <c r="I24" s="9" t="n">
        <v>243443</v>
      </c>
      <c r="J24" s="9" t="n">
        <v>2719020</v>
      </c>
      <c r="K24" s="9" t="n">
        <v>91373</v>
      </c>
      <c r="L24" s="9" t="n">
        <v>138985</v>
      </c>
      <c r="M24" s="9" t="n">
        <v>213654</v>
      </c>
      <c r="N24" s="9" t="n">
        <v>2712933</v>
      </c>
    </row>
    <row r="25" customFormat="false" ht="15" hidden="false" customHeight="false" outlineLevel="0" collapsed="false">
      <c r="A25" s="1"/>
      <c r="B25" s="9" t="n">
        <v>21</v>
      </c>
      <c r="C25" s="9" t="n">
        <v>242481</v>
      </c>
      <c r="D25" s="9" t="n">
        <v>70970</v>
      </c>
      <c r="E25" s="9" t="n">
        <v>172655</v>
      </c>
      <c r="F25" s="9" t="n">
        <v>2670839</v>
      </c>
      <c r="G25" s="9" t="n">
        <v>287000</v>
      </c>
      <c r="H25" s="9" t="n">
        <v>20081</v>
      </c>
      <c r="I25" s="9" t="n">
        <v>172322</v>
      </c>
      <c r="J25" s="9" t="n">
        <v>2677542</v>
      </c>
      <c r="K25" s="9" t="n">
        <v>225530</v>
      </c>
      <c r="L25" s="9" t="n">
        <v>106352</v>
      </c>
      <c r="M25" s="9" t="n">
        <v>155922</v>
      </c>
      <c r="N25" s="9" t="n">
        <v>2669141</v>
      </c>
    </row>
    <row r="26" customFormat="false" ht="15" hidden="false" customHeight="false" outlineLevel="0" collapsed="false">
      <c r="A26" s="1"/>
      <c r="B26" s="9" t="n">
        <v>22</v>
      </c>
      <c r="C26" s="9" t="n">
        <v>103072</v>
      </c>
      <c r="D26" s="9" t="n">
        <v>114050</v>
      </c>
      <c r="E26" s="9" t="n">
        <v>228929</v>
      </c>
      <c r="F26" s="9" t="n">
        <v>2710894</v>
      </c>
      <c r="G26" s="9" t="n">
        <v>96566</v>
      </c>
      <c r="H26" s="9" t="n">
        <v>85835</v>
      </c>
      <c r="I26" s="9" t="n">
        <v>258474</v>
      </c>
      <c r="J26" s="9" t="n">
        <v>2716070</v>
      </c>
      <c r="K26" s="9" t="n">
        <v>87712</v>
      </c>
      <c r="L26" s="9" t="n">
        <v>139231</v>
      </c>
      <c r="M26" s="9" t="n">
        <v>221176</v>
      </c>
      <c r="N26" s="9" t="n">
        <v>2708826</v>
      </c>
    </row>
    <row r="27" customFormat="false" ht="15" hidden="false" customHeight="false" outlineLevel="0" collapsed="false">
      <c r="A27" s="1"/>
      <c r="B27" s="9" t="n">
        <v>23</v>
      </c>
      <c r="C27" s="9" t="n">
        <v>101522</v>
      </c>
      <c r="D27" s="9" t="n">
        <v>119960</v>
      </c>
      <c r="E27" s="9" t="n">
        <v>220389</v>
      </c>
      <c r="F27" s="9" t="n">
        <v>2715074</v>
      </c>
      <c r="G27" s="9" t="n">
        <v>106664</v>
      </c>
      <c r="H27" s="9" t="n">
        <v>88533</v>
      </c>
      <c r="I27" s="9" t="n">
        <v>242749</v>
      </c>
      <c r="J27" s="9" t="n">
        <v>2718999</v>
      </c>
      <c r="K27" s="9" t="n">
        <v>89869</v>
      </c>
      <c r="L27" s="9" t="n">
        <v>140251</v>
      </c>
      <c r="M27" s="9" t="n">
        <v>213104</v>
      </c>
      <c r="N27" s="9" t="n">
        <v>2713721</v>
      </c>
    </row>
    <row r="28" customFormat="false" ht="15" hidden="false" customHeight="false" outlineLevel="0" collapsed="false">
      <c r="A28" s="1"/>
      <c r="B28" s="9" t="n">
        <v>24</v>
      </c>
      <c r="C28" s="9" t="n">
        <v>193061</v>
      </c>
      <c r="D28" s="9" t="n">
        <v>83904</v>
      </c>
      <c r="E28" s="9" t="n">
        <v>203011</v>
      </c>
      <c r="F28" s="9" t="n">
        <v>2676969</v>
      </c>
      <c r="G28" s="9" t="n">
        <v>218223</v>
      </c>
      <c r="H28" s="9" t="n">
        <v>34174</v>
      </c>
      <c r="I28" s="9" t="n">
        <v>220883</v>
      </c>
      <c r="J28" s="9" t="n">
        <v>2683665</v>
      </c>
      <c r="K28" s="9" t="n">
        <v>174200</v>
      </c>
      <c r="L28" s="9" t="n">
        <v>120212</v>
      </c>
      <c r="M28" s="9" t="n">
        <v>187084</v>
      </c>
      <c r="N28" s="9" t="n">
        <v>2675449</v>
      </c>
    </row>
    <row r="29" customFormat="false" ht="15" hidden="false" customHeight="false" outlineLevel="0" collapsed="false">
      <c r="A29" s="1"/>
      <c r="B29" s="9" t="n">
        <v>25</v>
      </c>
      <c r="C29" s="9" t="n">
        <v>88256</v>
      </c>
      <c r="D29" s="9" t="n">
        <v>122349</v>
      </c>
      <c r="E29" s="9" t="n">
        <v>249459</v>
      </c>
      <c r="F29" s="9" t="n">
        <v>2696881</v>
      </c>
      <c r="G29" s="9" t="n">
        <v>77131</v>
      </c>
      <c r="H29" s="9" t="n">
        <v>104430</v>
      </c>
      <c r="I29" s="9" t="n">
        <v>277240</v>
      </c>
      <c r="J29" s="9" t="n">
        <v>2698144</v>
      </c>
      <c r="K29" s="9" t="n">
        <v>70293</v>
      </c>
      <c r="L29" s="9" t="n">
        <v>150406</v>
      </c>
      <c r="M29" s="9" t="n">
        <v>243031</v>
      </c>
      <c r="N29" s="9" t="n">
        <v>2693215</v>
      </c>
    </row>
    <row r="30" customFormat="false" ht="15" hidden="false" customHeight="false" outlineLevel="0" collapsed="false">
      <c r="A30" s="1"/>
      <c r="B30" s="9" t="n">
        <v>26</v>
      </c>
      <c r="C30" s="9" t="n">
        <v>75335</v>
      </c>
      <c r="D30" s="9" t="n">
        <v>128795</v>
      </c>
      <c r="E30" s="9" t="n">
        <v>230677</v>
      </c>
      <c r="F30" s="9" t="n">
        <v>2722138</v>
      </c>
      <c r="G30" s="9" t="n">
        <v>56560</v>
      </c>
      <c r="H30" s="9" t="n">
        <v>125471</v>
      </c>
      <c r="I30" s="9" t="n">
        <v>249704</v>
      </c>
      <c r="J30" s="9" t="n">
        <v>2725210</v>
      </c>
      <c r="K30" s="9" t="n">
        <v>62226</v>
      </c>
      <c r="L30" s="9" t="n">
        <v>148545</v>
      </c>
      <c r="M30" s="9" t="n">
        <v>226566</v>
      </c>
      <c r="N30" s="9" t="n">
        <v>2719608</v>
      </c>
    </row>
    <row r="31" customFormat="false" ht="15" hidden="false" customHeight="false" outlineLevel="0" collapsed="false">
      <c r="A31" s="1"/>
      <c r="B31" s="9" t="n">
        <v>27</v>
      </c>
      <c r="C31" s="9" t="n">
        <v>116759</v>
      </c>
      <c r="D31" s="9" t="n">
        <v>105558</v>
      </c>
      <c r="E31" s="9" t="n">
        <v>254513</v>
      </c>
      <c r="F31" s="9" t="n">
        <v>2680115</v>
      </c>
      <c r="G31" s="9" t="n">
        <v>112191</v>
      </c>
      <c r="H31" s="9" t="n">
        <v>68675</v>
      </c>
      <c r="I31" s="9" t="n">
        <v>293305</v>
      </c>
      <c r="J31" s="9" t="n">
        <v>2682774</v>
      </c>
      <c r="K31" s="9" t="n">
        <v>93545</v>
      </c>
      <c r="L31" s="9" t="n">
        <v>142640</v>
      </c>
      <c r="M31" s="9" t="n">
        <v>244567</v>
      </c>
      <c r="N31" s="9" t="n">
        <v>2676193</v>
      </c>
    </row>
    <row r="32" customFormat="false" ht="15" hidden="false" customHeight="false" outlineLevel="0" collapsed="false">
      <c r="A32" s="1"/>
      <c r="B32" s="9" t="n">
        <v>28</v>
      </c>
      <c r="C32" s="9" t="n">
        <v>69934</v>
      </c>
      <c r="D32" s="9" t="n">
        <v>106612</v>
      </c>
      <c r="E32" s="9" t="n">
        <v>275211</v>
      </c>
      <c r="F32" s="9" t="n">
        <v>2705188</v>
      </c>
      <c r="G32" s="9" t="n">
        <v>48001</v>
      </c>
      <c r="H32" s="9" t="n">
        <v>92304</v>
      </c>
      <c r="I32" s="9" t="n">
        <v>316306</v>
      </c>
      <c r="J32" s="9" t="n">
        <v>2700334</v>
      </c>
      <c r="K32" s="9" t="n">
        <v>49699</v>
      </c>
      <c r="L32" s="9" t="n">
        <v>136012</v>
      </c>
      <c r="M32" s="9" t="n">
        <v>272220</v>
      </c>
      <c r="N32" s="9" t="n">
        <v>2699014</v>
      </c>
    </row>
    <row r="33" customFormat="false" ht="15" hidden="false" customHeight="false" outlineLevel="0" collapsed="false">
      <c r="A33" s="1"/>
      <c r="B33" s="9" t="n">
        <v>29</v>
      </c>
      <c r="C33" s="9" t="n">
        <v>71916</v>
      </c>
      <c r="D33" s="9" t="n">
        <v>118210</v>
      </c>
      <c r="E33" s="9" t="n">
        <v>253621</v>
      </c>
      <c r="F33" s="9" t="n">
        <v>2713198</v>
      </c>
      <c r="G33" s="9" t="n">
        <v>49790</v>
      </c>
      <c r="H33" s="9" t="n">
        <v>106978</v>
      </c>
      <c r="I33" s="9" t="n">
        <v>287877</v>
      </c>
      <c r="J33" s="9" t="n">
        <v>2712300</v>
      </c>
      <c r="K33" s="9" t="n">
        <v>54340</v>
      </c>
      <c r="L33" s="9" t="n">
        <v>143937</v>
      </c>
      <c r="M33" s="9" t="n">
        <v>249334</v>
      </c>
      <c r="N33" s="9" t="n">
        <v>2709334</v>
      </c>
    </row>
    <row r="34" customFormat="false" ht="15" hidden="false" customHeight="false" outlineLevel="0" collapsed="false">
      <c r="A34" s="1"/>
      <c r="B34" s="9" t="n">
        <v>30</v>
      </c>
      <c r="C34" s="9" t="n">
        <v>232571</v>
      </c>
      <c r="D34" s="9" t="n">
        <v>62702</v>
      </c>
      <c r="E34" s="9" t="n">
        <v>182299</v>
      </c>
      <c r="F34" s="9" t="n">
        <v>2679373</v>
      </c>
      <c r="G34" s="9" t="n">
        <v>269638</v>
      </c>
      <c r="H34" s="9" t="n">
        <v>16326</v>
      </c>
      <c r="I34" s="9" t="n">
        <v>186069</v>
      </c>
      <c r="J34" s="9" t="n">
        <v>2684912</v>
      </c>
      <c r="K34" s="9" t="n">
        <v>213801</v>
      </c>
      <c r="L34" s="9" t="n">
        <v>100055</v>
      </c>
      <c r="M34" s="9" t="n">
        <v>165383</v>
      </c>
      <c r="N34" s="9" t="n">
        <v>2677706</v>
      </c>
    </row>
    <row r="35" customFormat="false" ht="15" hidden="false" customHeight="false" outlineLevel="0" collapsed="false">
      <c r="A35" s="1"/>
      <c r="B35" s="9" t="n">
        <v>31</v>
      </c>
      <c r="C35" s="9" t="n">
        <v>36908</v>
      </c>
      <c r="D35" s="9" t="n">
        <v>93167</v>
      </c>
      <c r="E35" s="9" t="n">
        <v>239645</v>
      </c>
      <c r="F35" s="9" t="n">
        <v>2787225</v>
      </c>
      <c r="G35" s="9" t="n">
        <v>15729</v>
      </c>
      <c r="H35" s="9" t="n">
        <v>96312</v>
      </c>
      <c r="I35" s="9" t="n">
        <v>264002</v>
      </c>
      <c r="J35" s="9" t="n">
        <v>2780902</v>
      </c>
      <c r="K35" s="9" t="n">
        <v>26014</v>
      </c>
      <c r="L35" s="9" t="n">
        <v>107173</v>
      </c>
      <c r="M35" s="9" t="n">
        <v>241884</v>
      </c>
      <c r="N35" s="9" t="n">
        <v>2781874</v>
      </c>
    </row>
    <row r="36" customFormat="false" ht="15" hidden="false" customHeight="false" outlineLevel="0" collapsed="false">
      <c r="A36" s="1"/>
      <c r="B36" s="9" t="n">
        <v>32</v>
      </c>
      <c r="C36" s="9" t="n">
        <v>61740</v>
      </c>
      <c r="D36" s="9" t="n">
        <v>109071</v>
      </c>
      <c r="E36" s="9" t="n">
        <v>271136</v>
      </c>
      <c r="F36" s="9" t="n">
        <v>2714998</v>
      </c>
      <c r="G36" s="9" t="n">
        <v>33247</v>
      </c>
      <c r="H36" s="9" t="n">
        <v>104610</v>
      </c>
      <c r="I36" s="9" t="n">
        <v>307606</v>
      </c>
      <c r="J36" s="9" t="n">
        <v>2711482</v>
      </c>
      <c r="K36" s="9" t="n">
        <v>44142</v>
      </c>
      <c r="L36" s="9" t="n">
        <v>134219</v>
      </c>
      <c r="M36" s="9" t="n">
        <v>268546</v>
      </c>
      <c r="N36" s="9" t="n">
        <v>2710038</v>
      </c>
    </row>
    <row r="37" customFormat="false" ht="15" hidden="false" customHeight="false" outlineLevel="0" collapsed="false">
      <c r="A37" s="1"/>
      <c r="B37" s="9" t="s">
        <v>12</v>
      </c>
      <c r="C37" s="9" t="n">
        <f aca="false">SUM(C4:C36)</f>
        <v>4793528</v>
      </c>
      <c r="D37" s="9" t="n">
        <f aca="false">SUM(D4:D36)</f>
        <v>3369760</v>
      </c>
      <c r="E37" s="9" t="n">
        <f aca="false">SUM(E4:E36)</f>
        <v>6897694</v>
      </c>
      <c r="F37" s="9" t="n">
        <f aca="false">SUM(F4:F36)</f>
        <v>89118203</v>
      </c>
      <c r="G37" s="9" t="n">
        <f aca="false">SUM(G4:G36)</f>
        <v>5075810</v>
      </c>
      <c r="H37" s="9" t="n">
        <f aca="false">SUM(H4:H36)</f>
        <v>2382778</v>
      </c>
      <c r="I37" s="9" t="n">
        <f aca="false">SUM(I4:I36)</f>
        <v>7496448</v>
      </c>
      <c r="J37" s="9" t="n">
        <f aca="false">SUM(J4:J36)</f>
        <v>89224149</v>
      </c>
      <c r="K37" s="9" t="n">
        <f aca="false">SUM(K4:K36)</f>
        <v>4300027</v>
      </c>
      <c r="L37" s="9" t="n">
        <f aca="false">SUM(L4:L36)</f>
        <v>4248657</v>
      </c>
      <c r="M37" s="9" t="n">
        <f aca="false">SUM(M4:M36)</f>
        <v>6586986</v>
      </c>
      <c r="N37" s="9" t="n">
        <f aca="false">SUM(N4:N36)</f>
        <v>89043515</v>
      </c>
    </row>
    <row r="38" customFormat="false" ht="15" hidden="false" customHeight="false" outlineLevel="0" collapsed="false">
      <c r="C38" s="9"/>
      <c r="D38" s="9"/>
      <c r="F38" s="9"/>
      <c r="H38" s="9"/>
      <c r="I38" s="9"/>
      <c r="J38" s="9"/>
      <c r="K38" s="9"/>
      <c r="L38" s="9"/>
    </row>
    <row r="39" customFormat="false" ht="15" hidden="false" customHeight="false" outlineLevel="0" collapsed="false">
      <c r="C39" s="9"/>
      <c r="D39" s="9"/>
      <c r="F39" s="9"/>
      <c r="H39" s="9"/>
      <c r="I39" s="9"/>
      <c r="J39" s="9"/>
      <c r="K39" s="9"/>
      <c r="L39" s="9"/>
    </row>
    <row r="40" customFormat="false" ht="15" hidden="false" customHeight="false" outlineLevel="0" collapsed="false">
      <c r="C40" s="9"/>
      <c r="D40" s="9"/>
      <c r="F40" s="9"/>
      <c r="H40" s="9"/>
      <c r="I40" s="9"/>
      <c r="J40" s="9"/>
      <c r="K40" s="9"/>
      <c r="L40" s="9"/>
    </row>
    <row r="41" customFormat="false" ht="15" hidden="false" customHeight="false" outlineLevel="0" collapsed="false">
      <c r="C41" s="9"/>
      <c r="D41" s="9"/>
      <c r="F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9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9"/>
      <c r="B43" s="10"/>
      <c r="C43" s="12" t="s">
        <v>3</v>
      </c>
      <c r="D43" s="12"/>
      <c r="E43" s="12"/>
      <c r="F43" s="12"/>
      <c r="G43" s="12"/>
      <c r="H43" s="13" t="s">
        <v>4</v>
      </c>
      <c r="I43" s="13"/>
      <c r="J43" s="13"/>
      <c r="K43" s="13"/>
      <c r="L43" s="13"/>
    </row>
    <row r="44" customFormat="false" ht="15" hidden="false" customHeight="false" outlineLevel="0" collapsed="false">
      <c r="A44" s="10" t="s">
        <v>14</v>
      </c>
      <c r="B44" s="10"/>
      <c r="C44" s="32" t="s">
        <v>17</v>
      </c>
      <c r="D44" s="33" t="s">
        <v>18</v>
      </c>
      <c r="E44" s="34" t="s">
        <v>19</v>
      </c>
      <c r="F44" s="35" t="s">
        <v>11</v>
      </c>
      <c r="G44" s="19"/>
      <c r="H44" s="32" t="s">
        <v>17</v>
      </c>
      <c r="I44" s="33" t="s">
        <v>18</v>
      </c>
      <c r="J44" s="34" t="s">
        <v>19</v>
      </c>
      <c r="K44" s="35" t="s">
        <v>11</v>
      </c>
      <c r="L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(ABS(C4-G4)/C4)*100</f>
        <v>0</v>
      </c>
      <c r="D45" s="21" t="n">
        <f aca="false">(ABS(D4-H4)/D4)*100</f>
        <v>0</v>
      </c>
      <c r="E45" s="21" t="n">
        <f aca="false">(ABS(E4-I4)/E4)*100</f>
        <v>0</v>
      </c>
      <c r="F45" s="21" t="n">
        <f aca="false">(ABS(F4-J4)/F4)*100</f>
        <v>0</v>
      </c>
      <c r="G45" s="36"/>
      <c r="H45" s="20" t="n">
        <f aca="false">(ABS(C4-K4)/C4)*100</f>
        <v>0</v>
      </c>
      <c r="I45" s="21" t="n">
        <f aca="false">(ABS(D4-L4)/D4)*100</f>
        <v>0</v>
      </c>
      <c r="J45" s="21" t="n">
        <f aca="false">(ABS(E4-M4)/E4)*100</f>
        <v>0</v>
      </c>
      <c r="K45" s="21" t="n">
        <f aca="false">(ABS(F4-N4)/F4)*100</f>
        <v>0</v>
      </c>
      <c r="L45" s="36"/>
    </row>
    <row r="46" customFormat="false" ht="15" hidden="false" customHeight="false" outlineLevel="0" collapsed="false">
      <c r="A46" s="10"/>
      <c r="B46" s="10" t="n">
        <v>1</v>
      </c>
      <c r="C46" s="20" t="n">
        <f aca="false">(ABS(C5-G5)/C5)*100</f>
        <v>7.06547376332222</v>
      </c>
      <c r="D46" s="21" t="n">
        <f aca="false">(ABS(D5-H5)/D5)*100</f>
        <v>30.1011811117943</v>
      </c>
      <c r="E46" s="21" t="n">
        <f aca="false">(ABS(E5-I5)/E5)*100</f>
        <v>11.8619094690117</v>
      </c>
      <c r="F46" s="21" t="n">
        <f aca="false">(ABS(F5-J5)/F5)*100</f>
        <v>0.126885876628743</v>
      </c>
      <c r="G46" s="36"/>
      <c r="H46" s="20" t="n">
        <f aca="false">(ABS(C5-K5)/C5)*100</f>
        <v>12.842899746548</v>
      </c>
      <c r="I46" s="21" t="n">
        <f aca="false">(ABS(D5-L5)/D5)*100</f>
        <v>22.6862906381518</v>
      </c>
      <c r="J46" s="21" t="n">
        <f aca="false">(ABS(E5-M5)/E5)*100</f>
        <v>4.7209840162635</v>
      </c>
      <c r="K46" s="21" t="n">
        <f aca="false">(ABS(F5-N5)/F5)*100</f>
        <v>0.0824609619776962</v>
      </c>
      <c r="L46" s="36"/>
    </row>
    <row r="47" customFormat="false" ht="15" hidden="false" customHeight="false" outlineLevel="0" collapsed="false">
      <c r="A47" s="10"/>
      <c r="B47" s="10" t="n">
        <v>2</v>
      </c>
      <c r="C47" s="20" t="n">
        <f aca="false">(ABS(C6-G6)/C6)*100</f>
        <v>7.10378349083765</v>
      </c>
      <c r="D47" s="21" t="n">
        <f aca="false">(ABS(D6-H6)/D6)*100</f>
        <v>23.3308837325661</v>
      </c>
      <c r="E47" s="21" t="n">
        <f aca="false">(ABS(E6-I6)/E6)*100</f>
        <v>8.55963945732944</v>
      </c>
      <c r="F47" s="21" t="n">
        <f aca="false">(ABS(F6-J6)/F6)*100</f>
        <v>0.111742289336847</v>
      </c>
      <c r="G47" s="36"/>
      <c r="H47" s="20" t="n">
        <f aca="false">(ABS(C6-K6)/C6)*100</f>
        <v>11.9322223351285</v>
      </c>
      <c r="I47" s="21" t="n">
        <f aca="false">(ABS(D6-L6)/D6)*100</f>
        <v>19.6299018074927</v>
      </c>
      <c r="J47" s="21" t="n">
        <f aca="false">(ABS(E6-M6)/E6)*100</f>
        <v>4.26775213155537</v>
      </c>
      <c r="K47" s="21" t="n">
        <f aca="false">(ABS(F6-N6)/F6)*100</f>
        <v>0.0676315383336895</v>
      </c>
      <c r="L47" s="36"/>
    </row>
    <row r="48" customFormat="false" ht="15" hidden="false" customHeight="false" outlineLevel="0" collapsed="false">
      <c r="A48" s="10"/>
      <c r="B48" s="10" t="n">
        <v>3</v>
      </c>
      <c r="C48" s="20" t="n">
        <f aca="false">(ABS(C7-G7)/C7)*100</f>
        <v>22.4030855723344</v>
      </c>
      <c r="D48" s="21" t="n">
        <f aca="false">(ABS(D7-H7)/D7)*100</f>
        <v>5.44286505445819</v>
      </c>
      <c r="E48" s="21" t="n">
        <f aca="false">(ABS(E7-I7)/E7)*100</f>
        <v>9.86192324701489</v>
      </c>
      <c r="F48" s="21" t="n">
        <f aca="false">(ABS(F7-J7)/F7)*100</f>
        <v>0.0892629431267534</v>
      </c>
      <c r="G48" s="36"/>
      <c r="H48" s="20" t="n">
        <f aca="false">(ABS(C7-K7)/C7)*100</f>
        <v>19.1723867424985</v>
      </c>
      <c r="I48" s="21" t="n">
        <f aca="false">(ABS(D7-L7)/D7)*100</f>
        <v>17.3158574856932</v>
      </c>
      <c r="J48" s="21" t="n">
        <f aca="false">(ABS(E7-M7)/E7)*100</f>
        <v>2.81737328074117</v>
      </c>
      <c r="K48" s="21" t="n">
        <f aca="false">(ABS(F7-N7)/F7)*100</f>
        <v>0.0911003853483827</v>
      </c>
      <c r="L48" s="36"/>
    </row>
    <row r="49" customFormat="false" ht="15" hidden="false" customHeight="false" outlineLevel="0" collapsed="false">
      <c r="A49" s="10"/>
      <c r="B49" s="10" t="n">
        <v>4</v>
      </c>
      <c r="C49" s="20" t="n">
        <f aca="false">(ABS(C8-G8)/C8)*100</f>
        <v>8.37579554691992</v>
      </c>
      <c r="D49" s="21" t="n">
        <f aca="false">(ABS(D8-H8)/D8)*100</f>
        <v>27.4481618571891</v>
      </c>
      <c r="E49" s="21" t="n">
        <f aca="false">(ABS(E8-I8)/E8)*100</f>
        <v>7.31622034909742</v>
      </c>
      <c r="F49" s="21" t="n">
        <f aca="false">(ABS(F8-J8)/F8)*100</f>
        <v>0.234775573231483</v>
      </c>
      <c r="G49" s="36"/>
      <c r="H49" s="20" t="n">
        <f aca="false">(ABS(C8-K8)/C8)*100</f>
        <v>15.6422864167179</v>
      </c>
      <c r="I49" s="21" t="n">
        <f aca="false">(ABS(D8-L8)/D8)*100</f>
        <v>23.5625471664211</v>
      </c>
      <c r="J49" s="21" t="n">
        <f aca="false">(ABS(E8-M8)/E8)*100</f>
        <v>3.48444726241981</v>
      </c>
      <c r="K49" s="21" t="n">
        <f aca="false">(ABS(F8-N8)/F8)*100</f>
        <v>0.108927075630332</v>
      </c>
      <c r="L49" s="36"/>
    </row>
    <row r="50" customFormat="false" ht="15" hidden="false" customHeight="false" outlineLevel="0" collapsed="false">
      <c r="A50" s="10"/>
      <c r="B50" s="10" t="n">
        <v>5</v>
      </c>
      <c r="C50" s="20" t="n">
        <f aca="false">(ABS(C9-G9)/C9)*100</f>
        <v>9.05377450620071</v>
      </c>
      <c r="D50" s="21" t="n">
        <f aca="false">(ABS(D9-H9)/D9)*100</f>
        <v>37.0117760592585</v>
      </c>
      <c r="E50" s="21" t="n">
        <f aca="false">(ABS(E9-I9)/E9)*100</f>
        <v>8.57779452697833</v>
      </c>
      <c r="F50" s="21" t="n">
        <f aca="false">(ABS(F9-J9)/F9)*100</f>
        <v>0.239432673367253</v>
      </c>
      <c r="G50" s="36"/>
      <c r="H50" s="20" t="n">
        <f aca="false">(ABS(C9-K9)/C9)*100</f>
        <v>10.8651594543794</v>
      </c>
      <c r="I50" s="21" t="n">
        <f aca="false">(ABS(D9-L9)/D9)*100</f>
        <v>23.5221241246202</v>
      </c>
      <c r="J50" s="21" t="n">
        <f aca="false">(ABS(E9-M9)/E9)*100</f>
        <v>4.27170729449723</v>
      </c>
      <c r="K50" s="21" t="n">
        <f aca="false">(ABS(F9-N9)/F9)*100</f>
        <v>0.043369602884061</v>
      </c>
      <c r="L50" s="36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(ABS(C10-G10)/C10)*100</f>
        <v>5.64115957168974</v>
      </c>
      <c r="D51" s="21" t="n">
        <f aca="false">(ABS(D10-H10)/D10)*100</f>
        <v>34.3567925914535</v>
      </c>
      <c r="E51" s="21" t="n">
        <f aca="false">(ABS(E10-I10)/E10)*100</f>
        <v>13.9697751566532</v>
      </c>
      <c r="F51" s="21" t="n">
        <f aca="false">(ABS(F10-J10)/F10)*100</f>
        <v>0.173701401544896</v>
      </c>
      <c r="G51" s="36"/>
      <c r="H51" s="20" t="n">
        <f aca="false">(ABS(C10-K10)/C10)*100</f>
        <v>13.5317062485783</v>
      </c>
      <c r="I51" s="21" t="n">
        <f aca="false">(ABS(D10-L10)/D10)*100</f>
        <v>24.5168896406787</v>
      </c>
      <c r="J51" s="21" t="n">
        <f aca="false">(ABS(E10-M10)/E10)*100</f>
        <v>5.35627679593381</v>
      </c>
      <c r="K51" s="21" t="n">
        <f aca="false">(ABS(F10-N10)/F10)*100</f>
        <v>0.0586371143467929</v>
      </c>
      <c r="L51" s="36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(ABS(C11-G11)/C11)*100</f>
        <v>8.68197165712626</v>
      </c>
      <c r="D52" s="21" t="n">
        <f aca="false">(ABS(D11-H11)/D11)*100</f>
        <v>11.4248718315479</v>
      </c>
      <c r="E52" s="21" t="n">
        <f aca="false">(ABS(E11-I11)/E11)*100</f>
        <v>9.08493689444993</v>
      </c>
      <c r="F52" s="21" t="n">
        <f aca="false">(ABS(F11-J11)/F11)*100</f>
        <v>0.0541372194121023</v>
      </c>
      <c r="G52" s="36"/>
      <c r="H52" s="20" t="n">
        <f aca="false">(ABS(C11-K11)/C11)*100</f>
        <v>19.3849765826385</v>
      </c>
      <c r="I52" s="21" t="n">
        <f aca="false">(ABS(D11-L11)/D11)*100</f>
        <v>19.7292841387306</v>
      </c>
      <c r="J52" s="21" t="n">
        <f aca="false">(ABS(E11-M11)/E11)*100</f>
        <v>3.3508372742579</v>
      </c>
      <c r="K52" s="21" t="n">
        <f aca="false">(ABS(F11-N11)/F11)*100</f>
        <v>0.0917161203527918</v>
      </c>
      <c r="L52" s="36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(ABS(C12-G12)/C12)*100</f>
        <v>6.69420670409475</v>
      </c>
      <c r="D53" s="21" t="n">
        <f aca="false">(ABS(D12-H12)/D12)*100</f>
        <v>24.2671722327549</v>
      </c>
      <c r="E53" s="21" t="n">
        <f aca="false">(ABS(E12-I12)/E12)*100</f>
        <v>8.76388981673236</v>
      </c>
      <c r="F53" s="21" t="n">
        <f aca="false">(ABS(F12-J12)/F12)*100</f>
        <v>0.153828323764287</v>
      </c>
      <c r="G53" s="36"/>
      <c r="H53" s="20" t="n">
        <f aca="false">(ABS(C12-K12)/C12)*100</f>
        <v>14.2135158593261</v>
      </c>
      <c r="I53" s="21" t="n">
        <f aca="false">(ABS(D12-L12)/D12)*100</f>
        <v>18.5738823262522</v>
      </c>
      <c r="J53" s="21" t="n">
        <f aca="false">(ABS(E12-M12)/E12)*100</f>
        <v>3.80831496203265</v>
      </c>
      <c r="K53" s="21" t="n">
        <f aca="false">(ABS(F12-N12)/F12)*100</f>
        <v>0.0528704379931309</v>
      </c>
      <c r="L53" s="36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(ABS(C13-G13)/C13)*100</f>
        <v>18.9841055927702</v>
      </c>
      <c r="D54" s="21" t="n">
        <f aca="false">(ABS(D13-H13)/D13)*100</f>
        <v>72.4093181847097</v>
      </c>
      <c r="E54" s="21" t="n">
        <f aca="false">(ABS(E13-I13)/E13)*100</f>
        <v>1.91220776794264</v>
      </c>
      <c r="F54" s="21" t="n">
        <f aca="false">(ABS(F13-J13)/F13)*100</f>
        <v>0.216326124722577</v>
      </c>
      <c r="G54" s="36"/>
      <c r="H54" s="20" t="n">
        <f aca="false">(ABS(C13-K13)/C13)*100</f>
        <v>5.21542669150581</v>
      </c>
      <c r="I54" s="21" t="n">
        <f aca="false">(ABS(D13-L13)/D13)*100</f>
        <v>38.1798750620237</v>
      </c>
      <c r="J54" s="21" t="n">
        <f aca="false">(ABS(E13-M13)/E13)*100</f>
        <v>9.17100684307635</v>
      </c>
      <c r="K54" s="21" t="n">
        <f aca="false">(ABS(F13-N13)/F13)*100</f>
        <v>0.0430919531051067</v>
      </c>
      <c r="L54" s="36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(ABS(C14-G14)/C14)*100</f>
        <v>20.919416235239</v>
      </c>
      <c r="D55" s="21" t="n">
        <f aca="false">(ABS(D14-H14)/D14)*100</f>
        <v>70.3988516353942</v>
      </c>
      <c r="E55" s="21" t="n">
        <f aca="false">(ABS(E14-I14)/E14)*100</f>
        <v>5.39501851059007</v>
      </c>
      <c r="F55" s="21" t="n">
        <f aca="false">(ABS(F14-J14)/F14)*100</f>
        <v>0.142411680934305</v>
      </c>
      <c r="G55" s="36"/>
      <c r="H55" s="20" t="n">
        <f aca="false">(ABS(C14-K14)/C14)*100</f>
        <v>5.95127040899787</v>
      </c>
      <c r="I55" s="21" t="n">
        <f aca="false">(ABS(D14-L14)/D14)*100</f>
        <v>33.8072615833305</v>
      </c>
      <c r="J55" s="21" t="n">
        <f aca="false">(ABS(E14-M14)/E14)*100</f>
        <v>7.65708817085149</v>
      </c>
      <c r="K55" s="21" t="n">
        <f aca="false">(ABS(F14-N14)/F14)*100</f>
        <v>0.0382688850519164</v>
      </c>
      <c r="L55" s="36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(ABS(C15-G15)/C15)*100</f>
        <v>16.4576038602592</v>
      </c>
      <c r="D56" s="21" t="n">
        <f aca="false">(ABS(D15-H15)/D15)*100</f>
        <v>79.2924831953531</v>
      </c>
      <c r="E56" s="21" t="n">
        <f aca="false">(ABS(E15-I15)/E15)*100</f>
        <v>0.246193300208367</v>
      </c>
      <c r="F56" s="21" t="n">
        <f aca="false">(ABS(F15-J15)/F15)*100</f>
        <v>0.216872990919011</v>
      </c>
      <c r="G56" s="36"/>
      <c r="H56" s="20" t="n">
        <f aca="false">(ABS(C15-K15)/C15)*100</f>
        <v>4.35800032491436</v>
      </c>
      <c r="I56" s="21" t="n">
        <f aca="false">(ABS(D15-L15)/D15)*100</f>
        <v>45.1951434944683</v>
      </c>
      <c r="J56" s="21" t="n">
        <f aca="false">(ABS(E15-M15)/E15)*100</f>
        <v>10.7376182080462</v>
      </c>
      <c r="K56" s="21" t="n">
        <f aca="false">(ABS(F15-N15)/F15)*100</f>
        <v>0.0314949793297657</v>
      </c>
      <c r="L56" s="36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(ABS(C16-G16)/C16)*100</f>
        <v>14.5806556272384</v>
      </c>
      <c r="D57" s="21" t="n">
        <f aca="false">(ABS(D16-H16)/D16)*100</f>
        <v>44.7761194029851</v>
      </c>
      <c r="E57" s="21" t="n">
        <f aca="false">(ABS(E16-I16)/E16)*100</f>
        <v>13.0179395814256</v>
      </c>
      <c r="F57" s="21" t="n">
        <f aca="false">(ABS(F16-J16)/F16)*100</f>
        <v>0.129995628033872</v>
      </c>
      <c r="G57" s="36"/>
      <c r="H57" s="20" t="n">
        <f aca="false">(ABS(C16-K16)/C16)*100</f>
        <v>8.75438311890887</v>
      </c>
      <c r="I57" s="21" t="n">
        <f aca="false">(ABS(D16-L16)/D16)*100</f>
        <v>22.0885621643029</v>
      </c>
      <c r="J57" s="21" t="n">
        <f aca="false">(ABS(E16-M16)/E16)*100</f>
        <v>5.43548915132163</v>
      </c>
      <c r="K57" s="21" t="n">
        <f aca="false">(ABS(F16-N16)/F16)*100</f>
        <v>0.0482229740252673</v>
      </c>
      <c r="L57" s="36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(ABS(C17-G17)/C17)*100</f>
        <v>18.3870368650757</v>
      </c>
      <c r="D58" s="21" t="n">
        <f aca="false">(ABS(D17-H17)/D17)*100</f>
        <v>83.6206012106289</v>
      </c>
      <c r="E58" s="21" t="n">
        <f aca="false">(ABS(E17-I17)/E17)*100</f>
        <v>11.8426916221034</v>
      </c>
      <c r="F58" s="21" t="n">
        <f aca="false">(ABS(F17-J17)/F17)*100</f>
        <v>0.206191188649601</v>
      </c>
      <c r="G58" s="36"/>
      <c r="H58" s="20" t="n">
        <f aca="false">(ABS(C17-K17)/C17)*100</f>
        <v>4.20806636332683</v>
      </c>
      <c r="I58" s="21" t="n">
        <f aca="false">(ABS(D17-L17)/D17)*100</f>
        <v>57.2466741903492</v>
      </c>
      <c r="J58" s="21" t="n">
        <f aca="false">(ABS(E17-M17)/E17)*100</f>
        <v>13.819073083779</v>
      </c>
      <c r="K58" s="21" t="n">
        <f aca="false">(ABS(F17-N17)/F17)*100</f>
        <v>0.0483952872532948</v>
      </c>
      <c r="L58" s="36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(ABS(C18-G18)/C18)*100</f>
        <v>19.1517675087463</v>
      </c>
      <c r="D59" s="21" t="n">
        <f aca="false">(ABS(D18-H18)/D18)*100</f>
        <v>78.5608990731957</v>
      </c>
      <c r="E59" s="21" t="n">
        <f aca="false">(ABS(E18-I18)/E18)*100</f>
        <v>2.84702523541413</v>
      </c>
      <c r="F59" s="21" t="n">
        <f aca="false">(ABS(F18-J18)/F18)*100</f>
        <v>0.186531834577446</v>
      </c>
      <c r="G59" s="36"/>
      <c r="H59" s="20" t="n">
        <f aca="false">(ABS(C18-K18)/C18)*100</f>
        <v>4.99560000858535</v>
      </c>
      <c r="I59" s="21" t="n">
        <f aca="false">(ABS(D18-L18)/D18)*100</f>
        <v>48.2857768371889</v>
      </c>
      <c r="J59" s="21" t="n">
        <f aca="false">(ABS(E18-M18)/E18)*100</f>
        <v>11.1595792259669</v>
      </c>
      <c r="K59" s="21" t="n">
        <f aca="false">(ABS(F18-N18)/F18)*100</f>
        <v>0.0341313569652348</v>
      </c>
      <c r="L59" s="36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(ABS(C19-G19)/C19)*100</f>
        <v>24.2981343959428</v>
      </c>
      <c r="D60" s="21" t="n">
        <f aca="false">(ABS(D19-H19)/D19)*100</f>
        <v>5.25853317294978</v>
      </c>
      <c r="E60" s="21" t="n">
        <f aca="false">(ABS(E19-I19)/E19)*100</f>
        <v>11.6265595243184</v>
      </c>
      <c r="F60" s="21" t="n">
        <f aca="false">(ABS(F19-J19)/F19)*100</f>
        <v>0.11481927548198</v>
      </c>
      <c r="G60" s="36"/>
      <c r="H60" s="20" t="n">
        <f aca="false">(ABS(C19-K19)/C19)*100</f>
        <v>16.8006248867959</v>
      </c>
      <c r="I60" s="21" t="n">
        <f aca="false">(ABS(D19-L19)/D19)*100</f>
        <v>19.3048908453408</v>
      </c>
      <c r="J60" s="21" t="n">
        <f aca="false">(ABS(E19-M19)/E19)*100</f>
        <v>2.40025455806156</v>
      </c>
      <c r="K60" s="21" t="n">
        <f aca="false">(ABS(F19-N19)/F19)*100</f>
        <v>0.099750841807351</v>
      </c>
      <c r="L60" s="36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(ABS(C20-G20)/C20)*100</f>
        <v>19.4082753030471</v>
      </c>
      <c r="D61" s="21" t="n">
        <f aca="false">(ABS(D20-H20)/D20)*100</f>
        <v>79.3190857042961</v>
      </c>
      <c r="E61" s="21" t="n">
        <f aca="false">(ABS(E20-I20)/E20)*100</f>
        <v>1.97393320087047</v>
      </c>
      <c r="F61" s="21" t="n">
        <f aca="false">(ABS(F20-J20)/F20)*100</f>
        <v>0.192953514405232</v>
      </c>
      <c r="G61" s="36"/>
      <c r="H61" s="20" t="n">
        <f aca="false">(ABS(C20-K20)/C20)*100</f>
        <v>5.88850816108471</v>
      </c>
      <c r="I61" s="21" t="n">
        <f aca="false">(ABS(D20-L20)/D20)*100</f>
        <v>52.0431799309471</v>
      </c>
      <c r="J61" s="21" t="n">
        <f aca="false">(ABS(E20-M20)/E20)*100</f>
        <v>10.9648500331157</v>
      </c>
      <c r="K61" s="21" t="n">
        <f aca="false">(ABS(F20-N20)/F20)*100</f>
        <v>0.0453208489501425</v>
      </c>
      <c r="L61" s="36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(ABS(C21-G21)/C21)*100</f>
        <v>9.93509337793175</v>
      </c>
      <c r="D62" s="21" t="n">
        <f aca="false">(ABS(D21-H21)/D21)*100</f>
        <v>41.9770886825993</v>
      </c>
      <c r="E62" s="21" t="n">
        <f aca="false">(ABS(E21-I21)/E21)*100</f>
        <v>11.8465369038764</v>
      </c>
      <c r="F62" s="21" t="n">
        <f aca="false">(ABS(F21-J21)/F21)*100</f>
        <v>0.169763257153163</v>
      </c>
      <c r="G62" s="36"/>
      <c r="H62" s="20" t="n">
        <f aca="false">(ABS(C21-K21)/C21)*100</f>
        <v>10.5509762539986</v>
      </c>
      <c r="I62" s="21" t="n">
        <f aca="false">(ABS(D21-L21)/D21)*100</f>
        <v>28.0752518269801</v>
      </c>
      <c r="J62" s="21" t="n">
        <f aca="false">(ABS(E21-M21)/E21)*100</f>
        <v>5.45861228200678</v>
      </c>
      <c r="K62" s="21" t="n">
        <f aca="false">(ABS(F21-N21)/F21)*100</f>
        <v>0.0724342900388468</v>
      </c>
      <c r="L62" s="36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(ABS(C22-G22)/C22)*100</f>
        <v>29.2995817849565</v>
      </c>
      <c r="D63" s="21" t="n">
        <f aca="false">(ABS(D22-H22)/D22)*100</f>
        <v>3.60924079845828</v>
      </c>
      <c r="E63" s="21" t="n">
        <f aca="false">(ABS(E22-I22)/E22)*100</f>
        <v>11.5803145333909</v>
      </c>
      <c r="F63" s="21" t="n">
        <f aca="false">(ABS(F22-J22)/F22)*100</f>
        <v>0.0492034999303932</v>
      </c>
      <c r="G63" s="36"/>
      <c r="H63" s="20" t="n">
        <f aca="false">(ABS(C22-K22)/C22)*100</f>
        <v>20.8199958301139</v>
      </c>
      <c r="I63" s="21" t="n">
        <f aca="false">(ABS(D22-L22)/D22)*100</f>
        <v>20.7394542123671</v>
      </c>
      <c r="J63" s="21" t="n">
        <f aca="false">(ABS(E22-M22)/E22)*100</f>
        <v>2.60402202844558</v>
      </c>
      <c r="K63" s="21" t="n">
        <f aca="false">(ABS(F22-N22)/F22)*100</f>
        <v>0.113433218402404</v>
      </c>
      <c r="L63" s="36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(ABS(C23-G23)/C23)*100</f>
        <v>15.0432562920868</v>
      </c>
      <c r="D64" s="21" t="n">
        <f aca="false">(ABS(D23-H23)/D23)*100</f>
        <v>18.676818257972</v>
      </c>
      <c r="E64" s="21" t="n">
        <f aca="false">(ABS(E23-I23)/E23)*100</f>
        <v>11.7095749294204</v>
      </c>
      <c r="F64" s="21" t="n">
        <f aca="false">(ABS(F23-J23)/F23)*100</f>
        <v>0.242167906979463</v>
      </c>
      <c r="G64" s="36"/>
      <c r="H64" s="20" t="n">
        <f aca="false">(ABS(C23-K23)/C23)*100</f>
        <v>17.8835025468658</v>
      </c>
      <c r="I64" s="21" t="n">
        <f aca="false">(ABS(D23-L23)/D23)*100</f>
        <v>22.928572758242</v>
      </c>
      <c r="J64" s="21" t="n">
        <f aca="false">(ABS(E23-M23)/E23)*100</f>
        <v>3.01877107431434</v>
      </c>
      <c r="K64" s="21" t="n">
        <f aca="false">(ABS(F23-N23)/F23)*100</f>
        <v>0.0850949087741657</v>
      </c>
      <c r="L64" s="36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(ABS(C24-G24)/C24)*100</f>
        <v>5.69937506441428</v>
      </c>
      <c r="D65" s="21" t="n">
        <f aca="false">(ABS(D24-H24)/D24)*100</f>
        <v>17.4054644039152</v>
      </c>
      <c r="E65" s="21" t="n">
        <f aca="false">(ABS(E24-I24)/E24)*100</f>
        <v>9.77719256316485</v>
      </c>
      <c r="F65" s="21" t="n">
        <f aca="false">(ABS(F24-J24)/F24)*100</f>
        <v>0.153784101854802</v>
      </c>
      <c r="G65" s="36"/>
      <c r="H65" s="20" t="n">
        <f aca="false">(ABS(C24-K24)/C24)*100</f>
        <v>14.389446365161</v>
      </c>
      <c r="I65" s="21" t="n">
        <f aca="false">(ABS(D24-L24)/D24)*100</f>
        <v>22.3373353989156</v>
      </c>
      <c r="J65" s="21" t="n">
        <f aca="false">(ABS(E24-M24)/E24)*100</f>
        <v>3.65573748314627</v>
      </c>
      <c r="K65" s="21" t="n">
        <f aca="false">(ABS(F24-N24)/F24)*100</f>
        <v>0.0704275934721872</v>
      </c>
      <c r="L65" s="36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(ABS(C25-G25)/C25)*100</f>
        <v>18.359789014397</v>
      </c>
      <c r="D66" s="21" t="n">
        <f aca="false">(ABS(D25-H25)/D25)*100</f>
        <v>71.7049457517261</v>
      </c>
      <c r="E66" s="21" t="n">
        <f aca="false">(ABS(E25-I25)/E25)*100</f>
        <v>0.192870174625699</v>
      </c>
      <c r="F66" s="21" t="n">
        <f aca="false">(ABS(F25-J25)/F25)*100</f>
        <v>0.25096982633547</v>
      </c>
      <c r="G66" s="36"/>
      <c r="H66" s="20" t="n">
        <f aca="false">(ABS(C25-K25)/C25)*100</f>
        <v>6.9906508138782</v>
      </c>
      <c r="I66" s="21" t="n">
        <f aca="false">(ABS(D25-L25)/D25)*100</f>
        <v>49.8548682541919</v>
      </c>
      <c r="J66" s="21" t="n">
        <f aca="false">(ABS(E25-M25)/E25)*100</f>
        <v>9.69158147751296</v>
      </c>
      <c r="K66" s="21" t="n">
        <f aca="false">(ABS(F25-N25)/F25)*100</f>
        <v>0.0635755281392851</v>
      </c>
      <c r="L66" s="36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(ABS(C26-G26)/C26)*100</f>
        <v>6.3120925178516</v>
      </c>
      <c r="D67" s="21" t="n">
        <f aca="false">(ABS(D26-H26)/D26)*100</f>
        <v>24.7391494958352</v>
      </c>
      <c r="E67" s="21" t="n">
        <f aca="false">(ABS(E26-I26)/E26)*100</f>
        <v>12.9057480703624</v>
      </c>
      <c r="F67" s="21" t="n">
        <f aca="false">(ABS(F26-J26)/F26)*100</f>
        <v>0.190933323103006</v>
      </c>
      <c r="G67" s="36"/>
      <c r="H67" s="20" t="n">
        <f aca="false">(ABS(C26-K26)/C26)*100</f>
        <v>14.9022042843837</v>
      </c>
      <c r="I67" s="21" t="n">
        <f aca="false">(ABS(D26-L26)/D26)*100</f>
        <v>22.0789127575625</v>
      </c>
      <c r="J67" s="21" t="n">
        <f aca="false">(ABS(E26-M26)/E26)*100</f>
        <v>3.38663952579184</v>
      </c>
      <c r="K67" s="21" t="n">
        <f aca="false">(ABS(F26-N26)/F26)*100</f>
        <v>0.0762847975612473</v>
      </c>
      <c r="L67" s="36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(ABS(C27-G27)/C27)*100</f>
        <v>5.06491203876992</v>
      </c>
      <c r="D68" s="21" t="n">
        <f aca="false">(ABS(D27-H27)/D27)*100</f>
        <v>26.1978992997666</v>
      </c>
      <c r="E68" s="21" t="n">
        <f aca="false">(ABS(E27-I27)/E27)*100</f>
        <v>10.1456969267976</v>
      </c>
      <c r="F68" s="21" t="n">
        <f aca="false">(ABS(F27-J27)/F27)*100</f>
        <v>0.144563278938254</v>
      </c>
      <c r="G68" s="36"/>
      <c r="H68" s="20" t="n">
        <f aca="false">(ABS(C27-K27)/C27)*100</f>
        <v>11.4783002698922</v>
      </c>
      <c r="I68" s="21" t="n">
        <f aca="false">(ABS(D27-L27)/D27)*100</f>
        <v>16.9148049349783</v>
      </c>
      <c r="J68" s="21" t="n">
        <f aca="false">(ABS(E27-M27)/E27)*100</f>
        <v>3.30551887798393</v>
      </c>
      <c r="K68" s="21" t="n">
        <f aca="false">(ABS(F27-N27)/F27)*100</f>
        <v>0.04983289589897</v>
      </c>
      <c r="L68" s="36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(ABS(C28-G28)/C28)*100</f>
        <v>13.0331864022252</v>
      </c>
      <c r="D69" s="21" t="n">
        <f aca="false">(ABS(D28-H28)/D28)*100</f>
        <v>59.2701182303585</v>
      </c>
      <c r="E69" s="21" t="n">
        <f aca="false">(ABS(E28-I28)/E28)*100</f>
        <v>8.80346385171247</v>
      </c>
      <c r="F69" s="21" t="n">
        <f aca="false">(ABS(F28-J28)/F28)*100</f>
        <v>0.250133639948763</v>
      </c>
      <c r="G69" s="36"/>
      <c r="H69" s="20" t="n">
        <f aca="false">(ABS(C28-K28)/C28)*100</f>
        <v>9.76945110612708</v>
      </c>
      <c r="I69" s="21" t="n">
        <f aca="false">(ABS(D28-L28)/D28)*100</f>
        <v>43.2732646834478</v>
      </c>
      <c r="J69" s="21" t="n">
        <f aca="false">(ABS(E28-M28)/E28)*100</f>
        <v>7.84538768835186</v>
      </c>
      <c r="K69" s="21" t="n">
        <f aca="false">(ABS(F28-N28)/F28)*100</f>
        <v>0.0567806351138172</v>
      </c>
      <c r="L69" s="36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(ABS(C29-G29)/C29)*100</f>
        <v>12.6053752719362</v>
      </c>
      <c r="D70" s="21" t="n">
        <f aca="false">(ABS(D29-H29)/D29)*100</f>
        <v>14.645808302479</v>
      </c>
      <c r="E70" s="21" t="n">
        <f aca="false">(ABS(E29-I29)/E29)*100</f>
        <v>11.1364993846684</v>
      </c>
      <c r="F70" s="21" t="n">
        <f aca="false">(ABS(F29-J29)/F29)*100</f>
        <v>0.0468318772685929</v>
      </c>
      <c r="G70" s="36"/>
      <c r="H70" s="20" t="n">
        <f aca="false">(ABS(C29-K29)/C29)*100</f>
        <v>20.3532904278463</v>
      </c>
      <c r="I70" s="21" t="n">
        <f aca="false">(ABS(D29-L29)/D29)*100</f>
        <v>22.9319405961634</v>
      </c>
      <c r="J70" s="21" t="n">
        <f aca="false">(ABS(E29-M29)/E29)*100</f>
        <v>2.5767761435747</v>
      </c>
      <c r="K70" s="21" t="n">
        <f aca="false">(ABS(F29-N29)/F29)*100</f>
        <v>0.13593480765373</v>
      </c>
      <c r="L70" s="36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(ABS(C30-G30)/C30)*100</f>
        <v>24.9220149996682</v>
      </c>
      <c r="D71" s="21" t="n">
        <f aca="false">(ABS(D30-H30)/D30)*100</f>
        <v>2.58084552971777</v>
      </c>
      <c r="E71" s="21" t="n">
        <f aca="false">(ABS(E30-I30)/E30)*100</f>
        <v>8.24832991585637</v>
      </c>
      <c r="F71" s="21" t="n">
        <f aca="false">(ABS(F30-J30)/F30)*100</f>
        <v>0.112852471109106</v>
      </c>
      <c r="G71" s="36"/>
      <c r="H71" s="20" t="n">
        <f aca="false">(ABS(C30-K30)/C30)*100</f>
        <v>17.4009424570253</v>
      </c>
      <c r="I71" s="21" t="n">
        <f aca="false">(ABS(D30-L30)/D30)*100</f>
        <v>15.3344462129741</v>
      </c>
      <c r="J71" s="21" t="n">
        <f aca="false">(ABS(E30-M30)/E30)*100</f>
        <v>1.78214559752381</v>
      </c>
      <c r="K71" s="21" t="n">
        <f aca="false">(ABS(F30-N30)/F30)*100</f>
        <v>0.0929416510110803</v>
      </c>
      <c r="L71" s="36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(ABS(C31-G31)/C31)*100</f>
        <v>3.91233223991298</v>
      </c>
      <c r="D72" s="21" t="n">
        <f aca="false">(ABS(D31-H31)/D31)*100</f>
        <v>34.9409803141401</v>
      </c>
      <c r="E72" s="21" t="n">
        <f aca="false">(ABS(E31-I31)/E31)*100</f>
        <v>15.2416575970579</v>
      </c>
      <c r="F72" s="21" t="n">
        <f aca="false">(ABS(F31-J31)/F31)*100</f>
        <v>0.09921216067221</v>
      </c>
      <c r="G72" s="36"/>
      <c r="H72" s="20" t="n">
        <f aca="false">(ABS(C31-K31)/C31)*100</f>
        <v>19.8819791193827</v>
      </c>
      <c r="I72" s="21" t="n">
        <f aca="false">(ABS(D31-L31)/D31)*100</f>
        <v>35.1295022641581</v>
      </c>
      <c r="J72" s="21" t="n">
        <f aca="false">(ABS(E31-M31)/E31)*100</f>
        <v>3.90785539441993</v>
      </c>
      <c r="K72" s="21" t="n">
        <f aca="false">(ABS(F31-N31)/F31)*100</f>
        <v>0.146337004195716</v>
      </c>
      <c r="L72" s="36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(ABS(C32-G32)/C32)*100</f>
        <v>31.3624274315783</v>
      </c>
      <c r="D73" s="21" t="n">
        <f aca="false">(ABS(D32-H32)/D32)*100</f>
        <v>13.4206280718868</v>
      </c>
      <c r="E73" s="21" t="n">
        <f aca="false">(ABS(E32-I32)/E32)*100</f>
        <v>14.9321793096933</v>
      </c>
      <c r="F73" s="21" t="n">
        <f aca="false">(ABS(F32-J32)/F32)*100</f>
        <v>0.179433000589978</v>
      </c>
      <c r="G73" s="36"/>
      <c r="H73" s="20" t="n">
        <f aca="false">(ABS(C32-K32)/C32)*100</f>
        <v>28.9344238853776</v>
      </c>
      <c r="I73" s="21" t="n">
        <f aca="false">(ABS(D32-L32)/D32)*100</f>
        <v>27.576633024425</v>
      </c>
      <c r="J73" s="21" t="n">
        <f aca="false">(ABS(E32-M32)/E32)*100</f>
        <v>1.08680248972606</v>
      </c>
      <c r="K73" s="21" t="n">
        <f aca="false">(ABS(F32-N32)/F32)*100</f>
        <v>0.22822813054028</v>
      </c>
      <c r="L73" s="36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(ABS(C33-G33)/C33)*100</f>
        <v>30.766449746927</v>
      </c>
      <c r="D74" s="21" t="n">
        <f aca="false">(ABS(D33-H33)/D33)*100</f>
        <v>9.50173420184418</v>
      </c>
      <c r="E74" s="21" t="n">
        <f aca="false">(ABS(E33-I33)/E33)*100</f>
        <v>13.5067679726837</v>
      </c>
      <c r="F74" s="21" t="n">
        <f aca="false">(ABS(F33-J33)/F33)*100</f>
        <v>0.0330974739034895</v>
      </c>
      <c r="G74" s="36"/>
      <c r="H74" s="20" t="n">
        <f aca="false">(ABS(C33-K33)/C33)*100</f>
        <v>24.4396240057845</v>
      </c>
      <c r="I74" s="21" t="n">
        <f aca="false">(ABS(D33-L33)/D33)*100</f>
        <v>21.7638101683445</v>
      </c>
      <c r="J74" s="21" t="n">
        <f aca="false">(ABS(E33-M33)/E33)*100</f>
        <v>1.69031744216764</v>
      </c>
      <c r="K74" s="21" t="n">
        <f aca="false">(ABS(F33-N33)/F33)*100</f>
        <v>0.142414965660449</v>
      </c>
      <c r="L74" s="36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(ABS(C34-G34)/C34)*100</f>
        <v>15.9379286325466</v>
      </c>
      <c r="D75" s="21" t="n">
        <f aca="false">(ABS(D34-H34)/D34)*100</f>
        <v>73.9625530286115</v>
      </c>
      <c r="E75" s="21" t="n">
        <f aca="false">(ABS(E34-I34)/E34)*100</f>
        <v>2.06803109177779</v>
      </c>
      <c r="F75" s="21" t="n">
        <f aca="false">(ABS(F34-J34)/F34)*100</f>
        <v>0.206727469449009</v>
      </c>
      <c r="G75" s="36"/>
      <c r="H75" s="20" t="n">
        <f aca="false">(ABS(C34-K34)/C34)*100</f>
        <v>8.07065369285079</v>
      </c>
      <c r="I75" s="21" t="n">
        <f aca="false">(ABS(D34-L34)/D34)*100</f>
        <v>59.5722624477688</v>
      </c>
      <c r="J75" s="21" t="n">
        <f aca="false">(ABS(E34-M34)/E34)*100</f>
        <v>9.27926099430057</v>
      </c>
      <c r="K75" s="21" t="n">
        <f aca="false">(ABS(F34-N34)/F34)*100</f>
        <v>0.062216048306824</v>
      </c>
      <c r="L75" s="36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(ABS(C35-G35)/C35)*100</f>
        <v>57.3832231494527</v>
      </c>
      <c r="D76" s="21" t="n">
        <f aca="false">(ABS(D35-H35)/D35)*100</f>
        <v>3.37565876329602</v>
      </c>
      <c r="E76" s="21" t="n">
        <f aca="false">(ABS(E35-I35)/E35)*100</f>
        <v>10.163783930397</v>
      </c>
      <c r="F76" s="21" t="n">
        <f aca="false">(ABS(F35-J35)/F35)*100</f>
        <v>0.226856461175542</v>
      </c>
      <c r="G76" s="36"/>
      <c r="H76" s="20" t="n">
        <f aca="false">(ABS(C35-K35)/C35)*100</f>
        <v>29.5166359596835</v>
      </c>
      <c r="I76" s="21" t="n">
        <f aca="false">(ABS(D35-L35)/D35)*100</f>
        <v>15.0332199169234</v>
      </c>
      <c r="J76" s="21" t="n">
        <f aca="false">(ABS(E35-M35)/E35)*100</f>
        <v>0.934298650086586</v>
      </c>
      <c r="K76" s="21" t="n">
        <f aca="false">(ABS(F35-N35)/F35)*100</f>
        <v>0.191983065593915</v>
      </c>
      <c r="L76" s="36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(ABS(C36-G36)/C36)*100</f>
        <v>46.149983803045</v>
      </c>
      <c r="D77" s="21" t="n">
        <f aca="false">(ABS(D36-H36)/D36)*100</f>
        <v>4.08999642434744</v>
      </c>
      <c r="E77" s="21" t="n">
        <f aca="false">(ABS(E36-I36)/E36)*100</f>
        <v>13.4508143514694</v>
      </c>
      <c r="F77" s="21" t="n">
        <f aca="false">(ABS(F36-J36)/F36)*100</f>
        <v>0.129502857828993</v>
      </c>
      <c r="G77" s="25" t="s">
        <v>15</v>
      </c>
      <c r="H77" s="20" t="n">
        <f aca="false">(ABS(C36-K36)/C36)*100</f>
        <v>28.5034013605442</v>
      </c>
      <c r="I77" s="21" t="n">
        <f aca="false">(ABS(D36-L36)/D36)*100</f>
        <v>23.0565411520936</v>
      </c>
      <c r="J77" s="21" t="n">
        <f aca="false">(ABS(E36-M36)/E36)*100</f>
        <v>0.955240174672489</v>
      </c>
      <c r="K77" s="21" t="n">
        <f aca="false">(ABS(F36-N36)/F36)*100</f>
        <v>0.18268890069164</v>
      </c>
      <c r="L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(ABS(SUM(C4:C36)-SUM(G4:G36))/SUM(C4:C36))*100</f>
        <v>5.88881508567385</v>
      </c>
      <c r="D78" s="26" t="n">
        <f aca="false">(ABS(SUM(D4:D36)-SUM(H4:H36))/SUM(D4:D36))*100</f>
        <v>29.2893855942263</v>
      </c>
      <c r="E78" s="26" t="n">
        <f aca="false">(ABS(SUM(E4:E36)-SUM(I4:I36))/SUM(E4:E36))*100</f>
        <v>8.68049524957181</v>
      </c>
      <c r="F78" s="26" t="n">
        <f aca="false">(ABS(SUM(F4:F36)-SUM(J4:J36))/SUM(F4:F36))*100</f>
        <v>0.11888255870689</v>
      </c>
      <c r="G78" s="27" t="n">
        <f aca="false">SUM(C45:F77)/COUNT(C45:F77)</f>
        <v>14.9829910142993</v>
      </c>
      <c r="H78" s="26" t="n">
        <f aca="false">(ABS(SUM(C4:C36)-SUM(K4:K36))/SUM(C4:C36))*100</f>
        <v>10.2951521301221</v>
      </c>
      <c r="I78" s="26" t="n">
        <f aca="false">(ABS(SUM(D4:D36)-SUM(L4:L36))/SUM(D4:D36))*100</f>
        <v>26.0818871373629</v>
      </c>
      <c r="J78" s="26" t="n">
        <f aca="false">(ABS(SUM(E4:E36)-SUM(M4:M36))/SUM(E4:E36))*100</f>
        <v>4.50451991636625</v>
      </c>
      <c r="K78" s="26" t="n">
        <f aca="false">(ABS(SUM(F4:F36)-SUM(N4:N36))/SUM(F4:F36))*100</f>
        <v>0.0838077940148771</v>
      </c>
      <c r="L78" s="27" t="n">
        <f aca="false">SUM(H45:K77)/COUNT(H45:K77)</f>
        <v>11.7976446378389</v>
      </c>
    </row>
  </sheetData>
  <mergeCells count="10">
    <mergeCell ref="B1:B3"/>
    <mergeCell ref="C1:F2"/>
    <mergeCell ref="G2:J2"/>
    <mergeCell ref="K2:N2"/>
    <mergeCell ref="A3:A37"/>
    <mergeCell ref="B42:B44"/>
    <mergeCell ref="C42:L42"/>
    <mergeCell ref="C43:G43"/>
    <mergeCell ref="H43:L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2026-05-01T17:30:40Z</dcterms:created>
  <dc:creator>openpyxl</dc:creator>
  <dc:description/>
  <dc:language>fr-FR</dc:language>
  <cp:lastModifiedBy/>
  <dcterms:modified xsi:type="dcterms:W3CDTF">2026-08-28T21:01:52Z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