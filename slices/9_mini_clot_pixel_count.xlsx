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185" documentId="11_555F6EFDA16C5A9CB78807762D5BDA1646C4EEF0" xr6:coauthVersionLast="47" xr6:coauthVersionMax="47" xr10:uidLastSave="{5356A1B7-FE63-4410-A9E8-77410A48DD52}"/>
  <bookViews>
    <workbookView xWindow="0" yWindow="0" windowWidth="0" windowHeight="0" activeTab="2" xr2:uid="{00000000-000D-0000-FFFF-FFFF00000000}"/>
  </bookViews>
  <sheets>
    <sheet name="Color clustering" sheetId="1" r:id="rId1"/>
    <sheet name="Col. Class. " sheetId="3" r:id="rId2"/>
    <sheet name="Col. Class. merged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3" l="1"/>
  <c r="M77" i="3"/>
  <c r="L77" i="3"/>
  <c r="K77" i="3"/>
  <c r="J77" i="3"/>
  <c r="I77" i="3"/>
  <c r="G77" i="3"/>
  <c r="F77" i="3"/>
  <c r="E77" i="3"/>
  <c r="D77" i="3"/>
  <c r="C77" i="3"/>
  <c r="M76" i="3"/>
  <c r="L76" i="3"/>
  <c r="K76" i="3"/>
  <c r="J76" i="3"/>
  <c r="I76" i="3"/>
  <c r="G76" i="3"/>
  <c r="F76" i="3"/>
  <c r="E76" i="3"/>
  <c r="D76" i="3"/>
  <c r="C76" i="3"/>
  <c r="M75" i="3"/>
  <c r="L75" i="3"/>
  <c r="K75" i="3"/>
  <c r="J75" i="3"/>
  <c r="I75" i="3"/>
  <c r="G75" i="3"/>
  <c r="F75" i="3"/>
  <c r="E75" i="3"/>
  <c r="D75" i="3"/>
  <c r="C75" i="3"/>
  <c r="M74" i="3"/>
  <c r="L74" i="3"/>
  <c r="K74" i="3"/>
  <c r="J74" i="3"/>
  <c r="I74" i="3"/>
  <c r="G74" i="3"/>
  <c r="F74" i="3"/>
  <c r="E74" i="3"/>
  <c r="D74" i="3"/>
  <c r="C74" i="3"/>
  <c r="M73" i="3"/>
  <c r="L73" i="3"/>
  <c r="K73" i="3"/>
  <c r="J73" i="3"/>
  <c r="I73" i="3"/>
  <c r="G73" i="3"/>
  <c r="F73" i="3"/>
  <c r="E73" i="3"/>
  <c r="D73" i="3"/>
  <c r="C73" i="3"/>
  <c r="M72" i="3"/>
  <c r="L72" i="3"/>
  <c r="K72" i="3"/>
  <c r="J72" i="3"/>
  <c r="I72" i="3"/>
  <c r="G72" i="3"/>
  <c r="F72" i="3"/>
  <c r="E72" i="3"/>
  <c r="D72" i="3"/>
  <c r="C72" i="3"/>
  <c r="M71" i="3"/>
  <c r="L71" i="3"/>
  <c r="K71" i="3"/>
  <c r="J71" i="3"/>
  <c r="I71" i="3"/>
  <c r="G71" i="3"/>
  <c r="F71" i="3"/>
  <c r="E71" i="3"/>
  <c r="D71" i="3"/>
  <c r="C71" i="3"/>
  <c r="M70" i="3"/>
  <c r="L70" i="3"/>
  <c r="K70" i="3"/>
  <c r="J70" i="3"/>
  <c r="I70" i="3"/>
  <c r="G70" i="3"/>
  <c r="F70" i="3"/>
  <c r="E70" i="3"/>
  <c r="D70" i="3"/>
  <c r="C70" i="3"/>
  <c r="M69" i="3"/>
  <c r="L69" i="3"/>
  <c r="K69" i="3"/>
  <c r="J69" i="3"/>
  <c r="I69" i="3"/>
  <c r="G69" i="3"/>
  <c r="F69" i="3"/>
  <c r="E69" i="3"/>
  <c r="D69" i="3"/>
  <c r="C69" i="3"/>
  <c r="M68" i="3"/>
  <c r="L68" i="3"/>
  <c r="K68" i="3"/>
  <c r="J68" i="3"/>
  <c r="I68" i="3"/>
  <c r="G68" i="3"/>
  <c r="F68" i="3"/>
  <c r="E68" i="3"/>
  <c r="D68" i="3"/>
  <c r="C68" i="3"/>
  <c r="M67" i="3"/>
  <c r="L67" i="3"/>
  <c r="K67" i="3"/>
  <c r="J67" i="3"/>
  <c r="I67" i="3"/>
  <c r="G67" i="3"/>
  <c r="F67" i="3"/>
  <c r="E67" i="3"/>
  <c r="D67" i="3"/>
  <c r="C67" i="3"/>
  <c r="M66" i="3"/>
  <c r="L66" i="3"/>
  <c r="K66" i="3"/>
  <c r="J66" i="3"/>
  <c r="I66" i="3"/>
  <c r="G66" i="3"/>
  <c r="F66" i="3"/>
  <c r="E66" i="3"/>
  <c r="D66" i="3"/>
  <c r="C66" i="3"/>
  <c r="M65" i="3"/>
  <c r="L65" i="3"/>
  <c r="K65" i="3"/>
  <c r="J65" i="3"/>
  <c r="I65" i="3"/>
  <c r="G65" i="3"/>
  <c r="F65" i="3"/>
  <c r="E65" i="3"/>
  <c r="D65" i="3"/>
  <c r="C65" i="3"/>
  <c r="M64" i="3"/>
  <c r="L64" i="3"/>
  <c r="K64" i="3"/>
  <c r="J64" i="3"/>
  <c r="I64" i="3"/>
  <c r="G64" i="3"/>
  <c r="F64" i="3"/>
  <c r="E64" i="3"/>
  <c r="D64" i="3"/>
  <c r="C64" i="3"/>
  <c r="M63" i="3"/>
  <c r="L63" i="3"/>
  <c r="K63" i="3"/>
  <c r="J63" i="3"/>
  <c r="I63" i="3"/>
  <c r="G63" i="3"/>
  <c r="F63" i="3"/>
  <c r="E63" i="3"/>
  <c r="D63" i="3"/>
  <c r="C63" i="3"/>
  <c r="M62" i="3"/>
  <c r="L62" i="3"/>
  <c r="K62" i="3"/>
  <c r="J62" i="3"/>
  <c r="I62" i="3"/>
  <c r="G62" i="3"/>
  <c r="F62" i="3"/>
  <c r="E62" i="3"/>
  <c r="D62" i="3"/>
  <c r="C62" i="3"/>
  <c r="M61" i="3"/>
  <c r="L61" i="3"/>
  <c r="K61" i="3"/>
  <c r="J61" i="3"/>
  <c r="I61" i="3"/>
  <c r="G61" i="3"/>
  <c r="F61" i="3"/>
  <c r="E61" i="3"/>
  <c r="D61" i="3"/>
  <c r="C61" i="3"/>
  <c r="M60" i="3"/>
  <c r="L60" i="3"/>
  <c r="K60" i="3"/>
  <c r="J60" i="3"/>
  <c r="I60" i="3"/>
  <c r="G60" i="3"/>
  <c r="F60" i="3"/>
  <c r="E60" i="3"/>
  <c r="D60" i="3"/>
  <c r="C60" i="3"/>
  <c r="M59" i="3"/>
  <c r="L59" i="3"/>
  <c r="K59" i="3"/>
  <c r="J59" i="3"/>
  <c r="I59" i="3"/>
  <c r="G59" i="3"/>
  <c r="F59" i="3"/>
  <c r="E59" i="3"/>
  <c r="D59" i="3"/>
  <c r="C59" i="3"/>
  <c r="M58" i="3"/>
  <c r="L58" i="3"/>
  <c r="K58" i="3"/>
  <c r="J58" i="3"/>
  <c r="I58" i="3"/>
  <c r="G58" i="3"/>
  <c r="F58" i="3"/>
  <c r="E58" i="3"/>
  <c r="D58" i="3"/>
  <c r="C58" i="3"/>
  <c r="M57" i="3"/>
  <c r="L57" i="3"/>
  <c r="K57" i="3"/>
  <c r="J57" i="3"/>
  <c r="I57" i="3"/>
  <c r="G57" i="3"/>
  <c r="F57" i="3"/>
  <c r="E57" i="3"/>
  <c r="D57" i="3"/>
  <c r="C57" i="3"/>
  <c r="M56" i="3"/>
  <c r="L56" i="3"/>
  <c r="K56" i="3"/>
  <c r="J56" i="3"/>
  <c r="I56" i="3"/>
  <c r="G56" i="3"/>
  <c r="F56" i="3"/>
  <c r="E56" i="3"/>
  <c r="D56" i="3"/>
  <c r="C56" i="3"/>
  <c r="M55" i="3"/>
  <c r="L55" i="3"/>
  <c r="K55" i="3"/>
  <c r="J55" i="3"/>
  <c r="I55" i="3"/>
  <c r="G55" i="3"/>
  <c r="F55" i="3"/>
  <c r="E55" i="3"/>
  <c r="D55" i="3"/>
  <c r="C55" i="3"/>
  <c r="M54" i="3"/>
  <c r="L54" i="3"/>
  <c r="K54" i="3"/>
  <c r="J54" i="3"/>
  <c r="I54" i="3"/>
  <c r="G54" i="3"/>
  <c r="F54" i="3"/>
  <c r="E54" i="3"/>
  <c r="D54" i="3"/>
  <c r="C54" i="3"/>
  <c r="M53" i="3"/>
  <c r="L53" i="3"/>
  <c r="K53" i="3"/>
  <c r="J53" i="3"/>
  <c r="I53" i="3"/>
  <c r="G53" i="3"/>
  <c r="F53" i="3"/>
  <c r="E53" i="3"/>
  <c r="D53" i="3"/>
  <c r="C53" i="3"/>
  <c r="M52" i="3"/>
  <c r="L52" i="3"/>
  <c r="K52" i="3"/>
  <c r="J52" i="3"/>
  <c r="I52" i="3"/>
  <c r="G52" i="3"/>
  <c r="F52" i="3"/>
  <c r="E52" i="3"/>
  <c r="D52" i="3"/>
  <c r="C52" i="3"/>
  <c r="M51" i="3"/>
  <c r="L51" i="3"/>
  <c r="K51" i="3"/>
  <c r="J51" i="3"/>
  <c r="I51" i="3"/>
  <c r="G51" i="3"/>
  <c r="F51" i="3"/>
  <c r="E51" i="3"/>
  <c r="D51" i="3"/>
  <c r="C51" i="3"/>
  <c r="M50" i="3"/>
  <c r="L50" i="3"/>
  <c r="K50" i="3"/>
  <c r="J50" i="3"/>
  <c r="I50" i="3"/>
  <c r="G50" i="3"/>
  <c r="F50" i="3"/>
  <c r="E50" i="3"/>
  <c r="D50" i="3"/>
  <c r="C50" i="3"/>
  <c r="M49" i="3"/>
  <c r="L49" i="3"/>
  <c r="K49" i="3"/>
  <c r="J49" i="3"/>
  <c r="I49" i="3"/>
  <c r="G49" i="3"/>
  <c r="F49" i="3"/>
  <c r="E49" i="3"/>
  <c r="D49" i="3"/>
  <c r="C49" i="3"/>
  <c r="M48" i="3"/>
  <c r="L48" i="3"/>
  <c r="K48" i="3"/>
  <c r="J48" i="3"/>
  <c r="I48" i="3"/>
  <c r="G48" i="3"/>
  <c r="F48" i="3"/>
  <c r="E48" i="3"/>
  <c r="D48" i="3"/>
  <c r="C48" i="3"/>
  <c r="M47" i="3"/>
  <c r="L47" i="3"/>
  <c r="K47" i="3"/>
  <c r="J47" i="3"/>
  <c r="I47" i="3"/>
  <c r="G47" i="3"/>
  <c r="F47" i="3"/>
  <c r="E47" i="3"/>
  <c r="D47" i="3"/>
  <c r="C47" i="3"/>
  <c r="M46" i="3"/>
  <c r="L46" i="3"/>
  <c r="K46" i="3"/>
  <c r="J46" i="3"/>
  <c r="I46" i="3"/>
  <c r="G46" i="3"/>
  <c r="F46" i="3"/>
  <c r="E46" i="3"/>
  <c r="D46" i="3"/>
  <c r="C46" i="3"/>
  <c r="M45" i="3"/>
  <c r="L45" i="3"/>
  <c r="K45" i="3"/>
  <c r="J45" i="3"/>
  <c r="I45" i="3"/>
  <c r="G45" i="3"/>
  <c r="F45" i="3"/>
  <c r="E45" i="3"/>
  <c r="D45" i="3"/>
  <c r="C45" i="3"/>
  <c r="M44" i="3"/>
  <c r="L44" i="3"/>
  <c r="K44" i="3"/>
  <c r="J44" i="3"/>
  <c r="I44" i="3"/>
  <c r="N77" i="3" s="1"/>
  <c r="G44" i="3"/>
  <c r="F44" i="3"/>
  <c r="E44" i="3"/>
  <c r="D44" i="3"/>
  <c r="H77" i="3"/>
  <c r="L76" i="2"/>
  <c r="G76" i="2"/>
  <c r="I76" i="2"/>
  <c r="J76" i="2"/>
  <c r="K76" i="2"/>
  <c r="H76" i="2"/>
  <c r="D76" i="2"/>
  <c r="E76" i="2"/>
  <c r="F76" i="2"/>
  <c r="C76" i="2"/>
  <c r="H44" i="2"/>
  <c r="I44" i="2"/>
  <c r="J44" i="2"/>
  <c r="K44" i="2"/>
  <c r="H45" i="2"/>
  <c r="I45" i="2"/>
  <c r="J45" i="2"/>
  <c r="K45" i="2"/>
  <c r="H46" i="2"/>
  <c r="I46" i="2"/>
  <c r="J46" i="2"/>
  <c r="K46" i="2"/>
  <c r="H47" i="2"/>
  <c r="I47" i="2"/>
  <c r="J47" i="2"/>
  <c r="K47" i="2"/>
  <c r="H48" i="2"/>
  <c r="I48" i="2"/>
  <c r="J48" i="2"/>
  <c r="K48" i="2"/>
  <c r="H49" i="2"/>
  <c r="I49" i="2"/>
  <c r="J49" i="2"/>
  <c r="K49" i="2"/>
  <c r="H50" i="2"/>
  <c r="I50" i="2"/>
  <c r="J50" i="2"/>
  <c r="K50" i="2"/>
  <c r="H51" i="2"/>
  <c r="I51" i="2"/>
  <c r="J51" i="2"/>
  <c r="K51" i="2"/>
  <c r="H52" i="2"/>
  <c r="I52" i="2"/>
  <c r="J52" i="2"/>
  <c r="K52" i="2"/>
  <c r="H53" i="2"/>
  <c r="I53" i="2"/>
  <c r="J53" i="2"/>
  <c r="K53" i="2"/>
  <c r="H54" i="2"/>
  <c r="I54" i="2"/>
  <c r="J54" i="2"/>
  <c r="K54" i="2"/>
  <c r="H55" i="2"/>
  <c r="I55" i="2"/>
  <c r="J55" i="2"/>
  <c r="K55" i="2"/>
  <c r="H56" i="2"/>
  <c r="I56" i="2"/>
  <c r="J56" i="2"/>
  <c r="K56" i="2"/>
  <c r="H57" i="2"/>
  <c r="I57" i="2"/>
  <c r="J57" i="2"/>
  <c r="K57" i="2"/>
  <c r="H58" i="2"/>
  <c r="I58" i="2"/>
  <c r="J58" i="2"/>
  <c r="K58" i="2"/>
  <c r="H59" i="2"/>
  <c r="I59" i="2"/>
  <c r="J59" i="2"/>
  <c r="K59" i="2"/>
  <c r="H60" i="2"/>
  <c r="I60" i="2"/>
  <c r="J60" i="2"/>
  <c r="K60" i="2"/>
  <c r="H61" i="2"/>
  <c r="I61" i="2"/>
  <c r="J61" i="2"/>
  <c r="K61" i="2"/>
  <c r="H62" i="2"/>
  <c r="I62" i="2"/>
  <c r="J62" i="2"/>
  <c r="K62" i="2"/>
  <c r="H63" i="2"/>
  <c r="I63" i="2"/>
  <c r="J63" i="2"/>
  <c r="K63" i="2"/>
  <c r="H64" i="2"/>
  <c r="I64" i="2"/>
  <c r="J64" i="2"/>
  <c r="K64" i="2"/>
  <c r="H65" i="2"/>
  <c r="I65" i="2"/>
  <c r="J65" i="2"/>
  <c r="K65" i="2"/>
  <c r="H66" i="2"/>
  <c r="I66" i="2"/>
  <c r="J66" i="2"/>
  <c r="K66" i="2"/>
  <c r="H67" i="2"/>
  <c r="I67" i="2"/>
  <c r="J67" i="2"/>
  <c r="K67" i="2"/>
  <c r="H68" i="2"/>
  <c r="I68" i="2"/>
  <c r="J68" i="2"/>
  <c r="K68" i="2"/>
  <c r="H69" i="2"/>
  <c r="I69" i="2"/>
  <c r="J69" i="2"/>
  <c r="K69" i="2"/>
  <c r="H70" i="2"/>
  <c r="I70" i="2"/>
  <c r="J70" i="2"/>
  <c r="K70" i="2"/>
  <c r="H71" i="2"/>
  <c r="I71" i="2"/>
  <c r="J71" i="2"/>
  <c r="K71" i="2"/>
  <c r="H72" i="2"/>
  <c r="I72" i="2"/>
  <c r="J72" i="2"/>
  <c r="K72" i="2"/>
  <c r="H73" i="2"/>
  <c r="I73" i="2"/>
  <c r="J73" i="2"/>
  <c r="K73" i="2"/>
  <c r="H74" i="2"/>
  <c r="I74" i="2"/>
  <c r="J74" i="2"/>
  <c r="K74" i="2"/>
  <c r="H75" i="2"/>
  <c r="I75" i="2"/>
  <c r="J75" i="2"/>
  <c r="K75" i="2"/>
  <c r="I43" i="2"/>
  <c r="J43" i="2"/>
  <c r="K43" i="2"/>
  <c r="H43" i="2"/>
  <c r="C44" i="2"/>
  <c r="D44" i="2"/>
  <c r="E44" i="2"/>
  <c r="F44" i="2"/>
  <c r="C45" i="2"/>
  <c r="D45" i="2"/>
  <c r="E45" i="2"/>
  <c r="F45" i="2"/>
  <c r="C46" i="2"/>
  <c r="D46" i="2"/>
  <c r="E46" i="2"/>
  <c r="F46" i="2"/>
  <c r="C47" i="2"/>
  <c r="D47" i="2"/>
  <c r="E47" i="2"/>
  <c r="F47" i="2"/>
  <c r="C48" i="2"/>
  <c r="D48" i="2"/>
  <c r="E48" i="2"/>
  <c r="F48" i="2"/>
  <c r="C49" i="2"/>
  <c r="D49" i="2"/>
  <c r="E49" i="2"/>
  <c r="F49" i="2"/>
  <c r="C50" i="2"/>
  <c r="D50" i="2"/>
  <c r="E50" i="2"/>
  <c r="F50" i="2"/>
  <c r="C51" i="2"/>
  <c r="D51" i="2"/>
  <c r="E51" i="2"/>
  <c r="F51" i="2"/>
  <c r="C52" i="2"/>
  <c r="D52" i="2"/>
  <c r="E52" i="2"/>
  <c r="F52" i="2"/>
  <c r="C53" i="2"/>
  <c r="D53" i="2"/>
  <c r="E53" i="2"/>
  <c r="F53" i="2"/>
  <c r="C54" i="2"/>
  <c r="D54" i="2"/>
  <c r="E54" i="2"/>
  <c r="F54" i="2"/>
  <c r="C55" i="2"/>
  <c r="D55" i="2"/>
  <c r="E55" i="2"/>
  <c r="F55" i="2"/>
  <c r="C56" i="2"/>
  <c r="D56" i="2"/>
  <c r="E56" i="2"/>
  <c r="F56" i="2"/>
  <c r="C57" i="2"/>
  <c r="D57" i="2"/>
  <c r="E57" i="2"/>
  <c r="F57" i="2"/>
  <c r="C58" i="2"/>
  <c r="D58" i="2"/>
  <c r="E58" i="2"/>
  <c r="F58" i="2"/>
  <c r="C59" i="2"/>
  <c r="D59" i="2"/>
  <c r="E59" i="2"/>
  <c r="F59" i="2"/>
  <c r="C60" i="2"/>
  <c r="D60" i="2"/>
  <c r="E60" i="2"/>
  <c r="F60" i="2"/>
  <c r="C61" i="2"/>
  <c r="D61" i="2"/>
  <c r="E61" i="2"/>
  <c r="F61" i="2"/>
  <c r="C62" i="2"/>
  <c r="D62" i="2"/>
  <c r="E62" i="2"/>
  <c r="F62" i="2"/>
  <c r="C63" i="2"/>
  <c r="D63" i="2"/>
  <c r="E63" i="2"/>
  <c r="F63" i="2"/>
  <c r="C64" i="2"/>
  <c r="D64" i="2"/>
  <c r="E64" i="2"/>
  <c r="F64" i="2"/>
  <c r="C65" i="2"/>
  <c r="D65" i="2"/>
  <c r="E65" i="2"/>
  <c r="F65" i="2"/>
  <c r="C66" i="2"/>
  <c r="D66" i="2"/>
  <c r="E66" i="2"/>
  <c r="F66" i="2"/>
  <c r="C67" i="2"/>
  <c r="D67" i="2"/>
  <c r="E67" i="2"/>
  <c r="F67" i="2"/>
  <c r="C68" i="2"/>
  <c r="D68" i="2"/>
  <c r="E68" i="2"/>
  <c r="F68" i="2"/>
  <c r="C69" i="2"/>
  <c r="D69" i="2"/>
  <c r="E69" i="2"/>
  <c r="F69" i="2"/>
  <c r="C70" i="2"/>
  <c r="D70" i="2"/>
  <c r="E70" i="2"/>
  <c r="F70" i="2"/>
  <c r="C71" i="2"/>
  <c r="D71" i="2"/>
  <c r="E71" i="2"/>
  <c r="F71" i="2"/>
  <c r="C72" i="2"/>
  <c r="D72" i="2"/>
  <c r="E72" i="2"/>
  <c r="F72" i="2"/>
  <c r="C73" i="2"/>
  <c r="D73" i="2"/>
  <c r="E73" i="2"/>
  <c r="F73" i="2"/>
  <c r="C74" i="2"/>
  <c r="D74" i="2"/>
  <c r="E74" i="2"/>
  <c r="F74" i="2"/>
  <c r="C75" i="2"/>
  <c r="D75" i="2"/>
  <c r="E75" i="2"/>
  <c r="F75" i="2"/>
  <c r="D43" i="2"/>
  <c r="E43" i="2"/>
  <c r="F43" i="2"/>
  <c r="C43" i="2"/>
  <c r="N77" i="1"/>
  <c r="H77" i="1"/>
  <c r="J77" i="1"/>
  <c r="K77" i="1"/>
  <c r="L77" i="1"/>
  <c r="M77" i="1"/>
  <c r="I77" i="1"/>
  <c r="D77" i="1"/>
  <c r="E77" i="1"/>
  <c r="F77" i="1"/>
  <c r="G77" i="1"/>
  <c r="C77" i="1"/>
  <c r="C44" i="1"/>
  <c r="I45" i="1"/>
  <c r="J45" i="1"/>
  <c r="K45" i="1"/>
  <c r="L45" i="1"/>
  <c r="M45" i="1"/>
  <c r="I46" i="1"/>
  <c r="J46" i="1"/>
  <c r="K46" i="1"/>
  <c r="L46" i="1"/>
  <c r="M46" i="1"/>
  <c r="I47" i="1"/>
  <c r="J47" i="1"/>
  <c r="K47" i="1"/>
  <c r="L47" i="1"/>
  <c r="M47" i="1"/>
  <c r="I48" i="1"/>
  <c r="J48" i="1"/>
  <c r="K48" i="1"/>
  <c r="L48" i="1"/>
  <c r="M48" i="1"/>
  <c r="I49" i="1"/>
  <c r="J49" i="1"/>
  <c r="K49" i="1"/>
  <c r="L49" i="1"/>
  <c r="M49" i="1"/>
  <c r="I50" i="1"/>
  <c r="J50" i="1"/>
  <c r="K50" i="1"/>
  <c r="L50" i="1"/>
  <c r="M50" i="1"/>
  <c r="I51" i="1"/>
  <c r="J51" i="1"/>
  <c r="K51" i="1"/>
  <c r="L51" i="1"/>
  <c r="M51" i="1"/>
  <c r="I52" i="1"/>
  <c r="J52" i="1"/>
  <c r="K52" i="1"/>
  <c r="L52" i="1"/>
  <c r="M52" i="1"/>
  <c r="I53" i="1"/>
  <c r="J53" i="1"/>
  <c r="K53" i="1"/>
  <c r="L53" i="1"/>
  <c r="M53" i="1"/>
  <c r="I54" i="1"/>
  <c r="J54" i="1"/>
  <c r="K54" i="1"/>
  <c r="L54" i="1"/>
  <c r="M54" i="1"/>
  <c r="I55" i="1"/>
  <c r="J55" i="1"/>
  <c r="K55" i="1"/>
  <c r="L55" i="1"/>
  <c r="M55" i="1"/>
  <c r="I56" i="1"/>
  <c r="J56" i="1"/>
  <c r="K56" i="1"/>
  <c r="L56" i="1"/>
  <c r="M56" i="1"/>
  <c r="I57" i="1"/>
  <c r="J57" i="1"/>
  <c r="K57" i="1"/>
  <c r="L57" i="1"/>
  <c r="M57" i="1"/>
  <c r="I58" i="1"/>
  <c r="J58" i="1"/>
  <c r="K58" i="1"/>
  <c r="L58" i="1"/>
  <c r="M58" i="1"/>
  <c r="I59" i="1"/>
  <c r="J59" i="1"/>
  <c r="K59" i="1"/>
  <c r="L59" i="1"/>
  <c r="M59" i="1"/>
  <c r="I60" i="1"/>
  <c r="J60" i="1"/>
  <c r="K60" i="1"/>
  <c r="L60" i="1"/>
  <c r="M60" i="1"/>
  <c r="I61" i="1"/>
  <c r="J61" i="1"/>
  <c r="K61" i="1"/>
  <c r="L61" i="1"/>
  <c r="M61" i="1"/>
  <c r="I62" i="1"/>
  <c r="J62" i="1"/>
  <c r="K62" i="1"/>
  <c r="L62" i="1"/>
  <c r="M62" i="1"/>
  <c r="I63" i="1"/>
  <c r="J63" i="1"/>
  <c r="K63" i="1"/>
  <c r="L63" i="1"/>
  <c r="M63" i="1"/>
  <c r="I64" i="1"/>
  <c r="J64" i="1"/>
  <c r="K64" i="1"/>
  <c r="L64" i="1"/>
  <c r="M64" i="1"/>
  <c r="I65" i="1"/>
  <c r="J65" i="1"/>
  <c r="K65" i="1"/>
  <c r="L65" i="1"/>
  <c r="M65" i="1"/>
  <c r="I66" i="1"/>
  <c r="J66" i="1"/>
  <c r="K66" i="1"/>
  <c r="L66" i="1"/>
  <c r="M66" i="1"/>
  <c r="I67" i="1"/>
  <c r="J67" i="1"/>
  <c r="K67" i="1"/>
  <c r="L67" i="1"/>
  <c r="M67" i="1"/>
  <c r="I68" i="1"/>
  <c r="J68" i="1"/>
  <c r="K68" i="1"/>
  <c r="L68" i="1"/>
  <c r="M68" i="1"/>
  <c r="I69" i="1"/>
  <c r="J69" i="1"/>
  <c r="K69" i="1"/>
  <c r="L69" i="1"/>
  <c r="M69" i="1"/>
  <c r="I70" i="1"/>
  <c r="J70" i="1"/>
  <c r="K70" i="1"/>
  <c r="L70" i="1"/>
  <c r="M70" i="1"/>
  <c r="I71" i="1"/>
  <c r="J71" i="1"/>
  <c r="K71" i="1"/>
  <c r="L71" i="1"/>
  <c r="M71" i="1"/>
  <c r="I72" i="1"/>
  <c r="J72" i="1"/>
  <c r="K72" i="1"/>
  <c r="L72" i="1"/>
  <c r="M72" i="1"/>
  <c r="I73" i="1"/>
  <c r="J73" i="1"/>
  <c r="K73" i="1"/>
  <c r="L73" i="1"/>
  <c r="M73" i="1"/>
  <c r="I74" i="1"/>
  <c r="J74" i="1"/>
  <c r="K74" i="1"/>
  <c r="L74" i="1"/>
  <c r="M74" i="1"/>
  <c r="I75" i="1"/>
  <c r="J75" i="1"/>
  <c r="K75" i="1"/>
  <c r="L75" i="1"/>
  <c r="M75" i="1"/>
  <c r="I76" i="1"/>
  <c r="J76" i="1"/>
  <c r="K76" i="1"/>
  <c r="L76" i="1"/>
  <c r="M76" i="1"/>
  <c r="J44" i="1"/>
  <c r="K44" i="1"/>
  <c r="L44" i="1"/>
  <c r="M44" i="1"/>
  <c r="I44" i="1"/>
  <c r="C45" i="1"/>
  <c r="D45" i="1"/>
  <c r="E45" i="1"/>
  <c r="F45" i="1"/>
  <c r="G45" i="1"/>
  <c r="C46" i="1"/>
  <c r="D46" i="1"/>
  <c r="E46" i="1"/>
  <c r="F46" i="1"/>
  <c r="G46" i="1"/>
  <c r="C47" i="1"/>
  <c r="D47" i="1"/>
  <c r="E47" i="1"/>
  <c r="F47" i="1"/>
  <c r="G47" i="1"/>
  <c r="C48" i="1"/>
  <c r="D48" i="1"/>
  <c r="E48" i="1"/>
  <c r="F48" i="1"/>
  <c r="G48" i="1"/>
  <c r="C49" i="1"/>
  <c r="D49" i="1"/>
  <c r="E49" i="1"/>
  <c r="F49" i="1"/>
  <c r="G49" i="1"/>
  <c r="C50" i="1"/>
  <c r="D50" i="1"/>
  <c r="E50" i="1"/>
  <c r="F50" i="1"/>
  <c r="G50" i="1"/>
  <c r="C51" i="1"/>
  <c r="D51" i="1"/>
  <c r="E51" i="1"/>
  <c r="F51" i="1"/>
  <c r="G51" i="1"/>
  <c r="C52" i="1"/>
  <c r="D52" i="1"/>
  <c r="E52" i="1"/>
  <c r="F52" i="1"/>
  <c r="G52" i="1"/>
  <c r="C53" i="1"/>
  <c r="D53" i="1"/>
  <c r="E53" i="1"/>
  <c r="F53" i="1"/>
  <c r="G53" i="1"/>
  <c r="C54" i="1"/>
  <c r="D54" i="1"/>
  <c r="E54" i="1"/>
  <c r="F54" i="1"/>
  <c r="G54" i="1"/>
  <c r="C55" i="1"/>
  <c r="D55" i="1"/>
  <c r="E55" i="1"/>
  <c r="F55" i="1"/>
  <c r="G55" i="1"/>
  <c r="C56" i="1"/>
  <c r="D56" i="1"/>
  <c r="E56" i="1"/>
  <c r="F56" i="1"/>
  <c r="G56" i="1"/>
  <c r="C57" i="1"/>
  <c r="D57" i="1"/>
  <c r="E57" i="1"/>
  <c r="F57" i="1"/>
  <c r="G57" i="1"/>
  <c r="C58" i="1"/>
  <c r="D58" i="1"/>
  <c r="E58" i="1"/>
  <c r="F58" i="1"/>
  <c r="G58" i="1"/>
  <c r="C59" i="1"/>
  <c r="D59" i="1"/>
  <c r="E59" i="1"/>
  <c r="F59" i="1"/>
  <c r="G59" i="1"/>
  <c r="C60" i="1"/>
  <c r="D60" i="1"/>
  <c r="E60" i="1"/>
  <c r="F60" i="1"/>
  <c r="G60" i="1"/>
  <c r="C61" i="1"/>
  <c r="D61" i="1"/>
  <c r="E61" i="1"/>
  <c r="F61" i="1"/>
  <c r="G61" i="1"/>
  <c r="C62" i="1"/>
  <c r="D62" i="1"/>
  <c r="E62" i="1"/>
  <c r="F62" i="1"/>
  <c r="G62" i="1"/>
  <c r="C63" i="1"/>
  <c r="D63" i="1"/>
  <c r="E63" i="1"/>
  <c r="F63" i="1"/>
  <c r="G63" i="1"/>
  <c r="C64" i="1"/>
  <c r="D64" i="1"/>
  <c r="E64" i="1"/>
  <c r="F64" i="1"/>
  <c r="G64" i="1"/>
  <c r="C65" i="1"/>
  <c r="D65" i="1"/>
  <c r="E65" i="1"/>
  <c r="F65" i="1"/>
  <c r="G65" i="1"/>
  <c r="C66" i="1"/>
  <c r="D66" i="1"/>
  <c r="E66" i="1"/>
  <c r="F66" i="1"/>
  <c r="G66" i="1"/>
  <c r="C67" i="1"/>
  <c r="D67" i="1"/>
  <c r="E67" i="1"/>
  <c r="F67" i="1"/>
  <c r="G67" i="1"/>
  <c r="C68" i="1"/>
  <c r="D68" i="1"/>
  <c r="E68" i="1"/>
  <c r="F68" i="1"/>
  <c r="G68" i="1"/>
  <c r="C69" i="1"/>
  <c r="D69" i="1"/>
  <c r="E69" i="1"/>
  <c r="F69" i="1"/>
  <c r="G69" i="1"/>
  <c r="C70" i="1"/>
  <c r="D70" i="1"/>
  <c r="E70" i="1"/>
  <c r="F70" i="1"/>
  <c r="G70" i="1"/>
  <c r="C71" i="1"/>
  <c r="D71" i="1"/>
  <c r="E71" i="1"/>
  <c r="F71" i="1"/>
  <c r="G71" i="1"/>
  <c r="C72" i="1"/>
  <c r="D72" i="1"/>
  <c r="E72" i="1"/>
  <c r="F72" i="1"/>
  <c r="G72" i="1"/>
  <c r="C73" i="1"/>
  <c r="D73" i="1"/>
  <c r="E73" i="1"/>
  <c r="F73" i="1"/>
  <c r="G73" i="1"/>
  <c r="C74" i="1"/>
  <c r="D74" i="1"/>
  <c r="E74" i="1"/>
  <c r="F74" i="1"/>
  <c r="G74" i="1"/>
  <c r="C75" i="1"/>
  <c r="D75" i="1"/>
  <c r="E75" i="1"/>
  <c r="F75" i="1"/>
  <c r="G75" i="1"/>
  <c r="C76" i="1"/>
  <c r="D76" i="1"/>
  <c r="E76" i="1"/>
  <c r="F76" i="1"/>
  <c r="G76" i="1"/>
  <c r="D44" i="1"/>
  <c r="E44" i="1"/>
  <c r="F44" i="1"/>
  <c r="G44" i="1"/>
  <c r="N37" i="2"/>
  <c r="M37" i="2"/>
  <c r="L37" i="2"/>
  <c r="K37" i="2"/>
  <c r="J37" i="2"/>
  <c r="I37" i="2"/>
  <c r="H37" i="2"/>
  <c r="G37" i="2"/>
  <c r="F37" i="2"/>
  <c r="E37" i="2"/>
  <c r="D37" i="2"/>
  <c r="C37" i="2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</calcChain>
</file>

<file path=xl/sharedStrings.xml><?xml version="1.0" encoding="utf-8"?>
<sst xmlns="http://schemas.openxmlformats.org/spreadsheetml/2006/main" count="115" uniqueCount="24">
  <si>
    <t>image</t>
  </si>
  <si>
    <t>Pre-alignement</t>
  </si>
  <si>
    <t>Post-alignement</t>
  </si>
  <si>
    <t>Color correction</t>
  </si>
  <si>
    <t>Color classification</t>
  </si>
  <si>
    <t>9_mini_clot/Col_clust</t>
  </si>
  <si>
    <t>#d86c3b</t>
  </si>
  <si>
    <t>#f68c84</t>
  </si>
  <si>
    <t>#f6b354</t>
  </si>
  <si>
    <t>#fabfb4</t>
  </si>
  <si>
    <t>#fffcf9</t>
  </si>
  <si>
    <t>Total</t>
  </si>
  <si>
    <t>Error  (percentage)</t>
  </si>
  <si>
    <t>MSPE</t>
  </si>
  <si>
    <t>9_mini_clot</t>
  </si>
  <si>
    <t>#e28a27</t>
  </si>
  <si>
    <t>#efc5c4</t>
  </si>
  <si>
    <t>#fe847f</t>
  </si>
  <si>
    <t>#fff472</t>
  </si>
  <si>
    <t>#fffaf5</t>
  </si>
  <si>
    <t>9_mini_clot/Col_class</t>
  </si>
  <si>
    <t>#d76c3a</t>
  </si>
  <si>
    <t>#fabeb3</t>
  </si>
  <si>
    <t>#ffffff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</si>
</sst>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76C3A"/>
      </patternFill>
    </fill>
    <fill>
      <patternFill patternType="solid">
        <fgColor rgb="FFF6B354"/>
      </patternFill>
    </fill>
    <fill>
      <patternFill patternType="solid">
        <fgColor rgb="FFFABEB3"/>
      </patternFill>
    </fill>
    <fill>
      <patternFill patternType="solid">
        <fgColor rgb="FFFFFFFF"/>
      </patternFill>
    </fill>
    <fill>
      <patternFill patternType="solid">
        <fgColor rgb="FFD86C3B"/>
      </patternFill>
    </fill>
    <fill>
      <patternFill patternType="solid">
        <fgColor rgb="FFF68C84"/>
      </patternFill>
    </fill>
    <fill>
      <patternFill patternType="solid">
        <fgColor rgb="FFFABFB4"/>
      </patternFill>
    </fill>
    <fill>
      <patternFill patternType="solid">
        <fgColor rgb="FFFFFCF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8A27"/>
        <bgColor indexed="64"/>
      </patternFill>
    </fill>
    <fill>
      <patternFill patternType="solid">
        <fgColor rgb="FFEFC5C4"/>
        <bgColor indexed="64"/>
      </patternFill>
    </fill>
    <fill>
      <patternFill patternType="solid">
        <fgColor rgb="FFFE847F"/>
        <bgColor indexed="64"/>
      </patternFill>
    </fill>
    <fill>
      <patternFill patternType="solid">
        <fgColor rgb="FFFFF472"/>
        <bgColor indexed="64"/>
      </patternFill>
    </fill>
    <fill>
      <patternFill patternType="solid">
        <fgColor rgb="FFFFFAF5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2" fillId="10" borderId="2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 textRotation="90"/>
    </xf>
    <xf numFmtId="0" fontId="2" fillId="10" borderId="8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 textRotation="90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 textRotation="90"/>
    </xf>
    <xf numFmtId="0" fontId="2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/>
    </xf>
    <xf numFmtId="0" fontId="0" fillId="10" borderId="21" xfId="0" applyFill="1" applyBorder="1"/>
    <xf numFmtId="0" fontId="0" fillId="9" borderId="17" xfId="0" applyFill="1" applyBorder="1" applyAlignment="1">
      <alignment horizontal="center" vertical="center"/>
    </xf>
    <xf numFmtId="0" fontId="0" fillId="10" borderId="22" xfId="0" applyFill="1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 textRotation="90"/>
    </xf>
    <xf numFmtId="0" fontId="2" fillId="10" borderId="6" xfId="0" applyFont="1" applyFill="1" applyBorder="1" applyAlignment="1">
      <alignment horizontal="center" vertical="center" textRotation="90"/>
    </xf>
    <xf numFmtId="0" fontId="2" fillId="10" borderId="24" xfId="0" applyFont="1" applyFill="1" applyBorder="1" applyAlignment="1">
      <alignment horizontal="center" vertical="center"/>
    </xf>
    <xf numFmtId="0" fontId="0" fillId="0" borderId="25" xfId="0" applyBorder="1"/>
    <xf numFmtId="0" fontId="2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0" fontId="0" fillId="0" borderId="25" xfId="0" applyFill="1" applyBorder="1"/>
    <xf numFmtId="0" fontId="0" fillId="10" borderId="21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2" borderId="20" xfId="0" applyFill="1" applyBorder="1"/>
    <xf numFmtId="0" fontId="0" fillId="3" borderId="17" xfId="0" applyFill="1" applyBorder="1"/>
    <xf numFmtId="0" fontId="0" fillId="4" borderId="17" xfId="0" applyFill="1" applyBorder="1"/>
    <xf numFmtId="0" fontId="0" fillId="5" borderId="17" xfId="0" applyFill="1" applyBorder="1"/>
    <xf numFmtId="0" fontId="0" fillId="2" borderId="17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11" borderId="0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3" fillId="11" borderId="21" xfId="0" applyFont="1" applyFill="1" applyBorder="1" applyAlignment="1">
      <alignment horizontal="center" vertical="center"/>
    </xf>
    <xf numFmtId="0" fontId="4" fillId="13" borderId="17" xfId="0" applyFont="1" applyFill="1" applyBorder="1" applyAlignment="1">
      <alignment horizontal="center" vertical="center"/>
    </xf>
    <xf numFmtId="0" fontId="4" fillId="14" borderId="17" xfId="0" applyFont="1" applyFill="1" applyBorder="1" applyAlignment="1">
      <alignment horizontal="center" vertical="center"/>
    </xf>
    <xf numFmtId="0" fontId="4" fillId="15" borderId="17" xfId="0" applyFont="1" applyFill="1" applyBorder="1" applyAlignment="1">
      <alignment horizontal="center" vertical="center"/>
    </xf>
    <xf numFmtId="0" fontId="4" fillId="12" borderId="17" xfId="0" applyFont="1" applyFill="1" applyBorder="1" applyAlignment="1">
      <alignment horizontal="center" vertical="center"/>
    </xf>
    <xf numFmtId="0" fontId="4" fillId="16" borderId="19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 textRotation="90"/>
    </xf>
    <xf numFmtId="0" fontId="3" fillId="11" borderId="4" xfId="0" applyFont="1" applyFill="1" applyBorder="1" applyAlignment="1">
      <alignment horizontal="center" vertical="center" textRotation="90"/>
    </xf>
    <xf numFmtId="0" fontId="3" fillId="11" borderId="6" xfId="0" applyFont="1" applyFill="1" applyBorder="1" applyAlignment="1">
      <alignment horizontal="center" vertical="center" textRotation="90"/>
    </xf>
    <xf numFmtId="0" fontId="4" fillId="0" borderId="0" xfId="0" applyFont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4" fillId="12" borderId="20" xfId="0" applyFont="1" applyFill="1" applyBorder="1" applyAlignment="1">
      <alignment horizontal="center" vertical="center"/>
    </xf>
    <xf numFmtId="0" fontId="4" fillId="16" borderId="18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16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opLeftCell="A58" workbookViewId="0">
      <selection activeCell="A41" sqref="A41:N77"/>
    </sheetView>
  </sheetViews>
  <sheetFormatPr defaultRowHeight="15"/>
  <sheetData>
    <row r="1" spans="1:17">
      <c r="A1" s="7"/>
      <c r="B1" s="8" t="s">
        <v>0</v>
      </c>
      <c r="C1" s="9" t="s">
        <v>1</v>
      </c>
      <c r="D1" s="9"/>
      <c r="E1" s="9"/>
      <c r="F1" s="9"/>
      <c r="G1" s="10"/>
      <c r="H1" s="9" t="s">
        <v>2</v>
      </c>
      <c r="I1" s="9"/>
      <c r="J1" s="9"/>
      <c r="K1" s="9"/>
      <c r="L1" s="9"/>
      <c r="M1" s="9"/>
      <c r="N1" s="9"/>
      <c r="O1" s="9"/>
      <c r="P1" s="9"/>
      <c r="Q1" s="10"/>
    </row>
    <row r="2" spans="1:17">
      <c r="A2" s="7"/>
      <c r="B2" s="11"/>
      <c r="C2" s="12"/>
      <c r="D2" s="12"/>
      <c r="E2" s="12"/>
      <c r="F2" s="12"/>
      <c r="G2" s="13"/>
      <c r="H2" s="12" t="s">
        <v>3</v>
      </c>
      <c r="I2" s="12"/>
      <c r="J2" s="12"/>
      <c r="K2" s="12"/>
      <c r="L2" s="14"/>
      <c r="M2" s="12" t="s">
        <v>4</v>
      </c>
      <c r="N2" s="12"/>
      <c r="O2" s="12"/>
      <c r="P2" s="12"/>
      <c r="Q2" s="13"/>
    </row>
    <row r="3" spans="1:17">
      <c r="A3" s="15" t="s">
        <v>5</v>
      </c>
      <c r="B3" s="16"/>
      <c r="C3" s="28" t="s">
        <v>6</v>
      </c>
      <c r="D3" s="29" t="s">
        <v>7</v>
      </c>
      <c r="E3" s="30" t="s">
        <v>8</v>
      </c>
      <c r="F3" s="31" t="s">
        <v>9</v>
      </c>
      <c r="G3" s="32" t="s">
        <v>10</v>
      </c>
      <c r="H3" s="28" t="s">
        <v>6</v>
      </c>
      <c r="I3" s="29" t="s">
        <v>7</v>
      </c>
      <c r="J3" s="30" t="s">
        <v>8</v>
      </c>
      <c r="K3" s="31" t="s">
        <v>9</v>
      </c>
      <c r="L3" s="33" t="s">
        <v>10</v>
      </c>
      <c r="M3" s="28" t="s">
        <v>6</v>
      </c>
      <c r="N3" s="29" t="s">
        <v>7</v>
      </c>
      <c r="O3" s="30" t="s">
        <v>8</v>
      </c>
      <c r="P3" s="31" t="s">
        <v>9</v>
      </c>
      <c r="Q3" s="32" t="s">
        <v>10</v>
      </c>
    </row>
    <row r="4" spans="1:17">
      <c r="A4" s="17"/>
      <c r="B4" s="18">
        <v>0</v>
      </c>
      <c r="C4" s="19">
        <v>38016</v>
      </c>
      <c r="D4" s="18">
        <v>71299</v>
      </c>
      <c r="E4" s="18">
        <v>12036</v>
      </c>
      <c r="F4" s="18">
        <v>29955</v>
      </c>
      <c r="G4" s="20">
        <v>243434</v>
      </c>
      <c r="H4" s="18">
        <v>38016</v>
      </c>
      <c r="I4" s="18">
        <v>71299</v>
      </c>
      <c r="J4" s="18">
        <v>12036</v>
      </c>
      <c r="K4" s="18">
        <v>29955</v>
      </c>
      <c r="L4" s="21">
        <v>243434</v>
      </c>
      <c r="M4" s="18">
        <v>38016</v>
      </c>
      <c r="N4" s="18">
        <v>71299</v>
      </c>
      <c r="O4" s="18">
        <v>12036</v>
      </c>
      <c r="P4" s="18">
        <v>29955</v>
      </c>
      <c r="Q4" s="20">
        <v>243434</v>
      </c>
    </row>
    <row r="5" spans="1:17">
      <c r="A5" s="17"/>
      <c r="B5" s="18">
        <v>1</v>
      </c>
      <c r="C5" s="19">
        <v>10503</v>
      </c>
      <c r="D5" s="18">
        <v>63508</v>
      </c>
      <c r="E5" s="18">
        <v>14221</v>
      </c>
      <c r="F5" s="18">
        <v>56426</v>
      </c>
      <c r="G5" s="20">
        <v>250082</v>
      </c>
      <c r="H5" s="18">
        <v>12733</v>
      </c>
      <c r="I5" s="18">
        <v>48964</v>
      </c>
      <c r="J5" s="18">
        <v>37945</v>
      </c>
      <c r="K5" s="18">
        <v>9931</v>
      </c>
      <c r="L5" s="21">
        <v>285167</v>
      </c>
      <c r="M5" s="18">
        <v>8351</v>
      </c>
      <c r="N5" s="18">
        <v>67392</v>
      </c>
      <c r="O5" s="18">
        <v>13811</v>
      </c>
      <c r="P5" s="18">
        <v>57039</v>
      </c>
      <c r="Q5" s="20">
        <v>248147</v>
      </c>
    </row>
    <row r="6" spans="1:17">
      <c r="A6" s="17"/>
      <c r="B6" s="18">
        <v>2</v>
      </c>
      <c r="C6" s="19">
        <v>5266</v>
      </c>
      <c r="D6" s="18">
        <v>69433</v>
      </c>
      <c r="E6" s="18">
        <v>24133</v>
      </c>
      <c r="F6" s="18">
        <v>55847</v>
      </c>
      <c r="G6" s="20">
        <v>240061</v>
      </c>
      <c r="H6" s="18">
        <v>10100</v>
      </c>
      <c r="I6" s="18">
        <v>42012</v>
      </c>
      <c r="J6" s="18">
        <v>64503</v>
      </c>
      <c r="K6" s="18">
        <v>6894</v>
      </c>
      <c r="L6" s="21">
        <v>271231</v>
      </c>
      <c r="M6" s="18">
        <v>4637</v>
      </c>
      <c r="N6" s="18">
        <v>71456</v>
      </c>
      <c r="O6" s="18">
        <v>23605</v>
      </c>
      <c r="P6" s="18">
        <v>55719</v>
      </c>
      <c r="Q6" s="20">
        <v>239323</v>
      </c>
    </row>
    <row r="7" spans="1:17">
      <c r="A7" s="17"/>
      <c r="B7" s="18">
        <v>3</v>
      </c>
      <c r="C7" s="19">
        <v>6368</v>
      </c>
      <c r="D7" s="18">
        <v>44237</v>
      </c>
      <c r="E7" s="18">
        <v>16493</v>
      </c>
      <c r="F7" s="18">
        <v>78032</v>
      </c>
      <c r="G7" s="20">
        <v>249610</v>
      </c>
      <c r="H7" s="18">
        <v>6682</v>
      </c>
      <c r="I7" s="18">
        <v>26455</v>
      </c>
      <c r="J7" s="18">
        <v>47583</v>
      </c>
      <c r="K7" s="18">
        <v>21612</v>
      </c>
      <c r="L7" s="21">
        <v>292408</v>
      </c>
      <c r="M7" s="18">
        <v>5174</v>
      </c>
      <c r="N7" s="18">
        <v>46854</v>
      </c>
      <c r="O7" s="18">
        <v>15853</v>
      </c>
      <c r="P7" s="18">
        <v>78899</v>
      </c>
      <c r="Q7" s="20">
        <v>247960</v>
      </c>
    </row>
    <row r="8" spans="1:17">
      <c r="A8" s="17"/>
      <c r="B8" s="18">
        <v>4</v>
      </c>
      <c r="C8" s="19">
        <v>6427</v>
      </c>
      <c r="D8" s="18">
        <v>61394</v>
      </c>
      <c r="E8" s="18">
        <v>20600</v>
      </c>
      <c r="F8" s="18">
        <v>69791</v>
      </c>
      <c r="G8" s="20">
        <v>236528</v>
      </c>
      <c r="H8" s="18">
        <v>3575</v>
      </c>
      <c r="I8" s="18">
        <v>61469</v>
      </c>
      <c r="J8" s="18">
        <v>52151</v>
      </c>
      <c r="K8" s="18">
        <v>15242</v>
      </c>
      <c r="L8" s="21">
        <v>262303</v>
      </c>
      <c r="M8" s="18">
        <v>5001</v>
      </c>
      <c r="N8" s="18">
        <v>64390</v>
      </c>
      <c r="O8" s="18">
        <v>20268</v>
      </c>
      <c r="P8" s="18">
        <v>69603</v>
      </c>
      <c r="Q8" s="20">
        <v>235478</v>
      </c>
    </row>
    <row r="9" spans="1:17">
      <c r="A9" s="17"/>
      <c r="B9" s="18">
        <v>5</v>
      </c>
      <c r="C9" s="19">
        <v>13720</v>
      </c>
      <c r="D9" s="18">
        <v>56919</v>
      </c>
      <c r="E9" s="18">
        <v>14137</v>
      </c>
      <c r="F9" s="18">
        <v>56109</v>
      </c>
      <c r="G9" s="20">
        <v>253855</v>
      </c>
      <c r="H9" s="18">
        <v>18763</v>
      </c>
      <c r="I9" s="18">
        <v>58782</v>
      </c>
      <c r="J9" s="18">
        <v>28164</v>
      </c>
      <c r="K9" s="18">
        <v>18239</v>
      </c>
      <c r="L9" s="21">
        <v>270792</v>
      </c>
      <c r="M9" s="18">
        <v>11302</v>
      </c>
      <c r="N9" s="18">
        <v>61814</v>
      </c>
      <c r="O9" s="18">
        <v>13973</v>
      </c>
      <c r="P9" s="18">
        <v>56953</v>
      </c>
      <c r="Q9" s="20">
        <v>250698</v>
      </c>
    </row>
    <row r="10" spans="1:17">
      <c r="A10" s="17"/>
      <c r="B10" s="18">
        <v>6</v>
      </c>
      <c r="C10" s="19">
        <v>14816</v>
      </c>
      <c r="D10" s="18">
        <v>68756</v>
      </c>
      <c r="E10" s="18">
        <v>12373</v>
      </c>
      <c r="F10" s="18">
        <v>56067</v>
      </c>
      <c r="G10" s="20">
        <v>242728</v>
      </c>
      <c r="H10" s="18">
        <v>19880</v>
      </c>
      <c r="I10" s="18">
        <v>69484</v>
      </c>
      <c r="J10" s="18">
        <v>28315</v>
      </c>
      <c r="K10" s="18">
        <v>12696</v>
      </c>
      <c r="L10" s="21">
        <v>264365</v>
      </c>
      <c r="M10" s="18">
        <v>12669</v>
      </c>
      <c r="N10" s="18">
        <v>73450</v>
      </c>
      <c r="O10" s="18">
        <v>12272</v>
      </c>
      <c r="P10" s="18">
        <v>54869</v>
      </c>
      <c r="Q10" s="20">
        <v>241480</v>
      </c>
    </row>
    <row r="11" spans="1:17">
      <c r="A11" s="17"/>
      <c r="B11" s="18">
        <v>7</v>
      </c>
      <c r="C11" s="19">
        <v>10297</v>
      </c>
      <c r="D11" s="18">
        <v>51300</v>
      </c>
      <c r="E11" s="18">
        <v>15075</v>
      </c>
      <c r="F11" s="18">
        <v>69096</v>
      </c>
      <c r="G11" s="20">
        <v>248972</v>
      </c>
      <c r="H11" s="18">
        <v>13438</v>
      </c>
      <c r="I11" s="18">
        <v>51140</v>
      </c>
      <c r="J11" s="18">
        <v>35127</v>
      </c>
      <c r="K11" s="18">
        <v>19454</v>
      </c>
      <c r="L11" s="21">
        <v>275581</v>
      </c>
      <c r="M11" s="18">
        <v>7954</v>
      </c>
      <c r="N11" s="18">
        <v>54567</v>
      </c>
      <c r="O11" s="18">
        <v>14687</v>
      </c>
      <c r="P11" s="18">
        <v>71511</v>
      </c>
      <c r="Q11" s="20">
        <v>246021</v>
      </c>
    </row>
    <row r="12" spans="1:17">
      <c r="A12" s="17"/>
      <c r="B12" s="18">
        <v>8</v>
      </c>
      <c r="C12" s="19">
        <v>13301</v>
      </c>
      <c r="D12" s="18">
        <v>43286</v>
      </c>
      <c r="E12" s="18">
        <v>9812</v>
      </c>
      <c r="F12" s="18">
        <v>57831</v>
      </c>
      <c r="G12" s="20">
        <v>270510</v>
      </c>
      <c r="H12" s="18">
        <v>18807</v>
      </c>
      <c r="I12" s="18">
        <v>40930</v>
      </c>
      <c r="J12" s="18">
        <v>18408</v>
      </c>
      <c r="K12" s="18">
        <v>19017</v>
      </c>
      <c r="L12" s="21">
        <v>297578</v>
      </c>
      <c r="M12" s="18">
        <v>10222</v>
      </c>
      <c r="N12" s="18">
        <v>47166</v>
      </c>
      <c r="O12" s="18">
        <v>9607</v>
      </c>
      <c r="P12" s="18">
        <v>61406</v>
      </c>
      <c r="Q12" s="20">
        <v>266339</v>
      </c>
    </row>
    <row r="13" spans="1:17">
      <c r="A13" s="17"/>
      <c r="B13" s="18">
        <v>9</v>
      </c>
      <c r="C13" s="19">
        <v>26039</v>
      </c>
      <c r="D13" s="18">
        <v>82258</v>
      </c>
      <c r="E13" s="18">
        <v>19679</v>
      </c>
      <c r="F13" s="18">
        <v>42772</v>
      </c>
      <c r="G13" s="20">
        <v>223992</v>
      </c>
      <c r="H13" s="18">
        <v>44692</v>
      </c>
      <c r="I13" s="18">
        <v>49138</v>
      </c>
      <c r="J13" s="18">
        <v>40234</v>
      </c>
      <c r="K13" s="18">
        <v>7432</v>
      </c>
      <c r="L13" s="21">
        <v>253244</v>
      </c>
      <c r="M13" s="18">
        <v>23401</v>
      </c>
      <c r="N13" s="18">
        <v>87527</v>
      </c>
      <c r="O13" s="18">
        <v>19463</v>
      </c>
      <c r="P13" s="18">
        <v>41516</v>
      </c>
      <c r="Q13" s="20">
        <v>222833</v>
      </c>
    </row>
    <row r="14" spans="1:17">
      <c r="A14" s="17"/>
      <c r="B14" s="18">
        <v>10</v>
      </c>
      <c r="C14" s="19">
        <v>28355</v>
      </c>
      <c r="D14" s="18">
        <v>89391</v>
      </c>
      <c r="E14" s="18">
        <v>20250</v>
      </c>
      <c r="F14" s="18">
        <v>36655</v>
      </c>
      <c r="G14" s="20">
        <v>220089</v>
      </c>
      <c r="H14" s="18">
        <v>54659</v>
      </c>
      <c r="I14" s="18">
        <v>54721</v>
      </c>
      <c r="J14" s="18">
        <v>35147</v>
      </c>
      <c r="K14" s="18">
        <v>6850</v>
      </c>
      <c r="L14" s="21">
        <v>243363</v>
      </c>
      <c r="M14" s="18">
        <v>26357</v>
      </c>
      <c r="N14" s="18">
        <v>94101</v>
      </c>
      <c r="O14" s="18">
        <v>19812</v>
      </c>
      <c r="P14" s="18">
        <v>34931</v>
      </c>
      <c r="Q14" s="20">
        <v>219539</v>
      </c>
    </row>
    <row r="15" spans="1:17">
      <c r="A15" s="17"/>
      <c r="B15" s="18">
        <v>11</v>
      </c>
      <c r="C15" s="19">
        <v>62892</v>
      </c>
      <c r="D15" s="18">
        <v>75298</v>
      </c>
      <c r="E15" s="18">
        <v>14434</v>
      </c>
      <c r="F15" s="18">
        <v>23003</v>
      </c>
      <c r="G15" s="20">
        <v>219113</v>
      </c>
      <c r="H15" s="18">
        <v>121498</v>
      </c>
      <c r="I15" s="18">
        <v>26075</v>
      </c>
      <c r="J15" s="18">
        <v>8277</v>
      </c>
      <c r="K15" s="18">
        <v>4010</v>
      </c>
      <c r="L15" s="21">
        <v>234880</v>
      </c>
      <c r="M15" s="18">
        <v>61771</v>
      </c>
      <c r="N15" s="18">
        <v>79712</v>
      </c>
      <c r="O15" s="18">
        <v>13542</v>
      </c>
      <c r="P15" s="18">
        <v>21378</v>
      </c>
      <c r="Q15" s="20">
        <v>218337</v>
      </c>
    </row>
    <row r="16" spans="1:17">
      <c r="A16" s="17"/>
      <c r="B16" s="18">
        <v>12</v>
      </c>
      <c r="C16" s="19">
        <v>15716</v>
      </c>
      <c r="D16" s="18">
        <v>54290</v>
      </c>
      <c r="E16" s="18">
        <v>33221</v>
      </c>
      <c r="F16" s="18">
        <v>57626</v>
      </c>
      <c r="G16" s="20">
        <v>233887</v>
      </c>
      <c r="H16" s="18">
        <v>17808</v>
      </c>
      <c r="I16" s="18">
        <v>39700</v>
      </c>
      <c r="J16" s="18">
        <v>72391</v>
      </c>
      <c r="K16" s="18">
        <v>12395</v>
      </c>
      <c r="L16" s="21">
        <v>252446</v>
      </c>
      <c r="M16" s="18">
        <v>12535</v>
      </c>
      <c r="N16" s="18">
        <v>59584</v>
      </c>
      <c r="O16" s="18">
        <v>33191</v>
      </c>
      <c r="P16" s="18">
        <v>57822</v>
      </c>
      <c r="Q16" s="20">
        <v>231608</v>
      </c>
    </row>
    <row r="17" spans="1:17">
      <c r="A17" s="17"/>
      <c r="B17" s="18">
        <v>13</v>
      </c>
      <c r="C17" s="19">
        <v>72499</v>
      </c>
      <c r="D17" s="18">
        <v>68735</v>
      </c>
      <c r="E17" s="18">
        <v>13708</v>
      </c>
      <c r="F17" s="18">
        <v>19314</v>
      </c>
      <c r="G17" s="20">
        <v>220484</v>
      </c>
      <c r="H17" s="18">
        <v>138854</v>
      </c>
      <c r="I17" s="18">
        <v>17954</v>
      </c>
      <c r="J17" s="18">
        <v>6230</v>
      </c>
      <c r="K17" s="18">
        <v>1601</v>
      </c>
      <c r="L17" s="21">
        <v>230101</v>
      </c>
      <c r="M17" s="18">
        <v>71096</v>
      </c>
      <c r="N17" s="18">
        <v>73417</v>
      </c>
      <c r="O17" s="18">
        <v>12916</v>
      </c>
      <c r="P17" s="18">
        <v>18220</v>
      </c>
      <c r="Q17" s="20">
        <v>219091</v>
      </c>
    </row>
    <row r="18" spans="1:17">
      <c r="A18" s="17"/>
      <c r="B18" s="18">
        <v>14</v>
      </c>
      <c r="C18" s="19">
        <v>61168</v>
      </c>
      <c r="D18" s="18">
        <v>66443</v>
      </c>
      <c r="E18" s="18">
        <v>15981</v>
      </c>
      <c r="F18" s="18">
        <v>28829</v>
      </c>
      <c r="G18" s="20">
        <v>222319</v>
      </c>
      <c r="H18" s="18">
        <v>124192</v>
      </c>
      <c r="I18" s="18">
        <v>22219</v>
      </c>
      <c r="J18" s="18">
        <v>9814</v>
      </c>
      <c r="K18" s="18">
        <v>3749</v>
      </c>
      <c r="L18" s="21">
        <v>234766</v>
      </c>
      <c r="M18" s="18">
        <v>57646</v>
      </c>
      <c r="N18" s="18">
        <v>74409</v>
      </c>
      <c r="O18" s="18">
        <v>15293</v>
      </c>
      <c r="P18" s="18">
        <v>26959</v>
      </c>
      <c r="Q18" s="20">
        <v>220433</v>
      </c>
    </row>
    <row r="19" spans="1:17">
      <c r="A19" s="17"/>
      <c r="B19" s="18">
        <v>15</v>
      </c>
      <c r="C19" s="19">
        <v>7566</v>
      </c>
      <c r="D19" s="18">
        <v>10725</v>
      </c>
      <c r="E19" s="18">
        <v>18229</v>
      </c>
      <c r="F19" s="18">
        <v>23554</v>
      </c>
      <c r="G19" s="20">
        <v>334666</v>
      </c>
      <c r="H19" s="18">
        <v>7426</v>
      </c>
      <c r="I19" s="18">
        <v>13101</v>
      </c>
      <c r="J19" s="18">
        <v>24699</v>
      </c>
      <c r="K19" s="18">
        <v>14105</v>
      </c>
      <c r="L19" s="21">
        <v>335409</v>
      </c>
      <c r="M19" s="18">
        <v>6150</v>
      </c>
      <c r="N19" s="18">
        <v>12558</v>
      </c>
      <c r="O19" s="18">
        <v>17671</v>
      </c>
      <c r="P19" s="18">
        <v>24981</v>
      </c>
      <c r="Q19" s="20">
        <v>333380</v>
      </c>
    </row>
    <row r="20" spans="1:17">
      <c r="A20" s="17"/>
      <c r="B20" s="18">
        <v>16</v>
      </c>
      <c r="C20" s="19">
        <v>53189</v>
      </c>
      <c r="D20" s="18">
        <v>60003</v>
      </c>
      <c r="E20" s="18">
        <v>21129</v>
      </c>
      <c r="F20" s="18">
        <v>22723</v>
      </c>
      <c r="G20" s="20">
        <v>237696</v>
      </c>
      <c r="H20" s="18">
        <v>104504</v>
      </c>
      <c r="I20" s="18">
        <v>13837</v>
      </c>
      <c r="J20" s="18">
        <v>24245</v>
      </c>
      <c r="K20" s="18">
        <v>1701</v>
      </c>
      <c r="L20" s="21">
        <v>250453</v>
      </c>
      <c r="M20" s="18">
        <v>51121</v>
      </c>
      <c r="N20" s="18">
        <v>64658</v>
      </c>
      <c r="O20" s="18">
        <v>20605</v>
      </c>
      <c r="P20" s="18">
        <v>22049</v>
      </c>
      <c r="Q20" s="20">
        <v>236307</v>
      </c>
    </row>
    <row r="21" spans="1:17">
      <c r="A21" s="17"/>
      <c r="B21" s="18">
        <v>17</v>
      </c>
      <c r="C21" s="19">
        <v>27082</v>
      </c>
      <c r="D21" s="18">
        <v>45187</v>
      </c>
      <c r="E21" s="18">
        <v>28447</v>
      </c>
      <c r="F21" s="18">
        <v>36647</v>
      </c>
      <c r="G21" s="20">
        <v>257377</v>
      </c>
      <c r="H21" s="18">
        <v>37218</v>
      </c>
      <c r="I21" s="18">
        <v>37163</v>
      </c>
      <c r="J21" s="18">
        <v>43279</v>
      </c>
      <c r="K21" s="18">
        <v>8290</v>
      </c>
      <c r="L21" s="21">
        <v>268790</v>
      </c>
      <c r="M21" s="18">
        <v>24008</v>
      </c>
      <c r="N21" s="18">
        <v>50958</v>
      </c>
      <c r="O21" s="18">
        <v>28607</v>
      </c>
      <c r="P21" s="18">
        <v>34968</v>
      </c>
      <c r="Q21" s="20">
        <v>256199</v>
      </c>
    </row>
    <row r="22" spans="1:17">
      <c r="A22" s="17"/>
      <c r="B22" s="18">
        <v>18</v>
      </c>
      <c r="C22" s="19">
        <v>12263</v>
      </c>
      <c r="D22" s="18">
        <v>29301</v>
      </c>
      <c r="E22" s="18">
        <v>33105</v>
      </c>
      <c r="F22" s="18">
        <v>53936</v>
      </c>
      <c r="G22" s="20">
        <v>266135</v>
      </c>
      <c r="H22" s="18">
        <v>10181</v>
      </c>
      <c r="I22" s="18">
        <v>25077</v>
      </c>
      <c r="J22" s="18">
        <v>62080</v>
      </c>
      <c r="K22" s="18">
        <v>11143</v>
      </c>
      <c r="L22" s="21">
        <v>286259</v>
      </c>
      <c r="M22" s="18">
        <v>10066</v>
      </c>
      <c r="N22" s="18">
        <v>32814</v>
      </c>
      <c r="O22" s="18">
        <v>33042</v>
      </c>
      <c r="P22" s="18">
        <v>54511</v>
      </c>
      <c r="Q22" s="20">
        <v>264307</v>
      </c>
    </row>
    <row r="23" spans="1:17">
      <c r="A23" s="17"/>
      <c r="B23" s="18">
        <v>19</v>
      </c>
      <c r="C23" s="19">
        <v>19722</v>
      </c>
      <c r="D23" s="18">
        <v>51353</v>
      </c>
      <c r="E23" s="18">
        <v>26961</v>
      </c>
      <c r="F23" s="18">
        <v>47282</v>
      </c>
      <c r="G23" s="20">
        <v>249422</v>
      </c>
      <c r="H23" s="18">
        <v>29043</v>
      </c>
      <c r="I23" s="18">
        <v>46462</v>
      </c>
      <c r="J23" s="18">
        <v>46398</v>
      </c>
      <c r="K23" s="18">
        <v>8645</v>
      </c>
      <c r="L23" s="21">
        <v>264192</v>
      </c>
      <c r="M23" s="18">
        <v>16979</v>
      </c>
      <c r="N23" s="18">
        <v>56378</v>
      </c>
      <c r="O23" s="18">
        <v>26785</v>
      </c>
      <c r="P23" s="18">
        <v>46960</v>
      </c>
      <c r="Q23" s="20">
        <v>247638</v>
      </c>
    </row>
    <row r="24" spans="1:17">
      <c r="A24" s="17"/>
      <c r="B24" s="18">
        <v>20</v>
      </c>
      <c r="C24" s="19">
        <v>16109</v>
      </c>
      <c r="D24" s="18">
        <v>42842</v>
      </c>
      <c r="E24" s="18">
        <v>25377</v>
      </c>
      <c r="F24" s="18">
        <v>49388</v>
      </c>
      <c r="G24" s="20">
        <v>261024</v>
      </c>
      <c r="H24" s="18">
        <v>20826</v>
      </c>
      <c r="I24" s="18">
        <v>32776</v>
      </c>
      <c r="J24" s="18">
        <v>50766</v>
      </c>
      <c r="K24" s="18">
        <v>5075</v>
      </c>
      <c r="L24" s="21">
        <v>285297</v>
      </c>
      <c r="M24" s="18">
        <v>14526</v>
      </c>
      <c r="N24" s="18">
        <v>45794</v>
      </c>
      <c r="O24" s="18">
        <v>25123</v>
      </c>
      <c r="P24" s="18">
        <v>49469</v>
      </c>
      <c r="Q24" s="20">
        <v>259828</v>
      </c>
    </row>
    <row r="25" spans="1:17">
      <c r="A25" s="17"/>
      <c r="B25" s="18">
        <v>21</v>
      </c>
      <c r="C25" s="19">
        <v>43737</v>
      </c>
      <c r="D25" s="18">
        <v>62545</v>
      </c>
      <c r="E25" s="18">
        <v>20890</v>
      </c>
      <c r="F25" s="18">
        <v>23623</v>
      </c>
      <c r="G25" s="20">
        <v>243945</v>
      </c>
      <c r="H25" s="18">
        <v>81254</v>
      </c>
      <c r="I25" s="18">
        <v>31322</v>
      </c>
      <c r="J25" s="18">
        <v>19077</v>
      </c>
      <c r="K25" s="18">
        <v>4945</v>
      </c>
      <c r="L25" s="21">
        <v>258142</v>
      </c>
      <c r="M25" s="18">
        <v>41788</v>
      </c>
      <c r="N25" s="18">
        <v>67887</v>
      </c>
      <c r="O25" s="18">
        <v>20296</v>
      </c>
      <c r="P25" s="18">
        <v>21610</v>
      </c>
      <c r="Q25" s="20">
        <v>243159</v>
      </c>
    </row>
    <row r="26" spans="1:17">
      <c r="A26" s="17"/>
      <c r="B26" s="18">
        <v>22</v>
      </c>
      <c r="C26" s="19">
        <v>13087</v>
      </c>
      <c r="D26" s="18">
        <v>33304</v>
      </c>
      <c r="E26" s="18">
        <v>29903</v>
      </c>
      <c r="F26" s="18">
        <v>55807</v>
      </c>
      <c r="G26" s="20">
        <v>262639</v>
      </c>
      <c r="H26" s="18">
        <v>11997</v>
      </c>
      <c r="I26" s="18">
        <v>29607</v>
      </c>
      <c r="J26" s="18">
        <v>63670</v>
      </c>
      <c r="K26" s="18">
        <v>11174</v>
      </c>
      <c r="L26" s="21">
        <v>278292</v>
      </c>
      <c r="M26" s="18">
        <v>10714</v>
      </c>
      <c r="N26" s="18">
        <v>37149</v>
      </c>
      <c r="O26" s="18">
        <v>29946</v>
      </c>
      <c r="P26" s="18">
        <v>56025</v>
      </c>
      <c r="Q26" s="20">
        <v>260906</v>
      </c>
    </row>
    <row r="27" spans="1:17">
      <c r="A27" s="17"/>
      <c r="B27" s="18">
        <v>23</v>
      </c>
      <c r="C27" s="19">
        <v>11646</v>
      </c>
      <c r="D27" s="18">
        <v>27894</v>
      </c>
      <c r="E27" s="18">
        <v>29222</v>
      </c>
      <c r="F27" s="18">
        <v>57873</v>
      </c>
      <c r="G27" s="20">
        <v>268105</v>
      </c>
      <c r="H27" s="18">
        <v>10034</v>
      </c>
      <c r="I27" s="18">
        <v>22535</v>
      </c>
      <c r="J27" s="18">
        <v>60538</v>
      </c>
      <c r="K27" s="18">
        <v>17471</v>
      </c>
      <c r="L27" s="21">
        <v>284162</v>
      </c>
      <c r="M27" s="18">
        <v>9588</v>
      </c>
      <c r="N27" s="18">
        <v>31136</v>
      </c>
      <c r="O27" s="18">
        <v>29200</v>
      </c>
      <c r="P27" s="18">
        <v>58330</v>
      </c>
      <c r="Q27" s="20">
        <v>266486</v>
      </c>
    </row>
    <row r="28" spans="1:17">
      <c r="A28" s="17"/>
      <c r="B28" s="18">
        <v>24</v>
      </c>
      <c r="C28" s="19">
        <v>31817</v>
      </c>
      <c r="D28" s="18">
        <v>57333</v>
      </c>
      <c r="E28" s="18">
        <v>21261</v>
      </c>
      <c r="F28" s="18">
        <v>30250</v>
      </c>
      <c r="G28" s="20">
        <v>254079</v>
      </c>
      <c r="H28" s="18">
        <v>55876</v>
      </c>
      <c r="I28" s="18">
        <v>39452</v>
      </c>
      <c r="J28" s="18">
        <v>26671</v>
      </c>
      <c r="K28" s="18">
        <v>3993</v>
      </c>
      <c r="L28" s="21">
        <v>268748</v>
      </c>
      <c r="M28" s="18">
        <v>29999</v>
      </c>
      <c r="N28" s="18">
        <v>62097</v>
      </c>
      <c r="O28" s="18">
        <v>20838</v>
      </c>
      <c r="P28" s="18">
        <v>28451</v>
      </c>
      <c r="Q28" s="20">
        <v>253355</v>
      </c>
    </row>
    <row r="29" spans="1:17">
      <c r="A29" s="17"/>
      <c r="B29" s="18">
        <v>25</v>
      </c>
      <c r="C29" s="19">
        <v>8310</v>
      </c>
      <c r="D29" s="18">
        <v>20447</v>
      </c>
      <c r="E29" s="18">
        <v>29487</v>
      </c>
      <c r="F29" s="18">
        <v>66960</v>
      </c>
      <c r="G29" s="20">
        <v>269536</v>
      </c>
      <c r="H29" s="18">
        <v>5383</v>
      </c>
      <c r="I29" s="18">
        <v>17746</v>
      </c>
      <c r="J29" s="18">
        <v>62268</v>
      </c>
      <c r="K29" s="18">
        <v>16554</v>
      </c>
      <c r="L29" s="21">
        <v>292789</v>
      </c>
      <c r="M29" s="18">
        <v>6948</v>
      </c>
      <c r="N29" s="18">
        <v>23034</v>
      </c>
      <c r="O29" s="18">
        <v>29226</v>
      </c>
      <c r="P29" s="18">
        <v>67273</v>
      </c>
      <c r="Q29" s="20">
        <v>268259</v>
      </c>
    </row>
    <row r="30" spans="1:17">
      <c r="A30" s="17"/>
      <c r="B30" s="18">
        <v>26</v>
      </c>
      <c r="C30" s="19">
        <v>13024</v>
      </c>
      <c r="D30" s="18">
        <v>28774</v>
      </c>
      <c r="E30" s="18">
        <v>24281</v>
      </c>
      <c r="F30" s="18">
        <v>48599</v>
      </c>
      <c r="G30" s="20">
        <v>280062</v>
      </c>
      <c r="H30" s="18">
        <v>15872</v>
      </c>
      <c r="I30" s="18">
        <v>28396</v>
      </c>
      <c r="J30" s="18">
        <v>41116</v>
      </c>
      <c r="K30" s="18">
        <v>13597</v>
      </c>
      <c r="L30" s="21">
        <v>295759</v>
      </c>
      <c r="M30" s="18">
        <v>10991</v>
      </c>
      <c r="N30" s="18">
        <v>31556</v>
      </c>
      <c r="O30" s="18">
        <v>24193</v>
      </c>
      <c r="P30" s="18">
        <v>49989</v>
      </c>
      <c r="Q30" s="20">
        <v>278011</v>
      </c>
    </row>
    <row r="31" spans="1:17">
      <c r="A31" s="17"/>
      <c r="B31" s="18">
        <v>27</v>
      </c>
      <c r="C31" s="19">
        <v>19323</v>
      </c>
      <c r="D31" s="18">
        <v>28324</v>
      </c>
      <c r="E31" s="18">
        <v>18278</v>
      </c>
      <c r="F31" s="18">
        <v>52555</v>
      </c>
      <c r="G31" s="20">
        <v>276260</v>
      </c>
      <c r="H31" s="18">
        <v>21797</v>
      </c>
      <c r="I31" s="18">
        <v>25139</v>
      </c>
      <c r="J31" s="18">
        <v>30363</v>
      </c>
      <c r="K31" s="18">
        <v>30722</v>
      </c>
      <c r="L31" s="21">
        <v>286719</v>
      </c>
      <c r="M31" s="18">
        <v>13592</v>
      </c>
      <c r="N31" s="18">
        <v>35489</v>
      </c>
      <c r="O31" s="18">
        <v>18027</v>
      </c>
      <c r="P31" s="18">
        <v>57103</v>
      </c>
      <c r="Q31" s="20">
        <v>270529</v>
      </c>
    </row>
    <row r="32" spans="1:17">
      <c r="A32" s="17"/>
      <c r="B32" s="18">
        <v>28</v>
      </c>
      <c r="C32" s="19">
        <v>15834</v>
      </c>
      <c r="D32" s="18">
        <v>27961</v>
      </c>
      <c r="E32" s="18">
        <v>14423</v>
      </c>
      <c r="F32" s="18">
        <v>57930</v>
      </c>
      <c r="G32" s="20">
        <v>278592</v>
      </c>
      <c r="H32" s="18">
        <v>19389</v>
      </c>
      <c r="I32" s="18">
        <v>34136</v>
      </c>
      <c r="J32" s="18">
        <v>21305</v>
      </c>
      <c r="K32" s="18">
        <v>28743</v>
      </c>
      <c r="L32" s="21">
        <v>291167</v>
      </c>
      <c r="M32" s="18">
        <v>11165</v>
      </c>
      <c r="N32" s="18">
        <v>32905</v>
      </c>
      <c r="O32" s="18">
        <v>14189</v>
      </c>
      <c r="P32" s="18">
        <v>63297</v>
      </c>
      <c r="Q32" s="20">
        <v>273184</v>
      </c>
    </row>
    <row r="33" spans="1:17">
      <c r="A33" s="17"/>
      <c r="B33" s="18">
        <v>29</v>
      </c>
      <c r="C33" s="19">
        <v>14971</v>
      </c>
      <c r="D33" s="18">
        <v>27078</v>
      </c>
      <c r="E33" s="18">
        <v>17766</v>
      </c>
      <c r="F33" s="18">
        <v>54589</v>
      </c>
      <c r="G33" s="20">
        <v>280336</v>
      </c>
      <c r="H33" s="18">
        <v>14455</v>
      </c>
      <c r="I33" s="18">
        <v>27085</v>
      </c>
      <c r="J33" s="18">
        <v>29112</v>
      </c>
      <c r="K33" s="18">
        <v>29183</v>
      </c>
      <c r="L33" s="21">
        <v>294905</v>
      </c>
      <c r="M33" s="18">
        <v>10699</v>
      </c>
      <c r="N33" s="18">
        <v>31668</v>
      </c>
      <c r="O33" s="18">
        <v>17535</v>
      </c>
      <c r="P33" s="18">
        <v>59534</v>
      </c>
      <c r="Q33" s="20">
        <v>275304</v>
      </c>
    </row>
    <row r="34" spans="1:17">
      <c r="A34" s="17"/>
      <c r="B34" s="18">
        <v>30</v>
      </c>
      <c r="C34" s="19">
        <v>21920</v>
      </c>
      <c r="D34" s="18">
        <v>51666</v>
      </c>
      <c r="E34" s="18">
        <v>18693</v>
      </c>
      <c r="F34" s="18">
        <v>34904</v>
      </c>
      <c r="G34" s="20">
        <v>267557</v>
      </c>
      <c r="H34" s="18">
        <v>31758</v>
      </c>
      <c r="I34" s="18">
        <v>41959</v>
      </c>
      <c r="J34" s="18">
        <v>31160</v>
      </c>
      <c r="K34" s="18">
        <v>4853</v>
      </c>
      <c r="L34" s="21">
        <v>285010</v>
      </c>
      <c r="M34" s="18">
        <v>20150</v>
      </c>
      <c r="N34" s="18">
        <v>55682</v>
      </c>
      <c r="O34" s="18">
        <v>18504</v>
      </c>
      <c r="P34" s="18">
        <v>33704</v>
      </c>
      <c r="Q34" s="20">
        <v>266700</v>
      </c>
    </row>
    <row r="35" spans="1:17">
      <c r="A35" s="17"/>
      <c r="B35" s="18">
        <v>31</v>
      </c>
      <c r="C35" s="19">
        <v>1603</v>
      </c>
      <c r="D35" s="18">
        <v>4771</v>
      </c>
      <c r="E35" s="18">
        <v>8439</v>
      </c>
      <c r="F35" s="18">
        <v>26023</v>
      </c>
      <c r="G35" s="20">
        <v>353904</v>
      </c>
      <c r="H35" s="18">
        <v>2112</v>
      </c>
      <c r="I35" s="18">
        <v>2664</v>
      </c>
      <c r="J35" s="18">
        <v>25161</v>
      </c>
      <c r="K35" s="18">
        <v>3377</v>
      </c>
      <c r="L35" s="21">
        <v>361426</v>
      </c>
      <c r="M35" s="18">
        <v>1182</v>
      </c>
      <c r="N35" s="18">
        <v>5614</v>
      </c>
      <c r="O35" s="18">
        <v>8139</v>
      </c>
      <c r="P35" s="18">
        <v>26568</v>
      </c>
      <c r="Q35" s="20">
        <v>353237</v>
      </c>
    </row>
    <row r="36" spans="1:17">
      <c r="A36" s="17"/>
      <c r="B36" s="18">
        <v>32</v>
      </c>
      <c r="C36" s="19">
        <v>8446</v>
      </c>
      <c r="D36" s="18">
        <v>20158</v>
      </c>
      <c r="E36" s="18">
        <v>17649</v>
      </c>
      <c r="F36" s="18">
        <v>62789</v>
      </c>
      <c r="G36" s="20">
        <v>285698</v>
      </c>
      <c r="H36" s="18">
        <v>7188</v>
      </c>
      <c r="I36" s="18">
        <v>19094</v>
      </c>
      <c r="J36" s="18">
        <v>38324</v>
      </c>
      <c r="K36" s="18">
        <v>27861</v>
      </c>
      <c r="L36" s="21">
        <v>302273</v>
      </c>
      <c r="M36" s="18">
        <v>6025</v>
      </c>
      <c r="N36" s="18">
        <v>22800</v>
      </c>
      <c r="O36" s="18">
        <v>17360</v>
      </c>
      <c r="P36" s="18">
        <v>66111</v>
      </c>
      <c r="Q36" s="20">
        <v>282444</v>
      </c>
    </row>
    <row r="37" spans="1:17">
      <c r="A37" s="22"/>
      <c r="B37" s="23" t="s">
        <v>11</v>
      </c>
      <c r="C37" s="24">
        <f>SUM(C4:C36)</f>
        <v>725032</v>
      </c>
      <c r="D37" s="25">
        <f>SUM(D4:D36)</f>
        <v>1596213</v>
      </c>
      <c r="E37" s="25">
        <f>SUM(E4:E36)</f>
        <v>659693</v>
      </c>
      <c r="F37" s="25">
        <f>SUM(F4:F36)</f>
        <v>1542785</v>
      </c>
      <c r="G37" s="26">
        <f>SUM(G4:G36)</f>
        <v>8502697</v>
      </c>
      <c r="H37" s="25">
        <f>SUM(H4:H36)</f>
        <v>1130010</v>
      </c>
      <c r="I37" s="25">
        <f>SUM(I4:I36)</f>
        <v>1167893</v>
      </c>
      <c r="J37" s="25">
        <f>SUM(J4:J36)</f>
        <v>1196557</v>
      </c>
      <c r="K37" s="25">
        <f>SUM(K4:K36)</f>
        <v>430509</v>
      </c>
      <c r="L37" s="27">
        <f>SUM(L4:L36)</f>
        <v>9101451</v>
      </c>
      <c r="M37" s="25">
        <f>SUM(M4:M36)</f>
        <v>651823</v>
      </c>
      <c r="N37" s="25">
        <f>SUM(N4:N36)</f>
        <v>1727315</v>
      </c>
      <c r="O37" s="25">
        <f>SUM(O4:O36)</f>
        <v>649615</v>
      </c>
      <c r="P37" s="25">
        <f>SUM(P4:P36)</f>
        <v>1557713</v>
      </c>
      <c r="Q37" s="26">
        <f>SUM(Q4:Q36)</f>
        <v>8439954</v>
      </c>
    </row>
    <row r="41" spans="1:17">
      <c r="A41" s="7"/>
      <c r="B41" s="38" t="s">
        <v>0</v>
      </c>
      <c r="C41" s="41" t="s">
        <v>12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6"/>
    </row>
    <row r="42" spans="1:17">
      <c r="A42" s="7"/>
      <c r="B42" s="34"/>
      <c r="C42" s="38" t="s">
        <v>3</v>
      </c>
      <c r="D42" s="9"/>
      <c r="E42" s="9"/>
      <c r="F42" s="9"/>
      <c r="G42" s="9"/>
      <c r="H42" s="9"/>
      <c r="I42" s="38" t="s">
        <v>4</v>
      </c>
      <c r="J42" s="9"/>
      <c r="K42" s="9"/>
      <c r="L42" s="9"/>
      <c r="M42" s="9"/>
      <c r="N42" s="10"/>
    </row>
    <row r="43" spans="1:17">
      <c r="A43" s="15" t="s">
        <v>5</v>
      </c>
      <c r="B43" s="12"/>
      <c r="C43" s="39" t="s">
        <v>6</v>
      </c>
      <c r="D43" s="29" t="s">
        <v>7</v>
      </c>
      <c r="E43" s="30" t="s">
        <v>8</v>
      </c>
      <c r="F43" s="31" t="s">
        <v>9</v>
      </c>
      <c r="G43" s="43" t="s">
        <v>10</v>
      </c>
      <c r="H43" s="42"/>
      <c r="I43" s="39" t="s">
        <v>6</v>
      </c>
      <c r="J43" s="29" t="s">
        <v>7</v>
      </c>
      <c r="K43" s="30" t="s">
        <v>8</v>
      </c>
      <c r="L43" s="31" t="s">
        <v>9</v>
      </c>
      <c r="M43" s="43" t="s">
        <v>10</v>
      </c>
      <c r="N43" s="44"/>
    </row>
    <row r="44" spans="1:17">
      <c r="A44" s="48"/>
      <c r="B44" s="45">
        <v>0</v>
      </c>
      <c r="C44" s="2">
        <f>IF(C4=0, (ABS((C4+1)-(H4+1))/(C4+1))*100, (ABS(C4-H4)/C4)*100)</f>
        <v>0</v>
      </c>
      <c r="D44" s="2">
        <f t="shared" ref="D44:G44" si="0">IF(D4=0, (ABS((D4+1)-(I4+1))/(D4+1))*100, (ABS(D4-I4)/D4)*100)</f>
        <v>0</v>
      </c>
      <c r="E44" s="2">
        <f t="shared" si="0"/>
        <v>0</v>
      </c>
      <c r="F44" s="2">
        <f t="shared" si="0"/>
        <v>0</v>
      </c>
      <c r="G44" s="2">
        <f t="shared" si="0"/>
        <v>0</v>
      </c>
      <c r="H44" s="42"/>
      <c r="I44" s="1">
        <f>IF(C4=0, (ABS((C4+1)-(M4+1))/(C4+1))*100, (ABS(C4-M4)/C4)*100)</f>
        <v>0</v>
      </c>
      <c r="J44" s="2">
        <f t="shared" ref="J44:M44" si="1">IF(D4=0, (ABS((D4+1)-(N4+1))/(D4+1))*100, (ABS(D4-N4)/D4)*100)</f>
        <v>0</v>
      </c>
      <c r="K44" s="2">
        <f t="shared" si="1"/>
        <v>0</v>
      </c>
      <c r="L44" s="2">
        <f t="shared" si="1"/>
        <v>0</v>
      </c>
      <c r="M44" s="2">
        <f t="shared" si="1"/>
        <v>0</v>
      </c>
      <c r="N44" s="44"/>
    </row>
    <row r="45" spans="1:17">
      <c r="A45" s="48"/>
      <c r="B45" s="46">
        <v>1</v>
      </c>
      <c r="C45" s="2">
        <f t="shared" ref="C45:C76" si="2">IF(C5=0, (ABS((C5+1)-(H5+1))/(C5+1))*100, (ABS(C5-H5)/C5)*100)</f>
        <v>21.232028944111207</v>
      </c>
      <c r="D45" s="2">
        <f t="shared" ref="D45:D76" si="3">IF(D5=0, (ABS((D5+1)-(I5+1))/(D5+1))*100, (ABS(D5-I5)/D5)*100)</f>
        <v>22.901051835989168</v>
      </c>
      <c r="E45" s="2">
        <f t="shared" ref="E45:E76" si="4">IF(E5=0, (ABS((E5+1)-(J5+1))/(E5+1))*100, (ABS(E5-J5)/E5)*100)</f>
        <v>166.82371141269954</v>
      </c>
      <c r="F45" s="2">
        <f t="shared" ref="F45:F76" si="5">IF(F5=0, (ABS((F5+1)-(K5+1))/(F5+1))*100, (ABS(F5-K5)/F5)*100)</f>
        <v>82.399957466416197</v>
      </c>
      <c r="G45" s="2">
        <f t="shared" ref="G45:G76" si="6">IF(G5=0, (ABS((G5+1)-(L5+1))/(G5+1))*100, (ABS(G5-L5)/G5)*100)</f>
        <v>14.029398357338794</v>
      </c>
      <c r="H45" s="42"/>
      <c r="I45" s="1">
        <f t="shared" ref="I45:I76" si="7">IF(C5=0, (ABS((C5+1)-(M5+1))/(C5+1))*100, (ABS(C5-M5)/C5)*100)</f>
        <v>20.489383985527944</v>
      </c>
      <c r="J45" s="2">
        <f t="shared" ref="J45:J76" si="8">IF(D5=0, (ABS((D5+1)-(N5+1))/(D5+1))*100, (ABS(D5-N5)/D5)*100)</f>
        <v>6.1157649429993066</v>
      </c>
      <c r="K45" s="2">
        <f t="shared" ref="K45:K76" si="9">IF(E5=0, (ABS((E5+1)-(O5+1))/(E5+1))*100, (ABS(E5-O5)/E5)*100)</f>
        <v>2.8830602629913509</v>
      </c>
      <c r="L45" s="2">
        <f t="shared" ref="L45:L76" si="10">IF(F5=0, (ABS((F5+1)-(P5+1))/(F5+1))*100, (ABS(F5-P5)/F5)*100)</f>
        <v>1.0863786197852054</v>
      </c>
      <c r="M45" s="2">
        <f t="shared" ref="M45:M76" si="11">IF(G5=0, (ABS((G5+1)-(Q5+1))/(G5+1))*100, (ABS(G5-Q5)/G5)*100)</f>
        <v>0.77374621124271237</v>
      </c>
      <c r="N45" s="44"/>
    </row>
    <row r="46" spans="1:17">
      <c r="A46" s="48"/>
      <c r="B46" s="46">
        <v>2</v>
      </c>
      <c r="C46" s="2">
        <f t="shared" si="2"/>
        <v>91.796429927838957</v>
      </c>
      <c r="D46" s="2">
        <f t="shared" si="3"/>
        <v>39.492748404937132</v>
      </c>
      <c r="E46" s="2">
        <f t="shared" si="4"/>
        <v>167.28131604027681</v>
      </c>
      <c r="F46" s="2">
        <f t="shared" si="5"/>
        <v>87.655558937812245</v>
      </c>
      <c r="G46" s="2">
        <f t="shared" si="6"/>
        <v>12.984199849204995</v>
      </c>
      <c r="H46" s="42"/>
      <c r="I46" s="1">
        <f t="shared" si="7"/>
        <v>11.944549943030763</v>
      </c>
      <c r="J46" s="2">
        <f t="shared" si="8"/>
        <v>2.9136001613065834</v>
      </c>
      <c r="K46" s="2">
        <f t="shared" si="9"/>
        <v>2.1878755231425848</v>
      </c>
      <c r="L46" s="2">
        <f t="shared" si="10"/>
        <v>0.22919762923702258</v>
      </c>
      <c r="M46" s="2">
        <f t="shared" si="11"/>
        <v>0.30742186360966589</v>
      </c>
      <c r="N46" s="44"/>
    </row>
    <row r="47" spans="1:17">
      <c r="A47" s="48"/>
      <c r="B47" s="46">
        <v>3</v>
      </c>
      <c r="C47" s="2">
        <f t="shared" si="2"/>
        <v>4.9309045226130648</v>
      </c>
      <c r="D47" s="2">
        <f t="shared" si="3"/>
        <v>40.197120057870109</v>
      </c>
      <c r="E47" s="2">
        <f t="shared" si="4"/>
        <v>188.50421390893106</v>
      </c>
      <c r="F47" s="2">
        <f t="shared" si="5"/>
        <v>72.303670289112148</v>
      </c>
      <c r="G47" s="2">
        <f t="shared" si="6"/>
        <v>17.14594767837827</v>
      </c>
      <c r="H47" s="42"/>
      <c r="I47" s="1">
        <f t="shared" si="7"/>
        <v>18.75</v>
      </c>
      <c r="J47" s="2">
        <f t="shared" si="8"/>
        <v>5.9158622872256252</v>
      </c>
      <c r="K47" s="2">
        <f t="shared" si="9"/>
        <v>3.8804341235675741</v>
      </c>
      <c r="L47" s="2">
        <f t="shared" si="10"/>
        <v>1.1110826327660446</v>
      </c>
      <c r="M47" s="2">
        <f t="shared" si="11"/>
        <v>0.66103120868554943</v>
      </c>
      <c r="N47" s="44"/>
    </row>
    <row r="48" spans="1:17">
      <c r="A48" s="48"/>
      <c r="B48" s="46">
        <v>4</v>
      </c>
      <c r="C48" s="2">
        <f t="shared" si="2"/>
        <v>44.37529173798039</v>
      </c>
      <c r="D48" s="2">
        <f t="shared" si="3"/>
        <v>0.12216177476626382</v>
      </c>
      <c r="E48" s="2">
        <f t="shared" si="4"/>
        <v>153.16019417475729</v>
      </c>
      <c r="F48" s="2">
        <f t="shared" si="5"/>
        <v>78.160507801865577</v>
      </c>
      <c r="G48" s="2">
        <f t="shared" si="6"/>
        <v>10.897229926266657</v>
      </c>
      <c r="H48" s="42"/>
      <c r="I48" s="1">
        <f t="shared" si="7"/>
        <v>22.187645868990195</v>
      </c>
      <c r="J48" s="2">
        <f t="shared" si="8"/>
        <v>4.879955695996351</v>
      </c>
      <c r="K48" s="2">
        <f t="shared" si="9"/>
        <v>1.6116504854368934</v>
      </c>
      <c r="L48" s="2">
        <f t="shared" si="10"/>
        <v>0.2693757074694445</v>
      </c>
      <c r="M48" s="2">
        <f t="shared" si="11"/>
        <v>0.44392207265101807</v>
      </c>
      <c r="N48" s="44"/>
    </row>
    <row r="49" spans="1:14">
      <c r="A49" s="48"/>
      <c r="B49" s="46">
        <v>5</v>
      </c>
      <c r="C49" s="2">
        <f t="shared" si="2"/>
        <v>36.75655976676385</v>
      </c>
      <c r="D49" s="2">
        <f t="shared" si="3"/>
        <v>3.2730722605808253</v>
      </c>
      <c r="E49" s="2">
        <f t="shared" si="4"/>
        <v>99.221899978779092</v>
      </c>
      <c r="F49" s="2">
        <f t="shared" si="5"/>
        <v>67.49362847315048</v>
      </c>
      <c r="G49" s="2">
        <f t="shared" si="6"/>
        <v>6.6719190088830231</v>
      </c>
      <c r="H49" s="42"/>
      <c r="I49" s="1">
        <f t="shared" si="7"/>
        <v>17.623906705539358</v>
      </c>
      <c r="J49" s="2">
        <f t="shared" si="8"/>
        <v>8.5999402659920232</v>
      </c>
      <c r="K49" s="2">
        <f t="shared" si="9"/>
        <v>1.1600763952748108</v>
      </c>
      <c r="L49" s="2">
        <f t="shared" si="10"/>
        <v>1.5042150100696858</v>
      </c>
      <c r="M49" s="2">
        <f t="shared" si="11"/>
        <v>1.2436233282779539</v>
      </c>
      <c r="N49" s="44"/>
    </row>
    <row r="50" spans="1:14">
      <c r="A50" s="48"/>
      <c r="B50" s="46">
        <v>6</v>
      </c>
      <c r="C50" s="2">
        <f t="shared" si="2"/>
        <v>34.179265658747298</v>
      </c>
      <c r="D50" s="2">
        <f t="shared" si="3"/>
        <v>1.0588166850893013</v>
      </c>
      <c r="E50" s="2">
        <f t="shared" si="4"/>
        <v>128.84506586923138</v>
      </c>
      <c r="F50" s="2">
        <f t="shared" si="5"/>
        <v>77.355663759430684</v>
      </c>
      <c r="G50" s="2">
        <f t="shared" si="6"/>
        <v>8.914093141293959</v>
      </c>
      <c r="H50" s="42"/>
      <c r="I50" s="1">
        <f t="shared" si="7"/>
        <v>14.491090712742979</v>
      </c>
      <c r="J50" s="2">
        <f t="shared" si="8"/>
        <v>6.8270405491884345</v>
      </c>
      <c r="K50" s="2">
        <f t="shared" si="9"/>
        <v>0.81629354239068941</v>
      </c>
      <c r="L50" s="2">
        <f t="shared" si="10"/>
        <v>2.1367292703372751</v>
      </c>
      <c r="M50" s="2">
        <f t="shared" si="11"/>
        <v>0.51415576282917508</v>
      </c>
      <c r="N50" s="44"/>
    </row>
    <row r="51" spans="1:14">
      <c r="A51" s="48"/>
      <c r="B51" s="46">
        <v>7</v>
      </c>
      <c r="C51" s="2">
        <f t="shared" si="2"/>
        <v>30.504030300087404</v>
      </c>
      <c r="D51" s="2">
        <f t="shared" si="3"/>
        <v>0.31189083820662766</v>
      </c>
      <c r="E51" s="2">
        <f t="shared" si="4"/>
        <v>133.01492537313433</v>
      </c>
      <c r="F51" s="2">
        <f t="shared" si="5"/>
        <v>71.844969318050246</v>
      </c>
      <c r="G51" s="2">
        <f t="shared" si="6"/>
        <v>10.687547194061983</v>
      </c>
      <c r="H51" s="42"/>
      <c r="I51" s="1">
        <f t="shared" si="7"/>
        <v>22.754200252500727</v>
      </c>
      <c r="J51" s="2">
        <f t="shared" si="8"/>
        <v>6.3684210526315788</v>
      </c>
      <c r="K51" s="2">
        <f t="shared" si="9"/>
        <v>2.5737976782752905</v>
      </c>
      <c r="L51" s="2">
        <f t="shared" si="10"/>
        <v>3.4951372004168113</v>
      </c>
      <c r="M51" s="2">
        <f t="shared" si="11"/>
        <v>1.1852738460549781</v>
      </c>
      <c r="N51" s="44"/>
    </row>
    <row r="52" spans="1:14">
      <c r="A52" s="48"/>
      <c r="B52" s="46">
        <v>8</v>
      </c>
      <c r="C52" s="2">
        <f t="shared" si="2"/>
        <v>41.395383805728891</v>
      </c>
      <c r="D52" s="2">
        <f t="shared" si="3"/>
        <v>5.4428683639051885</v>
      </c>
      <c r="E52" s="2">
        <f t="shared" si="4"/>
        <v>87.607011822258457</v>
      </c>
      <c r="F52" s="2">
        <f t="shared" si="5"/>
        <v>67.116252528920469</v>
      </c>
      <c r="G52" s="2">
        <f t="shared" si="6"/>
        <v>10.006284425714391</v>
      </c>
      <c r="H52" s="42"/>
      <c r="I52" s="1">
        <f t="shared" si="7"/>
        <v>23.14863544094429</v>
      </c>
      <c r="J52" s="2">
        <f t="shared" si="8"/>
        <v>8.9636372037148284</v>
      </c>
      <c r="K52" s="2">
        <f t="shared" si="9"/>
        <v>2.0892784345699145</v>
      </c>
      <c r="L52" s="2">
        <f t="shared" si="10"/>
        <v>6.1818056059898669</v>
      </c>
      <c r="M52" s="2">
        <f t="shared" si="11"/>
        <v>1.5419023326309562</v>
      </c>
      <c r="N52" s="44"/>
    </row>
    <row r="53" spans="1:14">
      <c r="A53" s="48"/>
      <c r="B53" s="46">
        <v>9</v>
      </c>
      <c r="C53" s="2">
        <f t="shared" si="2"/>
        <v>71.634855409193904</v>
      </c>
      <c r="D53" s="2">
        <f t="shared" si="3"/>
        <v>40.263560991028228</v>
      </c>
      <c r="E53" s="2">
        <f t="shared" si="4"/>
        <v>104.45144570354185</v>
      </c>
      <c r="F53" s="2">
        <f t="shared" si="5"/>
        <v>82.624146637987479</v>
      </c>
      <c r="G53" s="2">
        <f t="shared" si="6"/>
        <v>13.059394978392087</v>
      </c>
      <c r="H53" s="42"/>
      <c r="I53" s="1">
        <f t="shared" si="7"/>
        <v>10.130957410038787</v>
      </c>
      <c r="J53" s="2">
        <f t="shared" si="8"/>
        <v>6.4054560042792197</v>
      </c>
      <c r="K53" s="2">
        <f t="shared" si="9"/>
        <v>1.0976167488185375</v>
      </c>
      <c r="L53" s="2">
        <f t="shared" si="10"/>
        <v>2.9365005143551857</v>
      </c>
      <c r="M53" s="2">
        <f t="shared" si="11"/>
        <v>0.51742919389978215</v>
      </c>
      <c r="N53" s="44"/>
    </row>
    <row r="54" spans="1:14">
      <c r="A54" s="48"/>
      <c r="B54" s="46">
        <v>10</v>
      </c>
      <c r="C54" s="2">
        <f t="shared" si="2"/>
        <v>92.766707811673427</v>
      </c>
      <c r="D54" s="2">
        <f t="shared" si="3"/>
        <v>38.784665122887091</v>
      </c>
      <c r="E54" s="2">
        <f t="shared" si="4"/>
        <v>73.565432098765442</v>
      </c>
      <c r="F54" s="2">
        <f t="shared" si="5"/>
        <v>81.312235711362703</v>
      </c>
      <c r="G54" s="2">
        <f t="shared" si="6"/>
        <v>10.574812916592832</v>
      </c>
      <c r="H54" s="42"/>
      <c r="I54" s="1">
        <f t="shared" si="7"/>
        <v>7.0463763004761066</v>
      </c>
      <c r="J54" s="2">
        <f t="shared" si="8"/>
        <v>5.2689868107527609</v>
      </c>
      <c r="K54" s="2">
        <f t="shared" si="9"/>
        <v>2.162962962962963</v>
      </c>
      <c r="L54" s="2">
        <f t="shared" si="10"/>
        <v>4.7033146910380577</v>
      </c>
      <c r="M54" s="2">
        <f t="shared" si="11"/>
        <v>0.24989890453407487</v>
      </c>
      <c r="N54" s="44"/>
    </row>
    <row r="55" spans="1:14">
      <c r="A55" s="48"/>
      <c r="B55" s="46">
        <v>11</v>
      </c>
      <c r="C55" s="2">
        <f t="shared" si="2"/>
        <v>93.185142784455891</v>
      </c>
      <c r="D55" s="2">
        <f t="shared" si="3"/>
        <v>65.370926186618505</v>
      </c>
      <c r="E55" s="2">
        <f t="shared" si="4"/>
        <v>42.656228349729801</v>
      </c>
      <c r="F55" s="2">
        <f t="shared" si="5"/>
        <v>82.567491196800418</v>
      </c>
      <c r="G55" s="2">
        <f t="shared" si="6"/>
        <v>7.1958304619077831</v>
      </c>
      <c r="H55" s="42"/>
      <c r="I55" s="1">
        <f t="shared" si="7"/>
        <v>1.7824206576353112</v>
      </c>
      <c r="J55" s="2">
        <f t="shared" si="8"/>
        <v>5.8620414884857501</v>
      </c>
      <c r="K55" s="2">
        <f t="shared" si="9"/>
        <v>6.1798531245669945</v>
      </c>
      <c r="L55" s="2">
        <f t="shared" si="10"/>
        <v>7.0642959613963399</v>
      </c>
      <c r="M55" s="2">
        <f t="shared" si="11"/>
        <v>0.35415516194840108</v>
      </c>
      <c r="N55" s="44"/>
    </row>
    <row r="56" spans="1:14">
      <c r="A56" s="48"/>
      <c r="B56" s="46">
        <v>12</v>
      </c>
      <c r="C56" s="2">
        <f t="shared" si="2"/>
        <v>13.311275133621786</v>
      </c>
      <c r="D56" s="2">
        <f t="shared" si="3"/>
        <v>26.874194142567692</v>
      </c>
      <c r="E56" s="2">
        <f t="shared" si="4"/>
        <v>117.90734776195779</v>
      </c>
      <c r="F56" s="2">
        <f t="shared" si="5"/>
        <v>78.490611876583486</v>
      </c>
      <c r="G56" s="2">
        <f t="shared" si="6"/>
        <v>7.9350284539115039</v>
      </c>
      <c r="H56" s="42"/>
      <c r="I56" s="1">
        <f t="shared" si="7"/>
        <v>20.240519216085517</v>
      </c>
      <c r="J56" s="2">
        <f t="shared" si="8"/>
        <v>9.7513354208878251</v>
      </c>
      <c r="K56" s="2">
        <f t="shared" si="9"/>
        <v>9.0304325577195144E-2</v>
      </c>
      <c r="L56" s="2">
        <f t="shared" si="10"/>
        <v>0.340124249470725</v>
      </c>
      <c r="M56" s="2">
        <f t="shared" si="11"/>
        <v>0.97440216856858231</v>
      </c>
      <c r="N56" s="44"/>
    </row>
    <row r="57" spans="1:14">
      <c r="A57" s="48"/>
      <c r="B57" s="46">
        <v>13</v>
      </c>
      <c r="C57" s="2">
        <f t="shared" si="2"/>
        <v>91.525400350349656</v>
      </c>
      <c r="D57" s="2">
        <f t="shared" si="3"/>
        <v>73.8793918673165</v>
      </c>
      <c r="E57" s="2">
        <f t="shared" si="4"/>
        <v>54.552086372920925</v>
      </c>
      <c r="F57" s="2">
        <f t="shared" si="5"/>
        <v>91.710676193434821</v>
      </c>
      <c r="G57" s="2">
        <f t="shared" si="6"/>
        <v>4.3617677473195329</v>
      </c>
      <c r="H57" s="42"/>
      <c r="I57" s="1">
        <f t="shared" si="7"/>
        <v>1.9351991061945684</v>
      </c>
      <c r="J57" s="2">
        <f t="shared" si="8"/>
        <v>6.8116680002909726</v>
      </c>
      <c r="K57" s="2">
        <f t="shared" si="9"/>
        <v>5.7776480887073243</v>
      </c>
      <c r="L57" s="2">
        <f t="shared" si="10"/>
        <v>5.664284974629803</v>
      </c>
      <c r="M57" s="2">
        <f t="shared" si="11"/>
        <v>0.63179187605449827</v>
      </c>
      <c r="N57" s="44"/>
    </row>
    <row r="58" spans="1:14">
      <c r="A58" s="48"/>
      <c r="B58" s="46">
        <v>14</v>
      </c>
      <c r="C58" s="2">
        <f t="shared" si="2"/>
        <v>103.03426628302381</v>
      </c>
      <c r="D58" s="2">
        <f t="shared" si="3"/>
        <v>66.559306473217646</v>
      </c>
      <c r="E58" s="2">
        <f t="shared" si="4"/>
        <v>38.589575120455542</v>
      </c>
      <c r="F58" s="2">
        <f t="shared" si="5"/>
        <v>86.995733462832575</v>
      </c>
      <c r="G58" s="2">
        <f t="shared" si="6"/>
        <v>5.5987117610280723</v>
      </c>
      <c r="H58" s="42"/>
      <c r="I58" s="1">
        <f t="shared" si="7"/>
        <v>5.757912634057023</v>
      </c>
      <c r="J58" s="2">
        <f t="shared" si="8"/>
        <v>11.989223846003341</v>
      </c>
      <c r="K58" s="2">
        <f t="shared" si="9"/>
        <v>4.3051123208810465</v>
      </c>
      <c r="L58" s="2">
        <f t="shared" si="10"/>
        <v>6.4865239862638315</v>
      </c>
      <c r="M58" s="2">
        <f t="shared" si="11"/>
        <v>0.84833055204458463</v>
      </c>
      <c r="N58" s="44"/>
    </row>
    <row r="59" spans="1:14">
      <c r="A59" s="48"/>
      <c r="B59" s="46">
        <v>15</v>
      </c>
      <c r="C59" s="2">
        <f t="shared" si="2"/>
        <v>1.8503832936822628</v>
      </c>
      <c r="D59" s="2">
        <f t="shared" si="3"/>
        <v>22.153846153846153</v>
      </c>
      <c r="E59" s="2">
        <f t="shared" si="4"/>
        <v>35.492895935048551</v>
      </c>
      <c r="F59" s="2">
        <f t="shared" si="5"/>
        <v>40.116328436783562</v>
      </c>
      <c r="G59" s="2">
        <f t="shared" si="6"/>
        <v>0.22201239444700088</v>
      </c>
      <c r="H59" s="42"/>
      <c r="I59" s="1">
        <f t="shared" si="7"/>
        <v>18.715305313243459</v>
      </c>
      <c r="J59" s="2">
        <f t="shared" si="8"/>
        <v>17.09090909090909</v>
      </c>
      <c r="K59" s="2">
        <f t="shared" si="9"/>
        <v>3.0610565582313893</v>
      </c>
      <c r="L59" s="2">
        <f t="shared" si="10"/>
        <v>6.0584189521949563</v>
      </c>
      <c r="M59" s="2">
        <f t="shared" si="11"/>
        <v>0.38426371367273643</v>
      </c>
      <c r="N59" s="44"/>
    </row>
    <row r="60" spans="1:14">
      <c r="A60" s="48"/>
      <c r="B60" s="46">
        <v>16</v>
      </c>
      <c r="C60" s="2">
        <f t="shared" si="2"/>
        <v>96.476715110267165</v>
      </c>
      <c r="D60" s="2">
        <f t="shared" si="3"/>
        <v>76.93948635901539</v>
      </c>
      <c r="E60" s="2">
        <f t="shared" si="4"/>
        <v>14.747503431302949</v>
      </c>
      <c r="F60" s="2">
        <f t="shared" si="5"/>
        <v>92.514192668221625</v>
      </c>
      <c r="G60" s="2">
        <f t="shared" si="6"/>
        <v>5.3669392837910603</v>
      </c>
      <c r="H60" s="42"/>
      <c r="I60" s="1">
        <f t="shared" si="7"/>
        <v>3.888021959427701</v>
      </c>
      <c r="J60" s="2">
        <f t="shared" si="8"/>
        <v>7.7579454360615312</v>
      </c>
      <c r="K60" s="2">
        <f t="shared" si="9"/>
        <v>2.4800037862653226</v>
      </c>
      <c r="L60" s="2">
        <f t="shared" si="10"/>
        <v>2.9661576376358756</v>
      </c>
      <c r="M60" s="2">
        <f t="shared" si="11"/>
        <v>0.58435985460420037</v>
      </c>
      <c r="N60" s="44"/>
    </row>
    <row r="61" spans="1:14">
      <c r="A61" s="48"/>
      <c r="B61" s="46">
        <v>17</v>
      </c>
      <c r="C61" s="2">
        <f t="shared" si="2"/>
        <v>37.427073332840997</v>
      </c>
      <c r="D61" s="2">
        <f t="shared" si="3"/>
        <v>17.757319583065925</v>
      </c>
      <c r="E61" s="2">
        <f t="shared" si="4"/>
        <v>52.139065630822238</v>
      </c>
      <c r="F61" s="2">
        <f t="shared" si="5"/>
        <v>77.378775888885855</v>
      </c>
      <c r="G61" s="2">
        <f t="shared" si="6"/>
        <v>4.434351165799586</v>
      </c>
      <c r="H61" s="42"/>
      <c r="I61" s="1">
        <f t="shared" si="7"/>
        <v>11.350712650468946</v>
      </c>
      <c r="J61" s="2">
        <f t="shared" si="8"/>
        <v>12.771372297342158</v>
      </c>
      <c r="K61" s="2">
        <f t="shared" si="9"/>
        <v>0.56244946743066049</v>
      </c>
      <c r="L61" s="2">
        <f t="shared" si="10"/>
        <v>4.5815482849892213</v>
      </c>
      <c r="M61" s="2">
        <f t="shared" si="11"/>
        <v>0.45769435497344357</v>
      </c>
      <c r="N61" s="44"/>
    </row>
    <row r="62" spans="1:14">
      <c r="A62" s="48"/>
      <c r="B62" s="46">
        <v>18</v>
      </c>
      <c r="C62" s="2">
        <f t="shared" si="2"/>
        <v>16.977901003017205</v>
      </c>
      <c r="D62" s="2">
        <f t="shared" si="3"/>
        <v>14.415890242653834</v>
      </c>
      <c r="E62" s="2">
        <f t="shared" si="4"/>
        <v>87.52454312037456</v>
      </c>
      <c r="F62" s="2">
        <f t="shared" si="5"/>
        <v>79.340329279145649</v>
      </c>
      <c r="G62" s="2">
        <f t="shared" si="6"/>
        <v>7.5615758919345435</v>
      </c>
      <c r="H62" s="42"/>
      <c r="I62" s="1">
        <f t="shared" si="7"/>
        <v>17.915681317785207</v>
      </c>
      <c r="J62" s="2">
        <f t="shared" si="8"/>
        <v>11.989351899252586</v>
      </c>
      <c r="K62" s="2">
        <f t="shared" si="9"/>
        <v>0.19030357951971003</v>
      </c>
      <c r="L62" s="2">
        <f t="shared" si="10"/>
        <v>1.0660783150400475</v>
      </c>
      <c r="M62" s="2">
        <f t="shared" si="11"/>
        <v>0.68686944595787858</v>
      </c>
      <c r="N62" s="44"/>
    </row>
    <row r="63" spans="1:14">
      <c r="A63" s="48"/>
      <c r="B63" s="46">
        <v>19</v>
      </c>
      <c r="C63" s="2">
        <f t="shared" si="2"/>
        <v>47.261940979616675</v>
      </c>
      <c r="D63" s="2">
        <f t="shared" si="3"/>
        <v>9.5242731680719732</v>
      </c>
      <c r="E63" s="2">
        <f t="shared" si="4"/>
        <v>72.093023255813947</v>
      </c>
      <c r="F63" s="2">
        <f t="shared" si="5"/>
        <v>81.71608645996362</v>
      </c>
      <c r="G63" s="2">
        <f t="shared" si="6"/>
        <v>5.9216909494751873</v>
      </c>
      <c r="H63" s="42"/>
      <c r="I63" s="1">
        <f t="shared" si="7"/>
        <v>13.908325727613832</v>
      </c>
      <c r="J63" s="2">
        <f t="shared" si="8"/>
        <v>9.7852121589780552</v>
      </c>
      <c r="K63" s="2">
        <f t="shared" si="9"/>
        <v>0.65279477764177885</v>
      </c>
      <c r="L63" s="2">
        <f t="shared" si="10"/>
        <v>0.68102026141026184</v>
      </c>
      <c r="M63" s="2">
        <f t="shared" si="11"/>
        <v>0.71525366647689459</v>
      </c>
      <c r="N63" s="44"/>
    </row>
    <row r="64" spans="1:14">
      <c r="A64" s="48"/>
      <c r="B64" s="46">
        <v>20</v>
      </c>
      <c r="C64" s="2">
        <f t="shared" si="2"/>
        <v>29.281767955801101</v>
      </c>
      <c r="D64" s="2">
        <f t="shared" si="3"/>
        <v>23.495635124410626</v>
      </c>
      <c r="E64" s="2">
        <f t="shared" si="4"/>
        <v>100.04728691334672</v>
      </c>
      <c r="F64" s="2">
        <f t="shared" si="5"/>
        <v>89.724224507977652</v>
      </c>
      <c r="G64" s="2">
        <f t="shared" si="6"/>
        <v>9.2991449062155205</v>
      </c>
      <c r="H64" s="42"/>
      <c r="I64" s="1">
        <f t="shared" si="7"/>
        <v>9.8268048916754616</v>
      </c>
      <c r="J64" s="2">
        <f t="shared" si="8"/>
        <v>6.8904346202324813</v>
      </c>
      <c r="K64" s="2">
        <f t="shared" si="9"/>
        <v>1.0009063325058123</v>
      </c>
      <c r="L64" s="2">
        <f t="shared" si="10"/>
        <v>0.16400745120272131</v>
      </c>
      <c r="M64" s="2">
        <f t="shared" si="11"/>
        <v>0.45819541498099797</v>
      </c>
      <c r="N64" s="44"/>
    </row>
    <row r="65" spans="1:14">
      <c r="A65" s="48"/>
      <c r="B65" s="46">
        <v>21</v>
      </c>
      <c r="C65" s="2">
        <f t="shared" si="2"/>
        <v>85.778631364748378</v>
      </c>
      <c r="D65" s="2">
        <f t="shared" si="3"/>
        <v>49.920856982972261</v>
      </c>
      <c r="E65" s="2">
        <f t="shared" si="4"/>
        <v>8.6787936811871713</v>
      </c>
      <c r="F65" s="2">
        <f t="shared" si="5"/>
        <v>79.067010963891121</v>
      </c>
      <c r="G65" s="2">
        <f t="shared" si="6"/>
        <v>5.8197544528479774</v>
      </c>
      <c r="H65" s="42"/>
      <c r="I65" s="1">
        <f t="shared" si="7"/>
        <v>4.4561812652902582</v>
      </c>
      <c r="J65" s="2">
        <f t="shared" si="8"/>
        <v>8.5410504436805503</v>
      </c>
      <c r="K65" s="2">
        <f t="shared" si="9"/>
        <v>2.8434657730971757</v>
      </c>
      <c r="L65" s="2">
        <f t="shared" si="10"/>
        <v>8.5213563052956864</v>
      </c>
      <c r="M65" s="2">
        <f t="shared" si="11"/>
        <v>0.3222037754411855</v>
      </c>
      <c r="N65" s="44"/>
    </row>
    <row r="66" spans="1:14">
      <c r="A66" s="48"/>
      <c r="B66" s="46">
        <v>22</v>
      </c>
      <c r="C66" s="2">
        <f t="shared" si="2"/>
        <v>8.3288759838007174</v>
      </c>
      <c r="D66" s="2">
        <f t="shared" si="3"/>
        <v>11.100768676435264</v>
      </c>
      <c r="E66" s="2">
        <f t="shared" si="4"/>
        <v>112.92178042336889</v>
      </c>
      <c r="F66" s="2">
        <f t="shared" si="5"/>
        <v>79.977422187180821</v>
      </c>
      <c r="G66" s="2">
        <f t="shared" si="6"/>
        <v>5.9598917144826169</v>
      </c>
      <c r="H66" s="42"/>
      <c r="I66" s="1">
        <f t="shared" si="7"/>
        <v>18.132497898678075</v>
      </c>
      <c r="J66" s="2">
        <f t="shared" si="8"/>
        <v>11.545159740571703</v>
      </c>
      <c r="K66" s="2">
        <f t="shared" si="9"/>
        <v>0.14379828110891885</v>
      </c>
      <c r="L66" s="2">
        <f t="shared" si="10"/>
        <v>0.39063199956994638</v>
      </c>
      <c r="M66" s="2">
        <f t="shared" si="11"/>
        <v>0.65984107463095731</v>
      </c>
      <c r="N66" s="44"/>
    </row>
    <row r="67" spans="1:14">
      <c r="A67" s="48"/>
      <c r="B67" s="46">
        <v>23</v>
      </c>
      <c r="C67" s="2">
        <f t="shared" si="2"/>
        <v>13.841662373347072</v>
      </c>
      <c r="D67" s="2">
        <f t="shared" si="3"/>
        <v>19.212016921201691</v>
      </c>
      <c r="E67" s="2">
        <f t="shared" si="4"/>
        <v>107.16583396071454</v>
      </c>
      <c r="F67" s="2">
        <f t="shared" si="5"/>
        <v>69.811483766177659</v>
      </c>
      <c r="G67" s="2">
        <f t="shared" si="6"/>
        <v>5.9890714458887375</v>
      </c>
      <c r="H67" s="42"/>
      <c r="I67" s="1">
        <f t="shared" si="7"/>
        <v>17.671303451828955</v>
      </c>
      <c r="J67" s="2">
        <f t="shared" si="8"/>
        <v>11.622571162257115</v>
      </c>
      <c r="K67" s="2">
        <f t="shared" si="9"/>
        <v>7.5285743617822184E-2</v>
      </c>
      <c r="L67" s="2">
        <f t="shared" si="10"/>
        <v>0.78966011784424517</v>
      </c>
      <c r="M67" s="2">
        <f t="shared" si="11"/>
        <v>0.60386788758135801</v>
      </c>
      <c r="N67" s="44"/>
    </row>
    <row r="68" spans="1:14">
      <c r="A68" s="48"/>
      <c r="B68" s="46">
        <v>24</v>
      </c>
      <c r="C68" s="2">
        <f t="shared" si="2"/>
        <v>75.616808624320328</v>
      </c>
      <c r="D68" s="2">
        <f t="shared" si="3"/>
        <v>31.18797202309316</v>
      </c>
      <c r="E68" s="2">
        <f t="shared" si="4"/>
        <v>25.445651662668734</v>
      </c>
      <c r="F68" s="2">
        <f t="shared" si="5"/>
        <v>86.8</v>
      </c>
      <c r="G68" s="2">
        <f t="shared" si="6"/>
        <v>5.7734011862452226</v>
      </c>
      <c r="H68" s="42"/>
      <c r="I68" s="1">
        <f t="shared" si="7"/>
        <v>5.7139265172706413</v>
      </c>
      <c r="J68" s="2">
        <f t="shared" si="8"/>
        <v>8.3093506357595111</v>
      </c>
      <c r="K68" s="2">
        <f t="shared" si="9"/>
        <v>1.9895583462678144</v>
      </c>
      <c r="L68" s="2">
        <f t="shared" si="10"/>
        <v>5.9471074380165287</v>
      </c>
      <c r="M68" s="2">
        <f t="shared" si="11"/>
        <v>0.28495074366633999</v>
      </c>
      <c r="N68" s="44"/>
    </row>
    <row r="69" spans="1:14">
      <c r="A69" s="48"/>
      <c r="B69" s="46">
        <v>25</v>
      </c>
      <c r="C69" s="2">
        <f t="shared" si="2"/>
        <v>35.222623345367026</v>
      </c>
      <c r="D69" s="2">
        <f t="shared" si="3"/>
        <v>13.209761823250354</v>
      </c>
      <c r="E69" s="2">
        <f t="shared" si="4"/>
        <v>111.1710245192797</v>
      </c>
      <c r="F69" s="2">
        <f t="shared" si="5"/>
        <v>75.277777777777771</v>
      </c>
      <c r="G69" s="2">
        <f t="shared" si="6"/>
        <v>8.6270479639083462</v>
      </c>
      <c r="H69" s="42"/>
      <c r="I69" s="1">
        <f t="shared" si="7"/>
        <v>16.389891696750901</v>
      </c>
      <c r="J69" s="2">
        <f t="shared" si="8"/>
        <v>12.652222819973591</v>
      </c>
      <c r="K69" s="2">
        <f t="shared" si="9"/>
        <v>0.88513582256587642</v>
      </c>
      <c r="L69" s="2">
        <f t="shared" si="10"/>
        <v>0.46744324970131423</v>
      </c>
      <c r="M69" s="2">
        <f t="shared" si="11"/>
        <v>0.47377715778226281</v>
      </c>
      <c r="N69" s="44"/>
    </row>
    <row r="70" spans="1:14">
      <c r="A70" s="48"/>
      <c r="B70" s="46">
        <v>26</v>
      </c>
      <c r="C70" s="2">
        <f t="shared" si="2"/>
        <v>21.867321867321866</v>
      </c>
      <c r="D70" s="2">
        <f t="shared" si="3"/>
        <v>1.3136859664975327</v>
      </c>
      <c r="E70" s="2">
        <f t="shared" si="4"/>
        <v>69.33404719739714</v>
      </c>
      <c r="F70" s="2">
        <f t="shared" si="5"/>
        <v>72.022058067038415</v>
      </c>
      <c r="G70" s="2">
        <f t="shared" si="6"/>
        <v>5.6048303589919382</v>
      </c>
      <c r="H70" s="42"/>
      <c r="I70" s="1">
        <f t="shared" si="7"/>
        <v>15.609643734643736</v>
      </c>
      <c r="J70" s="2">
        <f t="shared" si="8"/>
        <v>9.6684506846458618</v>
      </c>
      <c r="K70" s="2">
        <f t="shared" si="9"/>
        <v>0.36242329393352823</v>
      </c>
      <c r="L70" s="2">
        <f t="shared" si="10"/>
        <v>2.8601411551678018</v>
      </c>
      <c r="M70" s="2">
        <f t="shared" si="11"/>
        <v>0.73233783947840125</v>
      </c>
      <c r="N70" s="44"/>
    </row>
    <row r="71" spans="1:14">
      <c r="A71" s="48"/>
      <c r="B71" s="46">
        <v>27</v>
      </c>
      <c r="C71" s="2">
        <f t="shared" si="2"/>
        <v>12.803394917973399</v>
      </c>
      <c r="D71" s="2">
        <f t="shared" si="3"/>
        <v>11.244880666572518</v>
      </c>
      <c r="E71" s="2">
        <f t="shared" si="4"/>
        <v>66.117737170368756</v>
      </c>
      <c r="F71" s="2">
        <f t="shared" si="5"/>
        <v>41.543145276377132</v>
      </c>
      <c r="G71" s="2">
        <f t="shared" si="6"/>
        <v>3.7859263013103597</v>
      </c>
      <c r="H71" s="42"/>
      <c r="I71" s="1">
        <f t="shared" si="7"/>
        <v>29.65895564870879</v>
      </c>
      <c r="J71" s="2">
        <f t="shared" si="8"/>
        <v>25.296568281316201</v>
      </c>
      <c r="K71" s="2">
        <f t="shared" si="9"/>
        <v>1.3732355837618995</v>
      </c>
      <c r="L71" s="2">
        <f t="shared" si="10"/>
        <v>8.6537912662924565</v>
      </c>
      <c r="M71" s="2">
        <f t="shared" si="11"/>
        <v>2.0744950409034968</v>
      </c>
      <c r="N71" s="44"/>
    </row>
    <row r="72" spans="1:14">
      <c r="A72" s="48"/>
      <c r="B72" s="46">
        <v>28</v>
      </c>
      <c r="C72" s="2">
        <f t="shared" si="2"/>
        <v>22.451686244789691</v>
      </c>
      <c r="D72" s="2">
        <f t="shared" si="3"/>
        <v>22.084331747791566</v>
      </c>
      <c r="E72" s="2">
        <f t="shared" si="4"/>
        <v>47.715454482423908</v>
      </c>
      <c r="F72" s="2">
        <f t="shared" si="5"/>
        <v>50.383221128948733</v>
      </c>
      <c r="G72" s="2">
        <f t="shared" si="6"/>
        <v>4.5137692396048701</v>
      </c>
      <c r="H72" s="42"/>
      <c r="I72" s="1">
        <f t="shared" si="7"/>
        <v>29.487179487179489</v>
      </c>
      <c r="J72" s="2">
        <f t="shared" si="8"/>
        <v>17.681771038231823</v>
      </c>
      <c r="K72" s="2">
        <f t="shared" si="9"/>
        <v>1.6224086528461485</v>
      </c>
      <c r="L72" s="2">
        <f t="shared" si="10"/>
        <v>9.2646297255308117</v>
      </c>
      <c r="M72" s="2">
        <f t="shared" si="11"/>
        <v>1.9411899839191362</v>
      </c>
      <c r="N72" s="44"/>
    </row>
    <row r="73" spans="1:14">
      <c r="A73" s="48"/>
      <c r="B73" s="46">
        <v>29</v>
      </c>
      <c r="C73" s="2">
        <f t="shared" si="2"/>
        <v>3.4466635495290894</v>
      </c>
      <c r="D73" s="2">
        <f t="shared" si="3"/>
        <v>2.5851244552773468E-2</v>
      </c>
      <c r="E73" s="2">
        <f t="shared" si="4"/>
        <v>63.863559608240465</v>
      </c>
      <c r="F73" s="2">
        <f t="shared" si="5"/>
        <v>46.540511824726593</v>
      </c>
      <c r="G73" s="2">
        <f t="shared" si="6"/>
        <v>5.196977912219622</v>
      </c>
      <c r="H73" s="42"/>
      <c r="I73" s="1">
        <f t="shared" si="7"/>
        <v>28.535167991450137</v>
      </c>
      <c r="J73" s="2">
        <f t="shared" si="8"/>
        <v>16.951030356747175</v>
      </c>
      <c r="K73" s="2">
        <f t="shared" si="9"/>
        <v>1.3002364066193852</v>
      </c>
      <c r="L73" s="2">
        <f t="shared" si="10"/>
        <v>9.0586015497627717</v>
      </c>
      <c r="M73" s="2">
        <f t="shared" si="11"/>
        <v>1.7949888704982593</v>
      </c>
      <c r="N73" s="44"/>
    </row>
    <row r="74" spans="1:14">
      <c r="A74" s="48"/>
      <c r="B74" s="46">
        <v>30</v>
      </c>
      <c r="C74" s="2">
        <f t="shared" si="2"/>
        <v>44.881386861313871</v>
      </c>
      <c r="D74" s="2">
        <f t="shared" si="3"/>
        <v>18.78798436108853</v>
      </c>
      <c r="E74" s="2">
        <f t="shared" si="4"/>
        <v>66.693414647194132</v>
      </c>
      <c r="F74" s="2">
        <f t="shared" si="5"/>
        <v>86.096149438459776</v>
      </c>
      <c r="G74" s="2">
        <f t="shared" si="6"/>
        <v>6.5230960131859748</v>
      </c>
      <c r="H74" s="42"/>
      <c r="I74" s="1">
        <f t="shared" si="7"/>
        <v>8.0748175182481763</v>
      </c>
      <c r="J74" s="2">
        <f t="shared" si="8"/>
        <v>7.7730035226260981</v>
      </c>
      <c r="K74" s="2">
        <f t="shared" si="9"/>
        <v>1.0110736639383726</v>
      </c>
      <c r="L74" s="2">
        <f t="shared" si="10"/>
        <v>3.43800137520055</v>
      </c>
      <c r="M74" s="2">
        <f t="shared" si="11"/>
        <v>0.32030557974562429</v>
      </c>
      <c r="N74" s="44"/>
    </row>
    <row r="75" spans="1:14">
      <c r="A75" s="48"/>
      <c r="B75" s="46">
        <v>31</v>
      </c>
      <c r="C75" s="2">
        <f t="shared" si="2"/>
        <v>31.75296319401123</v>
      </c>
      <c r="D75" s="2">
        <f t="shared" si="3"/>
        <v>44.162649339761053</v>
      </c>
      <c r="E75" s="2">
        <f t="shared" si="4"/>
        <v>198.15143974404549</v>
      </c>
      <c r="F75" s="2">
        <f t="shared" si="5"/>
        <v>87.02301809937363</v>
      </c>
      <c r="G75" s="2">
        <f t="shared" si="6"/>
        <v>2.1254351462543517</v>
      </c>
      <c r="H75" s="42"/>
      <c r="I75" s="1">
        <f t="shared" si="7"/>
        <v>26.263256394260758</v>
      </c>
      <c r="J75" s="2">
        <f t="shared" si="8"/>
        <v>17.669251729197232</v>
      </c>
      <c r="K75" s="2">
        <f t="shared" si="9"/>
        <v>3.5549235691432632</v>
      </c>
      <c r="L75" s="2">
        <f t="shared" si="10"/>
        <v>2.0943011950966453</v>
      </c>
      <c r="M75" s="2">
        <f t="shared" si="11"/>
        <v>0.1884691893846919</v>
      </c>
      <c r="N75" s="44"/>
    </row>
    <row r="76" spans="1:14">
      <c r="A76" s="48"/>
      <c r="B76" s="46">
        <v>32</v>
      </c>
      <c r="C76" s="2">
        <f t="shared" si="2"/>
        <v>14.894624674402085</v>
      </c>
      <c r="D76" s="2">
        <f t="shared" si="3"/>
        <v>5.2783014187915471</v>
      </c>
      <c r="E76" s="2">
        <f t="shared" si="4"/>
        <v>117.14544733412657</v>
      </c>
      <c r="F76" s="2">
        <f t="shared" si="5"/>
        <v>55.627578078962884</v>
      </c>
      <c r="G76" s="2">
        <f t="shared" si="6"/>
        <v>5.8015806900993363</v>
      </c>
      <c r="H76" s="50" t="s">
        <v>13</v>
      </c>
      <c r="I76" s="2">
        <f t="shared" si="7"/>
        <v>28.664456547478096</v>
      </c>
      <c r="J76" s="2">
        <f t="shared" si="8"/>
        <v>13.106458974104573</v>
      </c>
      <c r="K76" s="2">
        <f t="shared" si="9"/>
        <v>1.6374865431469205</v>
      </c>
      <c r="L76" s="2">
        <f t="shared" si="10"/>
        <v>5.2907356384080018</v>
      </c>
      <c r="M76" s="2">
        <f t="shared" si="11"/>
        <v>1.1389649210004971</v>
      </c>
      <c r="N76" s="50" t="s">
        <v>13</v>
      </c>
    </row>
    <row r="77" spans="1:14">
      <c r="A77" s="49"/>
      <c r="B77" s="47" t="s">
        <v>11</v>
      </c>
      <c r="C77" s="4">
        <f>(ABS(SUM(C4:C36)-SUM(H4:H36))/SUM(C4:C36))*100</f>
        <v>55.856569089364328</v>
      </c>
      <c r="D77" s="4">
        <f t="shared" ref="D77:G77" si="12">(ABS(SUM(D4:D36)-SUM(I4:I36))/SUM(D4:D36))*100</f>
        <v>26.833511567691779</v>
      </c>
      <c r="E77" s="4">
        <f t="shared" si="12"/>
        <v>81.380884744873754</v>
      </c>
      <c r="F77" s="4">
        <f t="shared" si="12"/>
        <v>72.095334087380934</v>
      </c>
      <c r="G77" s="4">
        <f t="shared" si="12"/>
        <v>7.0419303428076994</v>
      </c>
      <c r="H77" s="51">
        <f>SUM(C44:G76)/165</f>
        <v>46.893001763916374</v>
      </c>
      <c r="I77" s="4">
        <f>(ABS(SUM(C4:C36)-SUM(M4:M36))/SUM(C4:C36))*100</f>
        <v>10.097347427423893</v>
      </c>
      <c r="J77" s="4">
        <f t="shared" ref="J77:M77" si="13">(ABS(SUM(D4:D36)-SUM(N4:N36))/SUM(D4:D36))*100</f>
        <v>8.2133148896795092</v>
      </c>
      <c r="K77" s="4">
        <f t="shared" si="13"/>
        <v>1.5276802997758048</v>
      </c>
      <c r="L77" s="4">
        <f t="shared" si="13"/>
        <v>0.96760079985221525</v>
      </c>
      <c r="M77" s="4">
        <f t="shared" si="13"/>
        <v>0.73791880388069808</v>
      </c>
      <c r="N77" s="51">
        <f>SUM(I44:M76)/165</f>
        <v>6.2269951396092642</v>
      </c>
    </row>
  </sheetData>
  <mergeCells count="11">
    <mergeCell ref="B41:B43"/>
    <mergeCell ref="A43:A77"/>
    <mergeCell ref="C42:H42"/>
    <mergeCell ref="I42:N42"/>
    <mergeCell ref="C41:N41"/>
    <mergeCell ref="H2:L2"/>
    <mergeCell ref="B1:B3"/>
    <mergeCell ref="M2:Q2"/>
    <mergeCell ref="A3:A37"/>
    <mergeCell ref="C1:G2"/>
    <mergeCell ref="H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6C826-2E83-4E8E-8E48-1613E7648F5E}">
  <dimension ref="A1:Q77"/>
  <sheetViews>
    <sheetView topLeftCell="A57" workbookViewId="0">
      <selection activeCell="R42" sqref="R42"/>
    </sheetView>
  </sheetViews>
  <sheetFormatPr defaultRowHeight="15"/>
  <cols>
    <col min="1" max="1" width="10" bestFit="1" customWidth="1"/>
  </cols>
  <sheetData>
    <row r="1" spans="1:17">
      <c r="A1" s="68"/>
      <c r="B1" s="86" t="s">
        <v>0</v>
      </c>
      <c r="C1" s="86" t="s">
        <v>1</v>
      </c>
      <c r="D1" s="87"/>
      <c r="E1" s="87"/>
      <c r="F1" s="87"/>
      <c r="G1" s="87"/>
      <c r="H1" s="86" t="s">
        <v>2</v>
      </c>
      <c r="I1" s="87"/>
      <c r="J1" s="87"/>
      <c r="K1" s="87"/>
      <c r="L1" s="87"/>
      <c r="M1" s="87"/>
      <c r="N1" s="87"/>
      <c r="O1" s="87"/>
      <c r="P1" s="87"/>
      <c r="Q1" s="88"/>
    </row>
    <row r="2" spans="1:17">
      <c r="A2" s="68"/>
      <c r="B2" s="89"/>
      <c r="C2" s="89"/>
      <c r="D2" s="69"/>
      <c r="E2" s="69"/>
      <c r="F2" s="69"/>
      <c r="G2" s="69"/>
      <c r="H2" s="89" t="s">
        <v>3</v>
      </c>
      <c r="I2" s="69"/>
      <c r="J2" s="69"/>
      <c r="K2" s="69"/>
      <c r="L2" s="70"/>
      <c r="M2" s="71" t="s">
        <v>4</v>
      </c>
      <c r="N2" s="69"/>
      <c r="O2" s="69"/>
      <c r="P2" s="69"/>
      <c r="Q2" s="82"/>
    </row>
    <row r="3" spans="1:17">
      <c r="A3" s="78" t="s">
        <v>14</v>
      </c>
      <c r="B3" s="69"/>
      <c r="C3" s="90" t="s">
        <v>15</v>
      </c>
      <c r="D3" s="72" t="s">
        <v>16</v>
      </c>
      <c r="E3" s="73" t="s">
        <v>17</v>
      </c>
      <c r="F3" s="74" t="s">
        <v>18</v>
      </c>
      <c r="G3" s="97" t="s">
        <v>19</v>
      </c>
      <c r="H3" s="90" t="s">
        <v>15</v>
      </c>
      <c r="I3" s="72" t="s">
        <v>16</v>
      </c>
      <c r="J3" s="73" t="s">
        <v>17</v>
      </c>
      <c r="K3" s="74" t="s">
        <v>18</v>
      </c>
      <c r="L3" s="76" t="s">
        <v>19</v>
      </c>
      <c r="M3" s="75" t="s">
        <v>15</v>
      </c>
      <c r="N3" s="72" t="s">
        <v>16</v>
      </c>
      <c r="O3" s="73" t="s">
        <v>17</v>
      </c>
      <c r="P3" s="74" t="s">
        <v>18</v>
      </c>
      <c r="Q3" s="91" t="s">
        <v>19</v>
      </c>
    </row>
    <row r="4" spans="1:17">
      <c r="A4" s="79"/>
      <c r="B4" s="95">
        <v>0</v>
      </c>
      <c r="C4" s="92">
        <v>26751</v>
      </c>
      <c r="D4" s="81">
        <v>28404</v>
      </c>
      <c r="E4" s="81">
        <v>92340</v>
      </c>
      <c r="F4" s="81">
        <v>4944</v>
      </c>
      <c r="G4" s="81">
        <v>242301</v>
      </c>
      <c r="H4" s="92">
        <v>26751</v>
      </c>
      <c r="I4" s="81">
        <v>28404</v>
      </c>
      <c r="J4" s="81">
        <v>92340</v>
      </c>
      <c r="K4" s="81">
        <v>4944</v>
      </c>
      <c r="L4" s="77">
        <v>242301</v>
      </c>
      <c r="M4" s="81">
        <v>26751</v>
      </c>
      <c r="N4" s="81">
        <v>28404</v>
      </c>
      <c r="O4" s="81">
        <v>92340</v>
      </c>
      <c r="P4" s="81">
        <v>4944</v>
      </c>
      <c r="Q4" s="93">
        <v>242301</v>
      </c>
    </row>
    <row r="5" spans="1:17">
      <c r="A5" s="79"/>
      <c r="B5" s="92">
        <v>1</v>
      </c>
      <c r="C5" s="92">
        <v>13027</v>
      </c>
      <c r="D5" s="81">
        <v>53435</v>
      </c>
      <c r="E5" s="81">
        <v>74791</v>
      </c>
      <c r="F5" s="81">
        <v>5141</v>
      </c>
      <c r="G5" s="81">
        <v>248346</v>
      </c>
      <c r="H5" s="92">
        <v>49702</v>
      </c>
      <c r="I5" s="81">
        <v>29861</v>
      </c>
      <c r="J5" s="81">
        <v>89</v>
      </c>
      <c r="K5" s="81">
        <v>131</v>
      </c>
      <c r="L5" s="77">
        <v>314957</v>
      </c>
      <c r="M5" s="81">
        <v>11672</v>
      </c>
      <c r="N5" s="81">
        <v>54696</v>
      </c>
      <c r="O5" s="81">
        <v>77214</v>
      </c>
      <c r="P5" s="81">
        <v>4815</v>
      </c>
      <c r="Q5" s="93">
        <v>246343</v>
      </c>
    </row>
    <row r="6" spans="1:17">
      <c r="A6" s="79"/>
      <c r="B6" s="92">
        <v>2</v>
      </c>
      <c r="C6" s="92">
        <v>12155</v>
      </c>
      <c r="D6" s="81">
        <v>49253</v>
      </c>
      <c r="E6" s="81">
        <v>85063</v>
      </c>
      <c r="F6" s="81">
        <v>9445</v>
      </c>
      <c r="G6" s="81">
        <v>238824</v>
      </c>
      <c r="H6" s="92">
        <v>66772</v>
      </c>
      <c r="I6" s="81">
        <v>19017</v>
      </c>
      <c r="J6" s="81">
        <v>1</v>
      </c>
      <c r="K6" s="81">
        <v>358</v>
      </c>
      <c r="L6" s="77">
        <v>308592</v>
      </c>
      <c r="M6" s="81">
        <v>11517</v>
      </c>
      <c r="N6" s="81">
        <v>49526</v>
      </c>
      <c r="O6" s="81">
        <v>86456</v>
      </c>
      <c r="P6" s="81">
        <v>9189</v>
      </c>
      <c r="Q6" s="93">
        <v>238052</v>
      </c>
    </row>
    <row r="7" spans="1:17">
      <c r="A7" s="79"/>
      <c r="B7" s="92">
        <v>3</v>
      </c>
      <c r="C7" s="92">
        <v>10939</v>
      </c>
      <c r="D7" s="81">
        <v>75227</v>
      </c>
      <c r="E7" s="81">
        <v>53834</v>
      </c>
      <c r="F7" s="81">
        <v>7563</v>
      </c>
      <c r="G7" s="81">
        <v>247177</v>
      </c>
      <c r="H7" s="92">
        <v>50402</v>
      </c>
      <c r="I7" s="81">
        <v>38058</v>
      </c>
      <c r="J7" s="81">
        <v>20</v>
      </c>
      <c r="K7" s="81">
        <v>26</v>
      </c>
      <c r="L7" s="77">
        <v>306234</v>
      </c>
      <c r="M7" s="81">
        <v>9907</v>
      </c>
      <c r="N7" s="81">
        <v>76641</v>
      </c>
      <c r="O7" s="81">
        <v>55525</v>
      </c>
      <c r="P7" s="81">
        <v>7103</v>
      </c>
      <c r="Q7" s="93">
        <v>245564</v>
      </c>
    </row>
    <row r="8" spans="1:17">
      <c r="A8" s="79"/>
      <c r="B8" s="92">
        <v>4</v>
      </c>
      <c r="C8" s="92">
        <v>12421</v>
      </c>
      <c r="D8" s="81">
        <v>64716</v>
      </c>
      <c r="E8" s="81">
        <v>73883</v>
      </c>
      <c r="F8" s="81">
        <v>8931</v>
      </c>
      <c r="G8" s="81">
        <v>234789</v>
      </c>
      <c r="H8" s="92">
        <v>58146</v>
      </c>
      <c r="I8" s="81">
        <v>46414</v>
      </c>
      <c r="J8" s="81">
        <v>29</v>
      </c>
      <c r="K8" s="81">
        <v>79</v>
      </c>
      <c r="L8" s="77">
        <v>290072</v>
      </c>
      <c r="M8" s="81">
        <v>11298</v>
      </c>
      <c r="N8" s="81">
        <v>64985</v>
      </c>
      <c r="O8" s="81">
        <v>76358</v>
      </c>
      <c r="P8" s="81">
        <v>8298</v>
      </c>
      <c r="Q8" s="93">
        <v>233801</v>
      </c>
    </row>
    <row r="9" spans="1:17">
      <c r="A9" s="79"/>
      <c r="B9" s="92">
        <v>5</v>
      </c>
      <c r="C9" s="92">
        <v>14667</v>
      </c>
      <c r="D9" s="81">
        <v>52793</v>
      </c>
      <c r="E9" s="81">
        <v>68373</v>
      </c>
      <c r="F9" s="81">
        <v>6575</v>
      </c>
      <c r="G9" s="81">
        <v>252332</v>
      </c>
      <c r="H9" s="92">
        <v>59713</v>
      </c>
      <c r="I9" s="81">
        <v>32012</v>
      </c>
      <c r="J9" s="81">
        <v>495</v>
      </c>
      <c r="K9" s="81">
        <v>4</v>
      </c>
      <c r="L9" s="77">
        <v>302516</v>
      </c>
      <c r="M9" s="81">
        <v>13323</v>
      </c>
      <c r="N9" s="81">
        <v>54518</v>
      </c>
      <c r="O9" s="81">
        <v>71563</v>
      </c>
      <c r="P9" s="81">
        <v>6037</v>
      </c>
      <c r="Q9" s="93">
        <v>249299</v>
      </c>
    </row>
    <row r="10" spans="1:17">
      <c r="A10" s="79"/>
      <c r="B10" s="92">
        <v>6</v>
      </c>
      <c r="C10" s="92">
        <v>14050</v>
      </c>
      <c r="D10" s="81">
        <v>51425</v>
      </c>
      <c r="E10" s="81">
        <v>81133</v>
      </c>
      <c r="F10" s="81">
        <v>7023</v>
      </c>
      <c r="G10" s="81">
        <v>241109</v>
      </c>
      <c r="H10" s="92">
        <v>58685</v>
      </c>
      <c r="I10" s="81">
        <v>37265</v>
      </c>
      <c r="J10" s="81">
        <v>441</v>
      </c>
      <c r="K10" s="81">
        <v>172</v>
      </c>
      <c r="L10" s="77">
        <v>298177</v>
      </c>
      <c r="M10" s="81">
        <v>12984</v>
      </c>
      <c r="N10" s="81">
        <v>51500</v>
      </c>
      <c r="O10" s="81">
        <v>83859</v>
      </c>
      <c r="P10" s="81">
        <v>6626</v>
      </c>
      <c r="Q10" s="93">
        <v>239771</v>
      </c>
    </row>
    <row r="11" spans="1:17">
      <c r="A11" s="79"/>
      <c r="B11" s="92">
        <v>7</v>
      </c>
      <c r="C11" s="92">
        <v>13869</v>
      </c>
      <c r="D11" s="81">
        <v>65104</v>
      </c>
      <c r="E11" s="81">
        <v>62763</v>
      </c>
      <c r="F11" s="81">
        <v>5799</v>
      </c>
      <c r="G11" s="81">
        <v>247205</v>
      </c>
      <c r="H11" s="92">
        <v>58298</v>
      </c>
      <c r="I11" s="81">
        <v>44234</v>
      </c>
      <c r="J11" s="81">
        <v>1108</v>
      </c>
      <c r="K11" s="81">
        <v>48</v>
      </c>
      <c r="L11" s="77">
        <v>291052</v>
      </c>
      <c r="M11" s="81">
        <v>12223</v>
      </c>
      <c r="N11" s="81">
        <v>67965</v>
      </c>
      <c r="O11" s="81">
        <v>64899</v>
      </c>
      <c r="P11" s="81">
        <v>5450</v>
      </c>
      <c r="Q11" s="93">
        <v>244203</v>
      </c>
    </row>
    <row r="12" spans="1:17">
      <c r="A12" s="79"/>
      <c r="B12" s="92">
        <v>8</v>
      </c>
      <c r="C12" s="92">
        <v>13197</v>
      </c>
      <c r="D12" s="81">
        <v>55167</v>
      </c>
      <c r="E12" s="81">
        <v>53275</v>
      </c>
      <c r="F12" s="81">
        <v>4660</v>
      </c>
      <c r="G12" s="81">
        <v>268441</v>
      </c>
      <c r="H12" s="92">
        <v>42309</v>
      </c>
      <c r="I12" s="81">
        <v>46057</v>
      </c>
      <c r="J12" s="81">
        <v>541</v>
      </c>
      <c r="K12" s="81">
        <v>83</v>
      </c>
      <c r="L12" s="77">
        <v>305750</v>
      </c>
      <c r="M12" s="81">
        <v>11464</v>
      </c>
      <c r="N12" s="81">
        <v>59809</v>
      </c>
      <c r="O12" s="81">
        <v>55172</v>
      </c>
      <c r="P12" s="81">
        <v>4668</v>
      </c>
      <c r="Q12" s="93">
        <v>263627</v>
      </c>
    </row>
    <row r="13" spans="1:17">
      <c r="A13" s="79"/>
      <c r="B13" s="92">
        <v>9</v>
      </c>
      <c r="C13" s="92">
        <v>26826</v>
      </c>
      <c r="D13" s="81">
        <v>40397</v>
      </c>
      <c r="E13" s="81">
        <v>98940</v>
      </c>
      <c r="F13" s="81">
        <v>5815</v>
      </c>
      <c r="G13" s="81">
        <v>222762</v>
      </c>
      <c r="H13" s="92">
        <v>89137</v>
      </c>
      <c r="I13" s="81">
        <v>18620</v>
      </c>
      <c r="J13" s="81">
        <v>2505</v>
      </c>
      <c r="K13" s="81">
        <v>8</v>
      </c>
      <c r="L13" s="77">
        <v>284470</v>
      </c>
      <c r="M13" s="81">
        <v>25629</v>
      </c>
      <c r="N13" s="81">
        <v>39949</v>
      </c>
      <c r="O13" s="81">
        <v>102410</v>
      </c>
      <c r="P13" s="81">
        <v>5076</v>
      </c>
      <c r="Q13" s="93">
        <v>221676</v>
      </c>
    </row>
    <row r="14" spans="1:17">
      <c r="A14" s="79"/>
      <c r="B14" s="92">
        <v>10</v>
      </c>
      <c r="C14" s="92">
        <v>29291</v>
      </c>
      <c r="D14" s="81">
        <v>33583</v>
      </c>
      <c r="E14" s="81">
        <v>107828</v>
      </c>
      <c r="F14" s="81">
        <v>4964</v>
      </c>
      <c r="G14" s="81">
        <v>219074</v>
      </c>
      <c r="H14" s="92">
        <v>93759</v>
      </c>
      <c r="I14" s="81">
        <v>14909</v>
      </c>
      <c r="J14" s="81">
        <v>42</v>
      </c>
      <c r="K14" s="81">
        <v>40</v>
      </c>
      <c r="L14" s="77">
        <v>285990</v>
      </c>
      <c r="M14" s="81">
        <v>28384</v>
      </c>
      <c r="N14" s="81">
        <v>32831</v>
      </c>
      <c r="O14" s="81">
        <v>110679</v>
      </c>
      <c r="P14" s="81">
        <v>4318</v>
      </c>
      <c r="Q14" s="93">
        <v>218528</v>
      </c>
    </row>
    <row r="15" spans="1:17">
      <c r="A15" s="79"/>
      <c r="B15" s="92">
        <v>11</v>
      </c>
      <c r="C15" s="92">
        <v>48894</v>
      </c>
      <c r="D15" s="81">
        <v>21481</v>
      </c>
      <c r="E15" s="81">
        <v>102357</v>
      </c>
      <c r="F15" s="81">
        <v>3817</v>
      </c>
      <c r="G15" s="81">
        <v>218191</v>
      </c>
      <c r="H15" s="92">
        <v>115744</v>
      </c>
      <c r="I15" s="81">
        <v>14197</v>
      </c>
      <c r="J15" s="81">
        <v>175</v>
      </c>
      <c r="K15" s="81">
        <v>0</v>
      </c>
      <c r="L15" s="77">
        <v>264624</v>
      </c>
      <c r="M15" s="81">
        <v>47555</v>
      </c>
      <c r="N15" s="81">
        <v>21052</v>
      </c>
      <c r="O15" s="81">
        <v>105529</v>
      </c>
      <c r="P15" s="81">
        <v>3217</v>
      </c>
      <c r="Q15" s="93">
        <v>217387</v>
      </c>
    </row>
    <row r="16" spans="1:17">
      <c r="A16" s="79"/>
      <c r="B16" s="92">
        <v>12</v>
      </c>
      <c r="C16" s="92">
        <v>25791</v>
      </c>
      <c r="D16" s="81">
        <v>52133</v>
      </c>
      <c r="E16" s="81">
        <v>70340</v>
      </c>
      <c r="F16" s="81">
        <v>14076</v>
      </c>
      <c r="G16" s="81">
        <v>232400</v>
      </c>
      <c r="H16" s="92">
        <v>88274</v>
      </c>
      <c r="I16" s="81">
        <v>26338</v>
      </c>
      <c r="J16" s="81">
        <v>664</v>
      </c>
      <c r="K16" s="81">
        <v>167</v>
      </c>
      <c r="L16" s="77">
        <v>279297</v>
      </c>
      <c r="M16" s="81">
        <v>24041</v>
      </c>
      <c r="N16" s="81">
        <v>53497</v>
      </c>
      <c r="O16" s="81">
        <v>73598</v>
      </c>
      <c r="P16" s="81">
        <v>13450</v>
      </c>
      <c r="Q16" s="93">
        <v>230154</v>
      </c>
    </row>
    <row r="17" spans="1:17">
      <c r="A17" s="79"/>
      <c r="B17" s="92">
        <v>13</v>
      </c>
      <c r="C17" s="92">
        <v>57689</v>
      </c>
      <c r="D17" s="81">
        <v>16703</v>
      </c>
      <c r="E17" s="81">
        <v>97003</v>
      </c>
      <c r="F17" s="81">
        <v>3404</v>
      </c>
      <c r="G17" s="81">
        <v>219941</v>
      </c>
      <c r="H17" s="92">
        <v>140388</v>
      </c>
      <c r="I17" s="81">
        <v>6860</v>
      </c>
      <c r="J17" s="81">
        <v>72</v>
      </c>
      <c r="K17" s="81">
        <v>2</v>
      </c>
      <c r="L17" s="77">
        <v>247418</v>
      </c>
      <c r="M17" s="81">
        <v>55886</v>
      </c>
      <c r="N17" s="81">
        <v>16760</v>
      </c>
      <c r="O17" s="81">
        <v>100577</v>
      </c>
      <c r="P17" s="81">
        <v>3054</v>
      </c>
      <c r="Q17" s="93">
        <v>218463</v>
      </c>
    </row>
    <row r="18" spans="1:17">
      <c r="A18" s="79"/>
      <c r="B18" s="92">
        <v>14</v>
      </c>
      <c r="C18" s="92">
        <v>51564</v>
      </c>
      <c r="D18" s="81">
        <v>26096</v>
      </c>
      <c r="E18" s="81">
        <v>90667</v>
      </c>
      <c r="F18" s="81">
        <v>4888</v>
      </c>
      <c r="G18" s="81">
        <v>221525</v>
      </c>
      <c r="H18" s="92">
        <v>133725</v>
      </c>
      <c r="I18" s="81">
        <v>6788</v>
      </c>
      <c r="J18" s="81">
        <v>1434</v>
      </c>
      <c r="K18" s="81">
        <v>10</v>
      </c>
      <c r="L18" s="77">
        <v>252783</v>
      </c>
      <c r="M18" s="81">
        <v>48896</v>
      </c>
      <c r="N18" s="81">
        <v>26210</v>
      </c>
      <c r="O18" s="81">
        <v>95853</v>
      </c>
      <c r="P18" s="81">
        <v>4271</v>
      </c>
      <c r="Q18" s="93">
        <v>219510</v>
      </c>
    </row>
    <row r="19" spans="1:17">
      <c r="A19" s="79"/>
      <c r="B19" s="92">
        <v>15</v>
      </c>
      <c r="C19" s="92">
        <v>14099</v>
      </c>
      <c r="D19" s="81">
        <v>19675</v>
      </c>
      <c r="E19" s="81">
        <v>15615</v>
      </c>
      <c r="F19" s="81">
        <v>11349</v>
      </c>
      <c r="G19" s="81">
        <v>334002</v>
      </c>
      <c r="H19" s="92">
        <v>37380</v>
      </c>
      <c r="I19" s="81">
        <v>7678</v>
      </c>
      <c r="J19" s="81">
        <v>86</v>
      </c>
      <c r="K19" s="81">
        <v>206</v>
      </c>
      <c r="L19" s="77">
        <v>349390</v>
      </c>
      <c r="M19" s="81">
        <v>12982</v>
      </c>
      <c r="N19" s="81">
        <v>21728</v>
      </c>
      <c r="O19" s="81">
        <v>16627</v>
      </c>
      <c r="P19" s="81">
        <v>11211</v>
      </c>
      <c r="Q19" s="93">
        <v>332192</v>
      </c>
    </row>
    <row r="20" spans="1:17">
      <c r="A20" s="79"/>
      <c r="B20" s="92">
        <v>16</v>
      </c>
      <c r="C20" s="92">
        <v>48351</v>
      </c>
      <c r="D20" s="81">
        <v>19758</v>
      </c>
      <c r="E20" s="81">
        <v>84872</v>
      </c>
      <c r="F20" s="81">
        <v>4688</v>
      </c>
      <c r="G20" s="81">
        <v>237071</v>
      </c>
      <c r="H20" s="92">
        <v>121583</v>
      </c>
      <c r="I20" s="81">
        <v>9991</v>
      </c>
      <c r="J20" s="81">
        <v>173</v>
      </c>
      <c r="K20" s="81">
        <v>30</v>
      </c>
      <c r="L20" s="77">
        <v>262963</v>
      </c>
      <c r="M20" s="81">
        <v>47928</v>
      </c>
      <c r="N20" s="81">
        <v>20234</v>
      </c>
      <c r="O20" s="81">
        <v>86471</v>
      </c>
      <c r="P20" s="81">
        <v>4219</v>
      </c>
      <c r="Q20" s="93">
        <v>235888</v>
      </c>
    </row>
    <row r="21" spans="1:17">
      <c r="A21" s="79"/>
      <c r="B21" s="92">
        <v>17</v>
      </c>
      <c r="C21" s="92">
        <v>36260</v>
      </c>
      <c r="D21" s="81">
        <v>32921</v>
      </c>
      <c r="E21" s="81">
        <v>58156</v>
      </c>
      <c r="F21" s="81">
        <v>11013</v>
      </c>
      <c r="G21" s="81">
        <v>256390</v>
      </c>
      <c r="H21" s="92">
        <v>77679</v>
      </c>
      <c r="I21" s="81">
        <v>21113</v>
      </c>
      <c r="J21" s="81">
        <v>123</v>
      </c>
      <c r="K21" s="81">
        <v>85</v>
      </c>
      <c r="L21" s="77">
        <v>295740</v>
      </c>
      <c r="M21" s="81">
        <v>35132</v>
      </c>
      <c r="N21" s="81">
        <v>32732</v>
      </c>
      <c r="O21" s="81">
        <v>61730</v>
      </c>
      <c r="P21" s="81">
        <v>9893</v>
      </c>
      <c r="Q21" s="93">
        <v>255253</v>
      </c>
    </row>
    <row r="22" spans="1:17">
      <c r="A22" s="79"/>
      <c r="B22" s="92">
        <v>18</v>
      </c>
      <c r="C22" s="92">
        <v>24797</v>
      </c>
      <c r="D22" s="81">
        <v>48355</v>
      </c>
      <c r="E22" s="81">
        <v>40486</v>
      </c>
      <c r="F22" s="81">
        <v>16459</v>
      </c>
      <c r="G22" s="81">
        <v>264643</v>
      </c>
      <c r="H22" s="92">
        <v>68202</v>
      </c>
      <c r="I22" s="81">
        <v>24470</v>
      </c>
      <c r="J22" s="81">
        <v>30</v>
      </c>
      <c r="K22" s="81">
        <v>862</v>
      </c>
      <c r="L22" s="77">
        <v>301176</v>
      </c>
      <c r="M22" s="81">
        <v>23666</v>
      </c>
      <c r="N22" s="81">
        <v>50043</v>
      </c>
      <c r="O22" s="81">
        <v>42476</v>
      </c>
      <c r="P22" s="81">
        <v>15784</v>
      </c>
      <c r="Q22" s="93">
        <v>262771</v>
      </c>
    </row>
    <row r="23" spans="1:17">
      <c r="A23" s="79"/>
      <c r="B23" s="92">
        <v>19</v>
      </c>
      <c r="C23" s="92">
        <v>29028</v>
      </c>
      <c r="D23" s="81">
        <v>43047</v>
      </c>
      <c r="E23" s="81">
        <v>66197</v>
      </c>
      <c r="F23" s="81">
        <v>9626</v>
      </c>
      <c r="G23" s="81">
        <v>246842</v>
      </c>
      <c r="H23" s="92">
        <v>92050</v>
      </c>
      <c r="I23" s="81">
        <v>21595</v>
      </c>
      <c r="J23" s="81">
        <v>98</v>
      </c>
      <c r="K23" s="81">
        <v>47</v>
      </c>
      <c r="L23" s="77">
        <v>280950</v>
      </c>
      <c r="M23" s="81">
        <v>27612</v>
      </c>
      <c r="N23" s="81">
        <v>43815</v>
      </c>
      <c r="O23" s="81">
        <v>69440</v>
      </c>
      <c r="P23" s="81">
        <v>8928</v>
      </c>
      <c r="Q23" s="93">
        <v>244945</v>
      </c>
    </row>
    <row r="24" spans="1:17">
      <c r="A24" s="79"/>
      <c r="B24" s="92">
        <v>20</v>
      </c>
      <c r="C24" s="92">
        <v>25874</v>
      </c>
      <c r="D24" s="81">
        <v>45181</v>
      </c>
      <c r="E24" s="81">
        <v>57179</v>
      </c>
      <c r="F24" s="81">
        <v>6501</v>
      </c>
      <c r="G24" s="81">
        <v>260005</v>
      </c>
      <c r="H24" s="92">
        <v>75075</v>
      </c>
      <c r="I24" s="81">
        <v>19622</v>
      </c>
      <c r="J24" s="81">
        <v>58</v>
      </c>
      <c r="K24" s="81">
        <v>250</v>
      </c>
      <c r="L24" s="77">
        <v>299735</v>
      </c>
      <c r="M24" s="81">
        <v>24974</v>
      </c>
      <c r="N24" s="81">
        <v>45852</v>
      </c>
      <c r="O24" s="81">
        <v>59265</v>
      </c>
      <c r="P24" s="81">
        <v>5949</v>
      </c>
      <c r="Q24" s="93">
        <v>258700</v>
      </c>
    </row>
    <row r="25" spans="1:17">
      <c r="A25" s="79"/>
      <c r="B25" s="92">
        <v>21</v>
      </c>
      <c r="C25" s="92">
        <v>43187</v>
      </c>
      <c r="D25" s="81">
        <v>21317</v>
      </c>
      <c r="E25" s="81">
        <v>80356</v>
      </c>
      <c r="F25" s="81">
        <v>6623</v>
      </c>
      <c r="G25" s="81">
        <v>243257</v>
      </c>
      <c r="H25" s="92">
        <v>103981</v>
      </c>
      <c r="I25" s="81">
        <v>7946</v>
      </c>
      <c r="J25" s="81">
        <v>94</v>
      </c>
      <c r="K25" s="81">
        <v>9</v>
      </c>
      <c r="L25" s="77">
        <v>282710</v>
      </c>
      <c r="M25" s="81">
        <v>42472</v>
      </c>
      <c r="N25" s="81">
        <v>20690</v>
      </c>
      <c r="O25" s="81">
        <v>83334</v>
      </c>
      <c r="P25" s="81">
        <v>5725</v>
      </c>
      <c r="Q25" s="93">
        <v>242519</v>
      </c>
    </row>
    <row r="26" spans="1:17">
      <c r="A26" s="79"/>
      <c r="B26" s="92">
        <v>22</v>
      </c>
      <c r="C26" s="92">
        <v>24971</v>
      </c>
      <c r="D26" s="81">
        <v>51148</v>
      </c>
      <c r="E26" s="81">
        <v>44315</v>
      </c>
      <c r="F26" s="81">
        <v>12988</v>
      </c>
      <c r="G26" s="81">
        <v>261318</v>
      </c>
      <c r="H26" s="92">
        <v>74644</v>
      </c>
      <c r="I26" s="81">
        <v>21646</v>
      </c>
      <c r="J26" s="81">
        <v>31</v>
      </c>
      <c r="K26" s="81">
        <v>121</v>
      </c>
      <c r="L26" s="77">
        <v>298298</v>
      </c>
      <c r="M26" s="81">
        <v>23753</v>
      </c>
      <c r="N26" s="81">
        <v>52395</v>
      </c>
      <c r="O26" s="81">
        <v>46709</v>
      </c>
      <c r="P26" s="81">
        <v>12301</v>
      </c>
      <c r="Q26" s="93">
        <v>259582</v>
      </c>
    </row>
    <row r="27" spans="1:17">
      <c r="A27" s="79"/>
      <c r="B27" s="92">
        <v>23</v>
      </c>
      <c r="C27" s="92">
        <v>23180</v>
      </c>
      <c r="D27" s="81">
        <v>53113</v>
      </c>
      <c r="E27" s="81">
        <v>37472</v>
      </c>
      <c r="F27" s="81">
        <v>14294</v>
      </c>
      <c r="G27" s="81">
        <v>266681</v>
      </c>
      <c r="H27" s="92">
        <v>67195</v>
      </c>
      <c r="I27" s="81">
        <v>25859</v>
      </c>
      <c r="J27" s="81">
        <v>439</v>
      </c>
      <c r="K27" s="81">
        <v>47</v>
      </c>
      <c r="L27" s="77">
        <v>301200</v>
      </c>
      <c r="M27" s="81">
        <v>22119</v>
      </c>
      <c r="N27" s="81">
        <v>54394</v>
      </c>
      <c r="O27" s="81">
        <v>39442</v>
      </c>
      <c r="P27" s="81">
        <v>13678</v>
      </c>
      <c r="Q27" s="93">
        <v>265107</v>
      </c>
    </row>
    <row r="28" spans="1:17">
      <c r="A28" s="79"/>
      <c r="B28" s="92">
        <v>24</v>
      </c>
      <c r="C28" s="92">
        <v>36005</v>
      </c>
      <c r="D28" s="81">
        <v>27921</v>
      </c>
      <c r="E28" s="81">
        <v>70671</v>
      </c>
      <c r="F28" s="81">
        <v>6875</v>
      </c>
      <c r="G28" s="81">
        <v>253268</v>
      </c>
      <c r="H28" s="92">
        <v>90796</v>
      </c>
      <c r="I28" s="81">
        <v>6401</v>
      </c>
      <c r="J28" s="81">
        <v>964</v>
      </c>
      <c r="K28" s="81">
        <v>34</v>
      </c>
      <c r="L28" s="77">
        <v>296545</v>
      </c>
      <c r="M28" s="81">
        <v>35540</v>
      </c>
      <c r="N28" s="81">
        <v>27202</v>
      </c>
      <c r="O28" s="81">
        <v>73474</v>
      </c>
      <c r="P28" s="81">
        <v>5904</v>
      </c>
      <c r="Q28" s="93">
        <v>252620</v>
      </c>
    </row>
    <row r="29" spans="1:17">
      <c r="A29" s="79"/>
      <c r="B29" s="92">
        <v>25</v>
      </c>
      <c r="C29" s="92">
        <v>20254</v>
      </c>
      <c r="D29" s="81">
        <v>63068</v>
      </c>
      <c r="E29" s="81">
        <v>29347</v>
      </c>
      <c r="F29" s="81">
        <v>14630</v>
      </c>
      <c r="G29" s="81">
        <v>267441</v>
      </c>
      <c r="H29" s="92">
        <v>60178</v>
      </c>
      <c r="I29" s="81">
        <v>36571</v>
      </c>
      <c r="J29" s="81">
        <v>13</v>
      </c>
      <c r="K29" s="81">
        <v>58</v>
      </c>
      <c r="L29" s="77">
        <v>297920</v>
      </c>
      <c r="M29" s="81">
        <v>19421</v>
      </c>
      <c r="N29" s="81">
        <v>64133</v>
      </c>
      <c r="O29" s="81">
        <v>30890</v>
      </c>
      <c r="P29" s="81">
        <v>14103</v>
      </c>
      <c r="Q29" s="93">
        <v>266193</v>
      </c>
    </row>
    <row r="30" spans="1:17">
      <c r="A30" s="79"/>
      <c r="B30" s="92">
        <v>26</v>
      </c>
      <c r="C30" s="92">
        <v>22383</v>
      </c>
      <c r="D30" s="81">
        <v>44823</v>
      </c>
      <c r="E30" s="81">
        <v>37994</v>
      </c>
      <c r="F30" s="81">
        <v>10823</v>
      </c>
      <c r="G30" s="81">
        <v>278717</v>
      </c>
      <c r="H30" s="92">
        <v>61878</v>
      </c>
      <c r="I30" s="81">
        <v>27740</v>
      </c>
      <c r="J30" s="81">
        <v>378</v>
      </c>
      <c r="K30" s="81">
        <v>234</v>
      </c>
      <c r="L30" s="77">
        <v>304510</v>
      </c>
      <c r="M30" s="81">
        <v>21208</v>
      </c>
      <c r="N30" s="81">
        <v>46900</v>
      </c>
      <c r="O30" s="81">
        <v>39514</v>
      </c>
      <c r="P30" s="81">
        <v>10453</v>
      </c>
      <c r="Q30" s="93">
        <v>276665</v>
      </c>
    </row>
    <row r="31" spans="1:17">
      <c r="A31" s="79"/>
      <c r="B31" s="92">
        <v>27</v>
      </c>
      <c r="C31" s="92">
        <v>23568</v>
      </c>
      <c r="D31" s="81">
        <v>48530</v>
      </c>
      <c r="E31" s="81">
        <v>35623</v>
      </c>
      <c r="F31" s="81">
        <v>12578</v>
      </c>
      <c r="G31" s="81">
        <v>274441</v>
      </c>
      <c r="H31" s="92">
        <v>57014</v>
      </c>
      <c r="I31" s="81">
        <v>48641</v>
      </c>
      <c r="J31" s="81">
        <v>1923</v>
      </c>
      <c r="K31" s="81">
        <v>368</v>
      </c>
      <c r="L31" s="77">
        <v>286794</v>
      </c>
      <c r="M31" s="81">
        <v>20434</v>
      </c>
      <c r="N31" s="81">
        <v>55001</v>
      </c>
      <c r="O31" s="81">
        <v>38465</v>
      </c>
      <c r="P31" s="81">
        <v>12331</v>
      </c>
      <c r="Q31" s="93">
        <v>268509</v>
      </c>
    </row>
    <row r="32" spans="1:17">
      <c r="A32" s="79"/>
      <c r="B32" s="92">
        <v>28</v>
      </c>
      <c r="C32" s="92">
        <v>19388</v>
      </c>
      <c r="D32" s="81">
        <v>55080</v>
      </c>
      <c r="E32" s="81">
        <v>35247</v>
      </c>
      <c r="F32" s="81">
        <v>8666</v>
      </c>
      <c r="G32" s="81">
        <v>276359</v>
      </c>
      <c r="H32" s="92">
        <v>56082</v>
      </c>
      <c r="I32" s="81">
        <v>41055</v>
      </c>
      <c r="J32" s="81">
        <v>1515</v>
      </c>
      <c r="K32" s="81">
        <v>29</v>
      </c>
      <c r="L32" s="77">
        <v>296059</v>
      </c>
      <c r="M32" s="81">
        <v>16761</v>
      </c>
      <c r="N32" s="81">
        <v>61771</v>
      </c>
      <c r="O32" s="81">
        <v>37140</v>
      </c>
      <c r="P32" s="81">
        <v>8357</v>
      </c>
      <c r="Q32" s="93">
        <v>270711</v>
      </c>
    </row>
    <row r="33" spans="1:17">
      <c r="A33" s="79"/>
      <c r="B33" s="92">
        <v>29</v>
      </c>
      <c r="C33" s="92">
        <v>19061</v>
      </c>
      <c r="D33" s="81">
        <v>49262</v>
      </c>
      <c r="E33" s="81">
        <v>34933</v>
      </c>
      <c r="F33" s="81">
        <v>12922</v>
      </c>
      <c r="G33" s="81">
        <v>278562</v>
      </c>
      <c r="H33" s="92">
        <v>50237</v>
      </c>
      <c r="I33" s="81">
        <v>42047</v>
      </c>
      <c r="J33" s="81">
        <v>1081</v>
      </c>
      <c r="K33" s="81">
        <v>357</v>
      </c>
      <c r="L33" s="77">
        <v>301018</v>
      </c>
      <c r="M33" s="81">
        <v>16741</v>
      </c>
      <c r="N33" s="81">
        <v>56086</v>
      </c>
      <c r="O33" s="81">
        <v>36050</v>
      </c>
      <c r="P33" s="81">
        <v>12788</v>
      </c>
      <c r="Q33" s="93">
        <v>273075</v>
      </c>
    </row>
    <row r="34" spans="1:17">
      <c r="A34" s="79"/>
      <c r="B34" s="92">
        <v>30</v>
      </c>
      <c r="C34" s="92">
        <v>26117</v>
      </c>
      <c r="D34" s="81">
        <v>31915</v>
      </c>
      <c r="E34" s="81">
        <v>62468</v>
      </c>
      <c r="F34" s="81">
        <v>7417</v>
      </c>
      <c r="G34" s="81">
        <v>266823</v>
      </c>
      <c r="H34" s="92">
        <v>72069</v>
      </c>
      <c r="I34" s="81">
        <v>11772</v>
      </c>
      <c r="J34" s="81">
        <v>781</v>
      </c>
      <c r="K34" s="81">
        <v>16</v>
      </c>
      <c r="L34" s="77">
        <v>310102</v>
      </c>
      <c r="M34" s="81">
        <v>25523</v>
      </c>
      <c r="N34" s="81">
        <v>31658</v>
      </c>
      <c r="O34" s="81">
        <v>64949</v>
      </c>
      <c r="P34" s="81">
        <v>6626</v>
      </c>
      <c r="Q34" s="93">
        <v>265984</v>
      </c>
    </row>
    <row r="35" spans="1:17">
      <c r="A35" s="79"/>
      <c r="B35" s="92">
        <v>31</v>
      </c>
      <c r="C35" s="92">
        <v>4659</v>
      </c>
      <c r="D35" s="81">
        <v>24877</v>
      </c>
      <c r="E35" s="81">
        <v>7898</v>
      </c>
      <c r="F35" s="81">
        <v>4458</v>
      </c>
      <c r="G35" s="81">
        <v>352848</v>
      </c>
      <c r="H35" s="92">
        <v>22800</v>
      </c>
      <c r="I35" s="81">
        <v>7676</v>
      </c>
      <c r="J35" s="81">
        <v>4</v>
      </c>
      <c r="K35" s="81">
        <v>1</v>
      </c>
      <c r="L35" s="77">
        <v>364259</v>
      </c>
      <c r="M35" s="81">
        <v>4178</v>
      </c>
      <c r="N35" s="81">
        <v>25488</v>
      </c>
      <c r="O35" s="81">
        <v>8484</v>
      </c>
      <c r="P35" s="81">
        <v>4371</v>
      </c>
      <c r="Q35" s="93">
        <v>352219</v>
      </c>
    </row>
    <row r="36" spans="1:17">
      <c r="A36" s="79"/>
      <c r="B36" s="92">
        <v>32</v>
      </c>
      <c r="C36" s="92">
        <v>14588</v>
      </c>
      <c r="D36" s="81">
        <v>59536</v>
      </c>
      <c r="E36" s="81">
        <v>26270</v>
      </c>
      <c r="F36" s="81">
        <v>11016</v>
      </c>
      <c r="G36" s="81">
        <v>283330</v>
      </c>
      <c r="H36" s="92">
        <v>46254</v>
      </c>
      <c r="I36" s="81">
        <v>39428</v>
      </c>
      <c r="J36" s="81">
        <v>344</v>
      </c>
      <c r="K36" s="81">
        <v>86</v>
      </c>
      <c r="L36" s="77">
        <v>308628</v>
      </c>
      <c r="M36" s="81">
        <v>13061</v>
      </c>
      <c r="N36" s="81">
        <v>63766</v>
      </c>
      <c r="O36" s="81">
        <v>27215</v>
      </c>
      <c r="P36" s="81">
        <v>10797</v>
      </c>
      <c r="Q36" s="93">
        <v>279901</v>
      </c>
    </row>
    <row r="37" spans="1:17">
      <c r="A37" s="80"/>
      <c r="B37" s="96" t="s">
        <v>11</v>
      </c>
      <c r="C37" s="94">
        <v>826901</v>
      </c>
      <c r="D37" s="83">
        <v>1425444</v>
      </c>
      <c r="E37" s="83">
        <v>2037689</v>
      </c>
      <c r="F37" s="83">
        <v>279971</v>
      </c>
      <c r="G37" s="83">
        <v>8456415</v>
      </c>
      <c r="H37" s="94">
        <v>2366902</v>
      </c>
      <c r="I37" s="83">
        <v>830285</v>
      </c>
      <c r="J37" s="83">
        <v>108091</v>
      </c>
      <c r="K37" s="83">
        <v>8912</v>
      </c>
      <c r="L37" s="84">
        <v>9712230</v>
      </c>
      <c r="M37" s="83">
        <v>785035</v>
      </c>
      <c r="N37" s="83">
        <v>1472231</v>
      </c>
      <c r="O37" s="83">
        <v>2113707</v>
      </c>
      <c r="P37" s="83">
        <v>263934</v>
      </c>
      <c r="Q37" s="85">
        <v>8391513</v>
      </c>
    </row>
    <row r="41" spans="1:17">
      <c r="A41" s="7"/>
      <c r="B41" s="38" t="s">
        <v>0</v>
      </c>
      <c r="C41" s="41" t="s">
        <v>12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6"/>
    </row>
    <row r="42" spans="1:17">
      <c r="A42" s="7"/>
      <c r="B42" s="34"/>
      <c r="C42" s="38" t="s">
        <v>3</v>
      </c>
      <c r="D42" s="9"/>
      <c r="E42" s="9"/>
      <c r="F42" s="9"/>
      <c r="G42" s="9"/>
      <c r="H42" s="9"/>
      <c r="I42" s="38" t="s">
        <v>4</v>
      </c>
      <c r="J42" s="9"/>
      <c r="K42" s="9"/>
      <c r="L42" s="9"/>
      <c r="M42" s="9"/>
      <c r="N42" s="10"/>
    </row>
    <row r="43" spans="1:17">
      <c r="A43" s="15" t="s">
        <v>5</v>
      </c>
      <c r="B43" s="12"/>
      <c r="C43" s="90" t="s">
        <v>15</v>
      </c>
      <c r="D43" s="72" t="s">
        <v>16</v>
      </c>
      <c r="E43" s="73" t="s">
        <v>17</v>
      </c>
      <c r="F43" s="74" t="s">
        <v>18</v>
      </c>
      <c r="G43" s="97" t="s">
        <v>19</v>
      </c>
      <c r="H43" s="42"/>
      <c r="I43" s="90" t="s">
        <v>15</v>
      </c>
      <c r="J43" s="72" t="s">
        <v>16</v>
      </c>
      <c r="K43" s="73" t="s">
        <v>17</v>
      </c>
      <c r="L43" s="74" t="s">
        <v>18</v>
      </c>
      <c r="M43" s="97" t="s">
        <v>19</v>
      </c>
      <c r="N43" s="44"/>
    </row>
    <row r="44" spans="1:17">
      <c r="A44" s="48"/>
      <c r="B44" s="45">
        <v>0</v>
      </c>
      <c r="C44" s="2">
        <f>IF(C4=0, (ABS((C4+1)-(H4+1))/(C4+1))*100, (ABS(C4-H4)/C4)*100)</f>
        <v>0</v>
      </c>
      <c r="D44" s="2">
        <f t="shared" ref="D44:G59" si="0">IF(D4=0, (ABS((D4+1)-(I4+1))/(D4+1))*100, (ABS(D4-I4)/D4)*100)</f>
        <v>0</v>
      </c>
      <c r="E44" s="2">
        <f t="shared" si="0"/>
        <v>0</v>
      </c>
      <c r="F44" s="2">
        <f t="shared" si="0"/>
        <v>0</v>
      </c>
      <c r="G44" s="2">
        <f t="shared" si="0"/>
        <v>0</v>
      </c>
      <c r="H44" s="42"/>
      <c r="I44" s="1">
        <f>IF(C4=0, (ABS((C4+1)-(M4+1))/(C4+1))*100, (ABS(C4-M4)/C4)*100)</f>
        <v>0</v>
      </c>
      <c r="J44" s="2">
        <f t="shared" ref="J44:M59" si="1">IF(D4=0, (ABS((D4+1)-(N4+1))/(D4+1))*100, (ABS(D4-N4)/D4)*100)</f>
        <v>0</v>
      </c>
      <c r="K44" s="2">
        <f t="shared" si="1"/>
        <v>0</v>
      </c>
      <c r="L44" s="2">
        <f t="shared" si="1"/>
        <v>0</v>
      </c>
      <c r="M44" s="2">
        <f t="shared" si="1"/>
        <v>0</v>
      </c>
      <c r="N44" s="44"/>
    </row>
    <row r="45" spans="1:17">
      <c r="A45" s="48"/>
      <c r="B45" s="46">
        <v>1</v>
      </c>
      <c r="C45" s="2">
        <f t="shared" ref="C45:G60" si="2">IF(C5=0, (ABS((C5+1)-(H5+1))/(C5+1))*100, (ABS(C5-H5)/C5)*100)</f>
        <v>281.5306670760728</v>
      </c>
      <c r="D45" s="2">
        <f t="shared" si="0"/>
        <v>44.117151679610743</v>
      </c>
      <c r="E45" s="2">
        <f t="shared" si="0"/>
        <v>99.881001724806467</v>
      </c>
      <c r="F45" s="2">
        <f t="shared" si="0"/>
        <v>97.451857615249949</v>
      </c>
      <c r="G45" s="2">
        <f t="shared" si="0"/>
        <v>26.821853381975146</v>
      </c>
      <c r="H45" s="42"/>
      <c r="I45" s="1">
        <f t="shared" ref="I45:M60" si="3">IF(C5=0, (ABS((C5+1)-(M5+1))/(C5+1))*100, (ABS(C5-M5)/C5)*100)</f>
        <v>10.401473861978968</v>
      </c>
      <c r="J45" s="2">
        <f t="shared" si="1"/>
        <v>2.3598764854496119</v>
      </c>
      <c r="K45" s="2">
        <f t="shared" si="1"/>
        <v>3.2396946156623119</v>
      </c>
      <c r="L45" s="2">
        <f t="shared" si="1"/>
        <v>6.3411787589963051</v>
      </c>
      <c r="M45" s="2">
        <f t="shared" si="1"/>
        <v>0.80653604245689481</v>
      </c>
      <c r="N45" s="44"/>
    </row>
    <row r="46" spans="1:17">
      <c r="A46" s="48"/>
      <c r="B46" s="46">
        <v>2</v>
      </c>
      <c r="C46" s="2">
        <f t="shared" si="2"/>
        <v>449.337721102427</v>
      </c>
      <c r="D46" s="2">
        <f t="shared" si="0"/>
        <v>61.389153960164869</v>
      </c>
      <c r="E46" s="2">
        <f t="shared" si="0"/>
        <v>99.998824400738272</v>
      </c>
      <c r="F46" s="2">
        <f t="shared" si="0"/>
        <v>96.209634727368979</v>
      </c>
      <c r="G46" s="2">
        <f t="shared" si="0"/>
        <v>29.213144407597223</v>
      </c>
      <c r="H46" s="42"/>
      <c r="I46" s="1">
        <f t="shared" si="3"/>
        <v>5.248868778280543</v>
      </c>
      <c r="J46" s="2">
        <f t="shared" si="1"/>
        <v>0.55428095750512663</v>
      </c>
      <c r="K46" s="2">
        <f t="shared" si="1"/>
        <v>1.6376097715810636</v>
      </c>
      <c r="L46" s="2">
        <f t="shared" si="1"/>
        <v>2.710428798305982</v>
      </c>
      <c r="M46" s="2">
        <f t="shared" si="1"/>
        <v>0.32325059458010919</v>
      </c>
      <c r="N46" s="44"/>
    </row>
    <row r="47" spans="1:17">
      <c r="A47" s="48"/>
      <c r="B47" s="46">
        <v>3</v>
      </c>
      <c r="C47" s="2">
        <f t="shared" si="2"/>
        <v>360.75509644391627</v>
      </c>
      <c r="D47" s="2">
        <f t="shared" si="0"/>
        <v>49.409121724912595</v>
      </c>
      <c r="E47" s="2">
        <f t="shared" si="0"/>
        <v>99.962848757290928</v>
      </c>
      <c r="F47" s="2">
        <f t="shared" si="0"/>
        <v>99.656221076292468</v>
      </c>
      <c r="G47" s="2">
        <f t="shared" si="0"/>
        <v>23.892595184827066</v>
      </c>
      <c r="H47" s="42"/>
      <c r="I47" s="1">
        <f t="shared" si="3"/>
        <v>9.4341347472346655</v>
      </c>
      <c r="J47" s="2">
        <f t="shared" si="1"/>
        <v>1.8796442766559878</v>
      </c>
      <c r="K47" s="2">
        <f t="shared" si="1"/>
        <v>3.1411375710517517</v>
      </c>
      <c r="L47" s="2">
        <f t="shared" si="1"/>
        <v>6.082242496363877</v>
      </c>
      <c r="M47" s="2">
        <f t="shared" si="1"/>
        <v>0.65256880696828579</v>
      </c>
      <c r="N47" s="44"/>
    </row>
    <row r="48" spans="1:17">
      <c r="A48" s="48"/>
      <c r="B48" s="46">
        <v>4</v>
      </c>
      <c r="C48" s="2">
        <f t="shared" si="2"/>
        <v>368.12655985830446</v>
      </c>
      <c r="D48" s="2">
        <f t="shared" si="0"/>
        <v>28.280487051115642</v>
      </c>
      <c r="E48" s="2">
        <f t="shared" si="0"/>
        <v>99.960748751404253</v>
      </c>
      <c r="F48" s="2">
        <f t="shared" si="0"/>
        <v>99.115440600156759</v>
      </c>
      <c r="G48" s="2">
        <f t="shared" si="0"/>
        <v>23.545821993364253</v>
      </c>
      <c r="H48" s="42"/>
      <c r="I48" s="1">
        <f t="shared" si="3"/>
        <v>9.0411400048305293</v>
      </c>
      <c r="J48" s="2">
        <f t="shared" si="1"/>
        <v>0.41566227826194452</v>
      </c>
      <c r="K48" s="2">
        <f t="shared" si="1"/>
        <v>3.3498910439478635</v>
      </c>
      <c r="L48" s="2">
        <f t="shared" si="1"/>
        <v>7.0876721531743359</v>
      </c>
      <c r="M48" s="2">
        <f t="shared" si="1"/>
        <v>0.42080335961224757</v>
      </c>
      <c r="N48" s="44"/>
    </row>
    <row r="49" spans="1:14">
      <c r="A49" s="48"/>
      <c r="B49" s="46">
        <v>5</v>
      </c>
      <c r="C49" s="2">
        <f t="shared" si="2"/>
        <v>307.12483807186197</v>
      </c>
      <c r="D49" s="2">
        <f t="shared" si="0"/>
        <v>39.363173147955223</v>
      </c>
      <c r="E49" s="2">
        <f t="shared" si="0"/>
        <v>99.276030011846785</v>
      </c>
      <c r="F49" s="2">
        <f t="shared" si="0"/>
        <v>99.939163498098864</v>
      </c>
      <c r="G49" s="2">
        <f t="shared" si="0"/>
        <v>19.888083952887467</v>
      </c>
      <c r="H49" s="42"/>
      <c r="I49" s="1">
        <f t="shared" si="3"/>
        <v>9.1634281039067282</v>
      </c>
      <c r="J49" s="2">
        <f t="shared" si="1"/>
        <v>3.2674786430019127</v>
      </c>
      <c r="K49" s="2">
        <f t="shared" si="1"/>
        <v>4.6655843680985187</v>
      </c>
      <c r="L49" s="2">
        <f t="shared" si="1"/>
        <v>8.1825095057034218</v>
      </c>
      <c r="M49" s="2">
        <f t="shared" si="1"/>
        <v>1.2019878572674096</v>
      </c>
      <c r="N49" s="44"/>
    </row>
    <row r="50" spans="1:14">
      <c r="A50" s="48"/>
      <c r="B50" s="46">
        <v>6</v>
      </c>
      <c r="C50" s="2">
        <f t="shared" si="2"/>
        <v>317.68683274021356</v>
      </c>
      <c r="D50" s="2">
        <f t="shared" si="0"/>
        <v>27.535245503159945</v>
      </c>
      <c r="E50" s="2">
        <f t="shared" si="0"/>
        <v>99.456448054429146</v>
      </c>
      <c r="F50" s="2">
        <f t="shared" si="0"/>
        <v>97.55090417200627</v>
      </c>
      <c r="G50" s="2">
        <f t="shared" si="0"/>
        <v>23.668963000136866</v>
      </c>
      <c r="H50" s="42"/>
      <c r="I50" s="1">
        <f t="shared" si="3"/>
        <v>7.5871886120996432</v>
      </c>
      <c r="J50" s="2">
        <f t="shared" si="1"/>
        <v>0.14584346135148274</v>
      </c>
      <c r="K50" s="2">
        <f t="shared" si="1"/>
        <v>3.3599152009663147</v>
      </c>
      <c r="L50" s="2">
        <f t="shared" si="1"/>
        <v>5.6528549053111208</v>
      </c>
      <c r="M50" s="2">
        <f t="shared" si="1"/>
        <v>0.55493573446034783</v>
      </c>
      <c r="N50" s="44"/>
    </row>
    <row r="51" spans="1:14">
      <c r="A51" s="48"/>
      <c r="B51" s="46">
        <v>7</v>
      </c>
      <c r="C51" s="2">
        <f t="shared" si="2"/>
        <v>320.34753767394909</v>
      </c>
      <c r="D51" s="2">
        <f t="shared" si="0"/>
        <v>32.056402064389282</v>
      </c>
      <c r="E51" s="2">
        <f t="shared" si="0"/>
        <v>98.234628682504024</v>
      </c>
      <c r="F51" s="2">
        <f t="shared" si="0"/>
        <v>99.172271081220899</v>
      </c>
      <c r="G51" s="2">
        <f t="shared" si="0"/>
        <v>17.737100786796383</v>
      </c>
      <c r="H51" s="42"/>
      <c r="I51" s="1">
        <f t="shared" si="3"/>
        <v>11.868195255606027</v>
      </c>
      <c r="J51" s="2">
        <f t="shared" si="1"/>
        <v>4.3945072499385596</v>
      </c>
      <c r="K51" s="2">
        <f t="shared" si="1"/>
        <v>3.4032790019597532</v>
      </c>
      <c r="L51" s="2">
        <f t="shared" si="1"/>
        <v>6.0182790136230384</v>
      </c>
      <c r="M51" s="2">
        <f t="shared" si="1"/>
        <v>1.2143767318622196</v>
      </c>
      <c r="N51" s="44"/>
    </row>
    <row r="52" spans="1:14">
      <c r="A52" s="48"/>
      <c r="B52" s="46">
        <v>8</v>
      </c>
      <c r="C52" s="2">
        <f t="shared" si="2"/>
        <v>220.59558990679702</v>
      </c>
      <c r="D52" s="2">
        <f t="shared" si="0"/>
        <v>16.513495386734821</v>
      </c>
      <c r="E52" s="2">
        <f t="shared" si="0"/>
        <v>98.984514312529328</v>
      </c>
      <c r="F52" s="2">
        <f t="shared" si="0"/>
        <v>98.21888412017168</v>
      </c>
      <c r="G52" s="2">
        <f t="shared" si="0"/>
        <v>13.898398530775848</v>
      </c>
      <c r="H52" s="42"/>
      <c r="I52" s="1">
        <f t="shared" si="3"/>
        <v>13.131772372508904</v>
      </c>
      <c r="J52" s="2">
        <f t="shared" si="1"/>
        <v>8.4144506679717939</v>
      </c>
      <c r="K52" s="2">
        <f t="shared" si="1"/>
        <v>3.5607695917409665</v>
      </c>
      <c r="L52" s="2">
        <f t="shared" si="1"/>
        <v>0.17167381974248927</v>
      </c>
      <c r="M52" s="2">
        <f t="shared" si="1"/>
        <v>1.7933177122719703</v>
      </c>
      <c r="N52" s="44"/>
    </row>
    <row r="53" spans="1:14">
      <c r="A53" s="48"/>
      <c r="B53" s="46">
        <v>9</v>
      </c>
      <c r="C53" s="2">
        <f t="shared" si="2"/>
        <v>232.27838663982703</v>
      </c>
      <c r="D53" s="2">
        <f t="shared" si="0"/>
        <v>53.907468376364584</v>
      </c>
      <c r="E53" s="2">
        <f t="shared" si="0"/>
        <v>97.468162522741054</v>
      </c>
      <c r="F53" s="2">
        <f t="shared" si="0"/>
        <v>99.862424763542563</v>
      </c>
      <c r="G53" s="2">
        <f t="shared" si="0"/>
        <v>27.701313509485459</v>
      </c>
      <c r="H53" s="42"/>
      <c r="I53" s="1">
        <f t="shared" si="3"/>
        <v>4.4620890181167523</v>
      </c>
      <c r="J53" s="2">
        <f t="shared" si="1"/>
        <v>1.1089932420724311</v>
      </c>
      <c r="K53" s="2">
        <f t="shared" si="1"/>
        <v>3.5071760663028098</v>
      </c>
      <c r="L53" s="2">
        <f t="shared" si="1"/>
        <v>12.708512467755803</v>
      </c>
      <c r="M53" s="2">
        <f t="shared" si="1"/>
        <v>0.48751582406335009</v>
      </c>
      <c r="N53" s="44"/>
    </row>
    <row r="54" spans="1:14">
      <c r="A54" s="48"/>
      <c r="B54" s="46">
        <v>10</v>
      </c>
      <c r="C54" s="2">
        <f t="shared" si="2"/>
        <v>220.09490969922501</v>
      </c>
      <c r="D54" s="2">
        <f t="shared" si="0"/>
        <v>55.605514694934932</v>
      </c>
      <c r="E54" s="2">
        <f t="shared" si="0"/>
        <v>99.961049078161508</v>
      </c>
      <c r="F54" s="2">
        <f t="shared" si="0"/>
        <v>99.1941982272361</v>
      </c>
      <c r="G54" s="2">
        <f t="shared" si="0"/>
        <v>30.54493002364498</v>
      </c>
      <c r="H54" s="42"/>
      <c r="I54" s="1">
        <f t="shared" si="3"/>
        <v>3.096514287665153</v>
      </c>
      <c r="J54" s="2">
        <f t="shared" si="1"/>
        <v>2.2392281809248726</v>
      </c>
      <c r="K54" s="2">
        <f t="shared" si="1"/>
        <v>2.6440256705122973</v>
      </c>
      <c r="L54" s="2">
        <f t="shared" si="1"/>
        <v>13.013698630136986</v>
      </c>
      <c r="M54" s="2">
        <f t="shared" si="1"/>
        <v>0.24923085350155658</v>
      </c>
      <c r="N54" s="44"/>
    </row>
    <row r="55" spans="1:14">
      <c r="A55" s="48"/>
      <c r="B55" s="46">
        <v>11</v>
      </c>
      <c r="C55" s="2">
        <f t="shared" si="2"/>
        <v>136.72434245510695</v>
      </c>
      <c r="D55" s="2">
        <f t="shared" si="0"/>
        <v>33.909035892183795</v>
      </c>
      <c r="E55" s="2">
        <f t="shared" si="0"/>
        <v>99.82902976835976</v>
      </c>
      <c r="F55" s="2">
        <f t="shared" si="0"/>
        <v>100</v>
      </c>
      <c r="G55" s="2">
        <f t="shared" si="0"/>
        <v>21.280896095622641</v>
      </c>
      <c r="H55" s="42"/>
      <c r="I55" s="1">
        <f t="shared" si="3"/>
        <v>2.7385773305518062</v>
      </c>
      <c r="J55" s="2">
        <f t="shared" si="1"/>
        <v>1.997113728411154</v>
      </c>
      <c r="K55" s="2">
        <f t="shared" si="1"/>
        <v>3.0989575700733707</v>
      </c>
      <c r="L55" s="2">
        <f t="shared" si="1"/>
        <v>15.719151165837046</v>
      </c>
      <c r="M55" s="2">
        <f t="shared" si="1"/>
        <v>0.36848449294425523</v>
      </c>
      <c r="N55" s="44"/>
    </row>
    <row r="56" spans="1:14">
      <c r="A56" s="48"/>
      <c r="B56" s="46">
        <v>12</v>
      </c>
      <c r="C56" s="2">
        <f t="shared" si="2"/>
        <v>242.26668217595284</v>
      </c>
      <c r="D56" s="2">
        <f t="shared" si="0"/>
        <v>49.479216619032087</v>
      </c>
      <c r="E56" s="2">
        <f t="shared" si="0"/>
        <v>99.056013647995456</v>
      </c>
      <c r="F56" s="2">
        <f t="shared" si="0"/>
        <v>98.813583404376246</v>
      </c>
      <c r="G56" s="2">
        <f t="shared" si="0"/>
        <v>20.179432013769365</v>
      </c>
      <c r="H56" s="42"/>
      <c r="I56" s="1">
        <f t="shared" si="3"/>
        <v>6.7853127059827072</v>
      </c>
      <c r="J56" s="2">
        <f t="shared" si="1"/>
        <v>2.6163850152494583</v>
      </c>
      <c r="K56" s="2">
        <f t="shared" si="1"/>
        <v>4.6317884560705149</v>
      </c>
      <c r="L56" s="2">
        <f t="shared" si="1"/>
        <v>4.4472861608411485</v>
      </c>
      <c r="M56" s="2">
        <f t="shared" si="1"/>
        <v>0.9664371772805509</v>
      </c>
      <c r="N56" s="44"/>
    </row>
    <row r="57" spans="1:14">
      <c r="A57" s="48"/>
      <c r="B57" s="46">
        <v>13</v>
      </c>
      <c r="C57" s="2">
        <f t="shared" si="2"/>
        <v>143.35315224739551</v>
      </c>
      <c r="D57" s="2">
        <f t="shared" si="0"/>
        <v>58.92953361671556</v>
      </c>
      <c r="E57" s="2">
        <f t="shared" si="0"/>
        <v>99.925775491479641</v>
      </c>
      <c r="F57" s="2">
        <f t="shared" si="0"/>
        <v>99.941245593419509</v>
      </c>
      <c r="G57" s="2">
        <f t="shared" si="0"/>
        <v>12.492895822061371</v>
      </c>
      <c r="H57" s="42"/>
      <c r="I57" s="1">
        <f t="shared" si="3"/>
        <v>3.1253791884068023</v>
      </c>
      <c r="J57" s="2">
        <f t="shared" si="1"/>
        <v>0.34125606178530804</v>
      </c>
      <c r="K57" s="2">
        <f t="shared" si="1"/>
        <v>3.6844221312742906</v>
      </c>
      <c r="L57" s="2">
        <f t="shared" si="1"/>
        <v>10.282021151586369</v>
      </c>
      <c r="M57" s="2">
        <f t="shared" si="1"/>
        <v>0.67199839957079399</v>
      </c>
      <c r="N57" s="44"/>
    </row>
    <row r="58" spans="1:14">
      <c r="A58" s="48"/>
      <c r="B58" s="46">
        <v>14</v>
      </c>
      <c r="C58" s="2">
        <f t="shared" si="2"/>
        <v>159.33791016988596</v>
      </c>
      <c r="D58" s="2">
        <f t="shared" si="0"/>
        <v>73.988350705088905</v>
      </c>
      <c r="E58" s="2">
        <f t="shared" si="0"/>
        <v>98.418388167690566</v>
      </c>
      <c r="F58" s="2">
        <f t="shared" si="0"/>
        <v>99.795417348608837</v>
      </c>
      <c r="G58" s="2">
        <f t="shared" si="0"/>
        <v>14.11037128992213</v>
      </c>
      <c r="H58" s="42"/>
      <c r="I58" s="1">
        <f t="shared" si="3"/>
        <v>5.1741525095027541</v>
      </c>
      <c r="J58" s="2">
        <f t="shared" si="1"/>
        <v>0.43684855916615573</v>
      </c>
      <c r="K58" s="2">
        <f t="shared" si="1"/>
        <v>5.7198319123826753</v>
      </c>
      <c r="L58" s="2">
        <f t="shared" si="1"/>
        <v>12.622749590834697</v>
      </c>
      <c r="M58" s="2">
        <f t="shared" si="1"/>
        <v>0.90960388218034094</v>
      </c>
      <c r="N58" s="44"/>
    </row>
    <row r="59" spans="1:14">
      <c r="A59" s="48"/>
      <c r="B59" s="46">
        <v>15</v>
      </c>
      <c r="C59" s="2">
        <f t="shared" si="2"/>
        <v>165.12518618341727</v>
      </c>
      <c r="D59" s="2">
        <f t="shared" si="0"/>
        <v>60.975857687420586</v>
      </c>
      <c r="E59" s="2">
        <f t="shared" si="0"/>
        <v>99.449247518411781</v>
      </c>
      <c r="F59" s="2">
        <f t="shared" si="0"/>
        <v>98.184862102387868</v>
      </c>
      <c r="G59" s="2">
        <f t="shared" si="0"/>
        <v>4.6071580409698143</v>
      </c>
      <c r="H59" s="42"/>
      <c r="I59" s="1">
        <f t="shared" si="3"/>
        <v>7.9225476984183283</v>
      </c>
      <c r="J59" s="2">
        <f t="shared" si="1"/>
        <v>10.434561626429479</v>
      </c>
      <c r="K59" s="2">
        <f t="shared" si="1"/>
        <v>6.4809478065962214</v>
      </c>
      <c r="L59" s="2">
        <f t="shared" si="1"/>
        <v>1.2159661644197728</v>
      </c>
      <c r="M59" s="2">
        <f t="shared" si="1"/>
        <v>0.54191292267710978</v>
      </c>
      <c r="N59" s="44"/>
    </row>
    <row r="60" spans="1:14">
      <c r="A60" s="48"/>
      <c r="B60" s="46">
        <v>16</v>
      </c>
      <c r="C60" s="2">
        <f t="shared" si="2"/>
        <v>151.45912183822466</v>
      </c>
      <c r="D60" s="2">
        <f t="shared" si="2"/>
        <v>49.433141006174715</v>
      </c>
      <c r="E60" s="2">
        <f t="shared" si="2"/>
        <v>99.79616363464983</v>
      </c>
      <c r="F60" s="2">
        <f t="shared" si="2"/>
        <v>99.36006825938567</v>
      </c>
      <c r="G60" s="2">
        <f t="shared" si="2"/>
        <v>10.921622636256648</v>
      </c>
      <c r="H60" s="42"/>
      <c r="I60" s="1">
        <f t="shared" si="3"/>
        <v>0.87485264006949182</v>
      </c>
      <c r="J60" s="2">
        <f t="shared" si="3"/>
        <v>2.4091507237574654</v>
      </c>
      <c r="K60" s="2">
        <f t="shared" si="3"/>
        <v>1.8840135733810917</v>
      </c>
      <c r="L60" s="2">
        <f t="shared" si="3"/>
        <v>10.004266211604095</v>
      </c>
      <c r="M60" s="2">
        <f t="shared" si="3"/>
        <v>0.49900662670676715</v>
      </c>
      <c r="N60" s="44"/>
    </row>
    <row r="61" spans="1:14">
      <c r="A61" s="48"/>
      <c r="B61" s="46">
        <v>17</v>
      </c>
      <c r="C61" s="2">
        <f t="shared" ref="C61:G76" si="4">IF(C21=0, (ABS((C21+1)-(H21+1))/(C21+1))*100, (ABS(C21-H21)/C21)*100)</f>
        <v>114.22779922779922</v>
      </c>
      <c r="D61" s="2">
        <f t="shared" si="4"/>
        <v>35.867683241699829</v>
      </c>
      <c r="E61" s="2">
        <f t="shared" si="4"/>
        <v>99.788499896829222</v>
      </c>
      <c r="F61" s="2">
        <f t="shared" si="4"/>
        <v>99.228184872423498</v>
      </c>
      <c r="G61" s="2">
        <f t="shared" si="4"/>
        <v>15.347712469285074</v>
      </c>
      <c r="H61" s="42"/>
      <c r="I61" s="1">
        <f t="shared" ref="I61:M76" si="5">IF(C21=0, (ABS((C21+1)-(M21+1))/(C21+1))*100, (ABS(C21-M21)/C21)*100)</f>
        <v>3.1108659680088251</v>
      </c>
      <c r="J61" s="2">
        <f t="shared" si="5"/>
        <v>0.57410163725281738</v>
      </c>
      <c r="K61" s="2">
        <f t="shared" si="5"/>
        <v>6.1455395831900406</v>
      </c>
      <c r="L61" s="2">
        <f t="shared" si="5"/>
        <v>10.16979932806683</v>
      </c>
      <c r="M61" s="2">
        <f t="shared" si="5"/>
        <v>0.44346503373766527</v>
      </c>
      <c r="N61" s="44"/>
    </row>
    <row r="62" spans="1:14">
      <c r="A62" s="48"/>
      <c r="B62" s="46">
        <v>18</v>
      </c>
      <c r="C62" s="2">
        <f t="shared" si="4"/>
        <v>175.04133564544097</v>
      </c>
      <c r="D62" s="2">
        <f t="shared" si="4"/>
        <v>49.39509874883673</v>
      </c>
      <c r="E62" s="2">
        <f t="shared" si="4"/>
        <v>99.925900311218697</v>
      </c>
      <c r="F62" s="2">
        <f t="shared" si="4"/>
        <v>94.762743787593422</v>
      </c>
      <c r="G62" s="2">
        <f t="shared" si="4"/>
        <v>13.804634923273994</v>
      </c>
      <c r="H62" s="42"/>
      <c r="I62" s="1">
        <f t="shared" si="5"/>
        <v>4.5610356091462672</v>
      </c>
      <c r="J62" s="2">
        <f t="shared" si="5"/>
        <v>3.490848929790094</v>
      </c>
      <c r="K62" s="2">
        <f t="shared" si="5"/>
        <v>4.9152793558267058</v>
      </c>
      <c r="L62" s="2">
        <f t="shared" si="5"/>
        <v>4.10109970229054</v>
      </c>
      <c r="M62" s="2">
        <f t="shared" si="5"/>
        <v>0.7073680392075361</v>
      </c>
      <c r="N62" s="44"/>
    </row>
    <row r="63" spans="1:14">
      <c r="A63" s="48"/>
      <c r="B63" s="46">
        <v>19</v>
      </c>
      <c r="C63" s="2">
        <f t="shared" si="4"/>
        <v>217.10762022874465</v>
      </c>
      <c r="D63" s="2">
        <f t="shared" si="4"/>
        <v>49.833902478686085</v>
      </c>
      <c r="E63" s="2">
        <f t="shared" si="4"/>
        <v>99.851957037327978</v>
      </c>
      <c r="F63" s="2">
        <f t="shared" si="4"/>
        <v>99.511739040099741</v>
      </c>
      <c r="G63" s="2">
        <f t="shared" si="4"/>
        <v>13.817745764497127</v>
      </c>
      <c r="H63" s="42"/>
      <c r="I63" s="1">
        <f t="shared" si="5"/>
        <v>4.8780487804878048</v>
      </c>
      <c r="J63" s="2">
        <f t="shared" si="5"/>
        <v>1.7840964527144749</v>
      </c>
      <c r="K63" s="2">
        <f t="shared" si="5"/>
        <v>4.8990135504630121</v>
      </c>
      <c r="L63" s="2">
        <f t="shared" si="5"/>
        <v>7.2511946810720973</v>
      </c>
      <c r="M63" s="2">
        <f t="shared" si="5"/>
        <v>0.76850779040843942</v>
      </c>
      <c r="N63" s="44"/>
    </row>
    <row r="64" spans="1:14">
      <c r="A64" s="48"/>
      <c r="B64" s="46">
        <v>20</v>
      </c>
      <c r="C64" s="2">
        <f t="shared" si="4"/>
        <v>190.15614130014686</v>
      </c>
      <c r="D64" s="2">
        <f t="shared" si="4"/>
        <v>56.570239702529825</v>
      </c>
      <c r="E64" s="2">
        <f t="shared" si="4"/>
        <v>99.898564158169961</v>
      </c>
      <c r="F64" s="2">
        <f t="shared" si="4"/>
        <v>96.154437778803256</v>
      </c>
      <c r="G64" s="2">
        <f t="shared" si="4"/>
        <v>15.280475375473548</v>
      </c>
      <c r="H64" s="42"/>
      <c r="I64" s="1">
        <f t="shared" si="5"/>
        <v>3.4783953003014609</v>
      </c>
      <c r="J64" s="2">
        <f t="shared" si="5"/>
        <v>1.4851375578229786</v>
      </c>
      <c r="K64" s="2">
        <f t="shared" si="5"/>
        <v>3.6481925182322184</v>
      </c>
      <c r="L64" s="2">
        <f t="shared" si="5"/>
        <v>8.4910013844024004</v>
      </c>
      <c r="M64" s="2">
        <f t="shared" si="5"/>
        <v>0.50191342474183187</v>
      </c>
      <c r="N64" s="44"/>
    </row>
    <row r="65" spans="1:14">
      <c r="A65" s="48"/>
      <c r="B65" s="46">
        <v>21</v>
      </c>
      <c r="C65" s="2">
        <f t="shared" si="4"/>
        <v>140.76921295760297</v>
      </c>
      <c r="D65" s="2">
        <f t="shared" si="4"/>
        <v>62.724586011164796</v>
      </c>
      <c r="E65" s="2">
        <f t="shared" si="4"/>
        <v>99.883020558514616</v>
      </c>
      <c r="F65" s="2">
        <f t="shared" si="4"/>
        <v>99.864109919975846</v>
      </c>
      <c r="G65" s="2">
        <f t="shared" si="4"/>
        <v>16.218649411938813</v>
      </c>
      <c r="H65" s="42"/>
      <c r="I65" s="1">
        <f t="shared" si="5"/>
        <v>1.6555908027878758</v>
      </c>
      <c r="J65" s="2">
        <f t="shared" si="5"/>
        <v>2.941314443871089</v>
      </c>
      <c r="K65" s="2">
        <f t="shared" si="5"/>
        <v>3.7060082632286329</v>
      </c>
      <c r="L65" s="2">
        <f t="shared" si="5"/>
        <v>13.558810206854899</v>
      </c>
      <c r="M65" s="2">
        <f t="shared" si="5"/>
        <v>0.30338284201482385</v>
      </c>
      <c r="N65" s="44"/>
    </row>
    <row r="66" spans="1:14">
      <c r="A66" s="48"/>
      <c r="B66" s="46">
        <v>22</v>
      </c>
      <c r="C66" s="2">
        <f t="shared" si="4"/>
        <v>198.92275039045293</v>
      </c>
      <c r="D66" s="2">
        <f t="shared" si="4"/>
        <v>57.679674669586298</v>
      </c>
      <c r="E66" s="2">
        <f t="shared" si="4"/>
        <v>99.930046259731469</v>
      </c>
      <c r="F66" s="2">
        <f t="shared" si="4"/>
        <v>99.068370803818908</v>
      </c>
      <c r="G66" s="2">
        <f t="shared" si="4"/>
        <v>14.151340512325977</v>
      </c>
      <c r="H66" s="42"/>
      <c r="I66" s="1">
        <f t="shared" si="5"/>
        <v>4.8776580833767174</v>
      </c>
      <c r="J66" s="2">
        <f t="shared" si="5"/>
        <v>2.4380229921013528</v>
      </c>
      <c r="K66" s="2">
        <f t="shared" si="5"/>
        <v>5.4022340065440595</v>
      </c>
      <c r="L66" s="2">
        <f t="shared" si="5"/>
        <v>5.2894979981521404</v>
      </c>
      <c r="M66" s="2">
        <f t="shared" si="5"/>
        <v>0.66432469252022441</v>
      </c>
      <c r="N66" s="44"/>
    </row>
    <row r="67" spans="1:14">
      <c r="A67" s="48"/>
      <c r="B67" s="46">
        <v>23</v>
      </c>
      <c r="C67" s="2">
        <f t="shared" si="4"/>
        <v>189.88352027610009</v>
      </c>
      <c r="D67" s="2">
        <f t="shared" si="4"/>
        <v>51.313237813717926</v>
      </c>
      <c r="E67" s="2">
        <f t="shared" si="4"/>
        <v>98.828458582408203</v>
      </c>
      <c r="F67" s="2">
        <f t="shared" si="4"/>
        <v>99.671190709388554</v>
      </c>
      <c r="G67" s="2">
        <f t="shared" si="4"/>
        <v>12.943929263802071</v>
      </c>
      <c r="H67" s="42"/>
      <c r="I67" s="1">
        <f t="shared" si="5"/>
        <v>4.5772217428817941</v>
      </c>
      <c r="J67" s="2">
        <f t="shared" si="5"/>
        <v>2.4118389094948505</v>
      </c>
      <c r="K67" s="2">
        <f t="shared" si="5"/>
        <v>5.2572587532023904</v>
      </c>
      <c r="L67" s="2">
        <f t="shared" si="5"/>
        <v>4.3095004897159646</v>
      </c>
      <c r="M67" s="2">
        <f t="shared" si="5"/>
        <v>0.59021827576767749</v>
      </c>
      <c r="N67" s="44"/>
    </row>
    <row r="68" spans="1:14">
      <c r="A68" s="48"/>
      <c r="B68" s="46">
        <v>24</v>
      </c>
      <c r="C68" s="2">
        <f t="shared" si="4"/>
        <v>152.17608665463129</v>
      </c>
      <c r="D68" s="2">
        <f t="shared" si="4"/>
        <v>77.074603345152397</v>
      </c>
      <c r="E68" s="2">
        <f t="shared" si="4"/>
        <v>98.635932702239955</v>
      </c>
      <c r="F68" s="2">
        <f t="shared" si="4"/>
        <v>99.50545454545454</v>
      </c>
      <c r="G68" s="2">
        <f t="shared" si="4"/>
        <v>17.087433074845617</v>
      </c>
      <c r="H68" s="42"/>
      <c r="I68" s="1">
        <f t="shared" si="5"/>
        <v>1.2914872934314678</v>
      </c>
      <c r="J68" s="2">
        <f t="shared" si="5"/>
        <v>2.5751226675262346</v>
      </c>
      <c r="K68" s="2">
        <f t="shared" si="5"/>
        <v>3.9662662195242748</v>
      </c>
      <c r="L68" s="2">
        <f t="shared" si="5"/>
        <v>14.123636363636363</v>
      </c>
      <c r="M68" s="2">
        <f t="shared" si="5"/>
        <v>0.25585545746008181</v>
      </c>
      <c r="N68" s="44"/>
    </row>
    <row r="69" spans="1:14">
      <c r="A69" s="48"/>
      <c r="B69" s="46">
        <v>25</v>
      </c>
      <c r="C69" s="2">
        <f t="shared" si="4"/>
        <v>197.11661893946874</v>
      </c>
      <c r="D69" s="2">
        <f t="shared" si="4"/>
        <v>42.013382380922181</v>
      </c>
      <c r="E69" s="2">
        <f t="shared" si="4"/>
        <v>99.955702456809888</v>
      </c>
      <c r="F69" s="2">
        <f t="shared" si="4"/>
        <v>99.603554340396443</v>
      </c>
      <c r="G69" s="2">
        <f t="shared" si="4"/>
        <v>11.396532319277897</v>
      </c>
      <c r="H69" s="42"/>
      <c r="I69" s="1">
        <f t="shared" si="5"/>
        <v>4.1127678483262562</v>
      </c>
      <c r="J69" s="2">
        <f t="shared" si="5"/>
        <v>1.6886535168389676</v>
      </c>
      <c r="K69" s="2">
        <f t="shared" si="5"/>
        <v>5.2577776263331852</v>
      </c>
      <c r="L69" s="2">
        <f t="shared" si="5"/>
        <v>3.6021872863978128</v>
      </c>
      <c r="M69" s="2">
        <f t="shared" si="5"/>
        <v>0.46664497964036927</v>
      </c>
      <c r="N69" s="44"/>
    </row>
    <row r="70" spans="1:14">
      <c r="A70" s="48"/>
      <c r="B70" s="46">
        <v>26</v>
      </c>
      <c r="C70" s="2">
        <f t="shared" si="4"/>
        <v>176.45087789840503</v>
      </c>
      <c r="D70" s="2">
        <f t="shared" si="4"/>
        <v>38.112129933293176</v>
      </c>
      <c r="E70" s="2">
        <f t="shared" si="4"/>
        <v>99.00510606937938</v>
      </c>
      <c r="F70" s="2">
        <f t="shared" si="4"/>
        <v>97.837937725214815</v>
      </c>
      <c r="G70" s="2">
        <f t="shared" si="4"/>
        <v>9.2541897336725061</v>
      </c>
      <c r="H70" s="42"/>
      <c r="I70" s="1">
        <f t="shared" si="5"/>
        <v>5.2495197247911358</v>
      </c>
      <c r="J70" s="2">
        <f t="shared" si="5"/>
        <v>4.6337817638266072</v>
      </c>
      <c r="K70" s="2">
        <f t="shared" si="5"/>
        <v>4.0006316786861085</v>
      </c>
      <c r="L70" s="2">
        <f t="shared" si="5"/>
        <v>3.4186454772244295</v>
      </c>
      <c r="M70" s="2">
        <f t="shared" si="5"/>
        <v>0.73623065690287992</v>
      </c>
      <c r="N70" s="44"/>
    </row>
    <row r="71" spans="1:14">
      <c r="A71" s="48"/>
      <c r="B71" s="46">
        <v>27</v>
      </c>
      <c r="C71" s="2">
        <f t="shared" si="4"/>
        <v>141.91276306856756</v>
      </c>
      <c r="D71" s="2">
        <f t="shared" si="4"/>
        <v>0.22872450030908714</v>
      </c>
      <c r="E71" s="2">
        <f t="shared" si="4"/>
        <v>94.601802206439658</v>
      </c>
      <c r="F71" s="2">
        <f t="shared" si="4"/>
        <v>97.074256638575278</v>
      </c>
      <c r="G71" s="2">
        <f t="shared" si="4"/>
        <v>4.5011496095699988</v>
      </c>
      <c r="H71" s="42"/>
      <c r="I71" s="1">
        <f t="shared" si="5"/>
        <v>13.297691785471827</v>
      </c>
      <c r="J71" s="2">
        <f t="shared" si="5"/>
        <v>13.33402019369462</v>
      </c>
      <c r="K71" s="2">
        <f t="shared" si="5"/>
        <v>7.9779917469050883</v>
      </c>
      <c r="L71" s="2">
        <f t="shared" si="5"/>
        <v>1.9637462235649545</v>
      </c>
      <c r="M71" s="2">
        <f t="shared" si="5"/>
        <v>2.1614846178231386</v>
      </c>
      <c r="N71" s="44"/>
    </row>
    <row r="72" spans="1:14">
      <c r="A72" s="48"/>
      <c r="B72" s="46">
        <v>28</v>
      </c>
      <c r="C72" s="2">
        <f t="shared" si="4"/>
        <v>189.26139880338354</v>
      </c>
      <c r="D72" s="2">
        <f t="shared" si="4"/>
        <v>25.462962962962965</v>
      </c>
      <c r="E72" s="2">
        <f t="shared" si="4"/>
        <v>95.701761852072522</v>
      </c>
      <c r="F72" s="2">
        <f t="shared" si="4"/>
        <v>99.66535887375953</v>
      </c>
      <c r="G72" s="2">
        <f t="shared" si="4"/>
        <v>7.1284090621257139</v>
      </c>
      <c r="H72" s="42"/>
      <c r="I72" s="1">
        <f t="shared" si="5"/>
        <v>13.549618320610687</v>
      </c>
      <c r="J72" s="2">
        <f t="shared" si="5"/>
        <v>12.147785039941903</v>
      </c>
      <c r="K72" s="2">
        <f t="shared" si="5"/>
        <v>5.3706698442420633</v>
      </c>
      <c r="L72" s="2">
        <f t="shared" si="5"/>
        <v>3.5656588968382184</v>
      </c>
      <c r="M72" s="2">
        <f t="shared" si="5"/>
        <v>2.0437184965931996</v>
      </c>
      <c r="N72" s="44"/>
    </row>
    <row r="73" spans="1:14">
      <c r="A73" s="48"/>
      <c r="B73" s="46">
        <v>29</v>
      </c>
      <c r="C73" s="2">
        <f t="shared" si="4"/>
        <v>163.55909973243797</v>
      </c>
      <c r="D73" s="2">
        <f t="shared" si="4"/>
        <v>14.646177581096993</v>
      </c>
      <c r="E73" s="2">
        <f t="shared" si="4"/>
        <v>96.905504823519308</v>
      </c>
      <c r="F73" s="2">
        <f t="shared" si="4"/>
        <v>97.237269772481042</v>
      </c>
      <c r="G73" s="2">
        <f t="shared" si="4"/>
        <v>8.0614010525484439</v>
      </c>
      <c r="H73" s="42"/>
      <c r="I73" s="1">
        <f t="shared" si="5"/>
        <v>12.171449556686428</v>
      </c>
      <c r="J73" s="2">
        <f t="shared" si="5"/>
        <v>13.852462344200397</v>
      </c>
      <c r="K73" s="2">
        <f t="shared" si="5"/>
        <v>3.197549594938883</v>
      </c>
      <c r="L73" s="2">
        <f t="shared" si="5"/>
        <v>1.0369911778362484</v>
      </c>
      <c r="M73" s="2">
        <f t="shared" si="5"/>
        <v>1.9697589764576646</v>
      </c>
      <c r="N73" s="44"/>
    </row>
    <row r="74" spans="1:14">
      <c r="A74" s="48"/>
      <c r="B74" s="46">
        <v>30</v>
      </c>
      <c r="C74" s="2">
        <f t="shared" si="4"/>
        <v>175.94670138224146</v>
      </c>
      <c r="D74" s="2">
        <f t="shared" si="4"/>
        <v>63.11452295159016</v>
      </c>
      <c r="E74" s="2">
        <f t="shared" si="4"/>
        <v>98.749759877057059</v>
      </c>
      <c r="F74" s="2">
        <f t="shared" si="4"/>
        <v>99.784279358231089</v>
      </c>
      <c r="G74" s="2">
        <f t="shared" si="4"/>
        <v>16.220115957020198</v>
      </c>
      <c r="H74" s="42"/>
      <c r="I74" s="1">
        <f t="shared" si="5"/>
        <v>2.2743806715932151</v>
      </c>
      <c r="J74" s="2">
        <f t="shared" si="5"/>
        <v>0.80526398245339192</v>
      </c>
      <c r="K74" s="2">
        <f t="shared" si="5"/>
        <v>3.9716334763398855</v>
      </c>
      <c r="L74" s="2">
        <f t="shared" si="5"/>
        <v>10.664689227450452</v>
      </c>
      <c r="M74" s="2">
        <f t="shared" si="5"/>
        <v>0.31444065916356534</v>
      </c>
      <c r="N74" s="44"/>
    </row>
    <row r="75" spans="1:14">
      <c r="A75" s="48"/>
      <c r="B75" s="46">
        <v>31</v>
      </c>
      <c r="C75" s="2">
        <f t="shared" si="4"/>
        <v>389.37540244687699</v>
      </c>
      <c r="D75" s="2">
        <f t="shared" si="4"/>
        <v>69.144189411906581</v>
      </c>
      <c r="E75" s="2">
        <f t="shared" si="4"/>
        <v>99.949354266903015</v>
      </c>
      <c r="F75" s="2">
        <f t="shared" si="4"/>
        <v>99.9775684163302</v>
      </c>
      <c r="G75" s="2">
        <f t="shared" si="4"/>
        <v>3.2339704348614702</v>
      </c>
      <c r="H75" s="42"/>
      <c r="I75" s="1">
        <f t="shared" si="5"/>
        <v>10.324103884953853</v>
      </c>
      <c r="J75" s="2">
        <f t="shared" si="5"/>
        <v>2.4560839329501145</v>
      </c>
      <c r="K75" s="2">
        <f t="shared" si="5"/>
        <v>7.4195998987085341</v>
      </c>
      <c r="L75" s="2">
        <f t="shared" si="5"/>
        <v>1.9515477792732168</v>
      </c>
      <c r="M75" s="2">
        <f t="shared" si="5"/>
        <v>0.17826372829093548</v>
      </c>
      <c r="N75" s="44"/>
    </row>
    <row r="76" spans="1:14">
      <c r="A76" s="48"/>
      <c r="B76" s="46">
        <v>32</v>
      </c>
      <c r="C76" s="2">
        <f t="shared" si="4"/>
        <v>217.0688236907047</v>
      </c>
      <c r="D76" s="2">
        <f t="shared" si="4"/>
        <v>33.774522977694168</v>
      </c>
      <c r="E76" s="2">
        <f t="shared" si="4"/>
        <v>98.690521507422915</v>
      </c>
      <c r="F76" s="2">
        <f t="shared" si="4"/>
        <v>99.219317356572262</v>
      </c>
      <c r="G76" s="2">
        <f t="shared" si="4"/>
        <v>8.9288109271873797</v>
      </c>
      <c r="H76" s="50" t="s">
        <v>13</v>
      </c>
      <c r="I76" s="2">
        <f t="shared" si="5"/>
        <v>10.467507540444201</v>
      </c>
      <c r="J76" s="2">
        <f t="shared" si="5"/>
        <v>7.104944907282988</v>
      </c>
      <c r="K76" s="2">
        <f t="shared" si="5"/>
        <v>3.5972592310620479</v>
      </c>
      <c r="L76" s="2">
        <f t="shared" si="5"/>
        <v>1.9880174291938997</v>
      </c>
      <c r="M76" s="2">
        <f t="shared" si="5"/>
        <v>1.2102495323474394</v>
      </c>
      <c r="N76" s="50" t="s">
        <v>13</v>
      </c>
    </row>
    <row r="77" spans="1:14">
      <c r="A77" s="49"/>
      <c r="B77" s="47" t="s">
        <v>11</v>
      </c>
      <c r="C77" s="4">
        <f>(ABS(SUM(C4:C36)-SUM(H4:H36))/SUM(C4:C36))*100</f>
        <v>186.23765118194316</v>
      </c>
      <c r="D77" s="4">
        <f t="shared" ref="D77:G77" si="6">(ABS(SUM(D4:D36)-SUM(I4:I36))/SUM(D4:D36))*100</f>
        <v>41.75253464885327</v>
      </c>
      <c r="E77" s="4">
        <f t="shared" si="6"/>
        <v>94.69541230285877</v>
      </c>
      <c r="F77" s="4">
        <f t="shared" si="6"/>
        <v>96.816813169935457</v>
      </c>
      <c r="G77" s="4">
        <f t="shared" si="6"/>
        <v>14.850441942596243</v>
      </c>
      <c r="H77" s="51">
        <f>SUM(C44:G76)/165</f>
        <v>93.366318017783087</v>
      </c>
      <c r="I77" s="4">
        <f>(ABS(SUM(C4:C36)-SUM(M4:M36))/SUM(C4:C36))*100</f>
        <v>5.0630002866123025</v>
      </c>
      <c r="J77" s="4">
        <f t="shared" ref="J77:M77" si="7">(ABS(SUM(D4:D36)-SUM(N4:N36))/SUM(D4:D36))*100</f>
        <v>3.2822755576508094</v>
      </c>
      <c r="K77" s="4">
        <f t="shared" si="7"/>
        <v>3.7305987321912224</v>
      </c>
      <c r="L77" s="4">
        <f t="shared" si="7"/>
        <v>5.7280932668026328</v>
      </c>
      <c r="M77" s="4">
        <f t="shared" si="7"/>
        <v>0.76748835055990039</v>
      </c>
      <c r="N77" s="51">
        <f>SUM(I44:M76)/165</f>
        <v>4.2796241759083218</v>
      </c>
    </row>
  </sheetData>
  <mergeCells count="11">
    <mergeCell ref="B41:B43"/>
    <mergeCell ref="C41:N41"/>
    <mergeCell ref="C42:H42"/>
    <mergeCell ref="I42:N42"/>
    <mergeCell ref="A43:A77"/>
    <mergeCell ref="B1:B3"/>
    <mergeCell ref="C1:G2"/>
    <mergeCell ref="H1:Q1"/>
    <mergeCell ref="H2:L2"/>
    <mergeCell ref="M2:Q2"/>
    <mergeCell ref="A3:A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6"/>
  <sheetViews>
    <sheetView topLeftCell="A15" workbookViewId="0">
      <selection activeCell="P10" sqref="P10"/>
    </sheetView>
  </sheetViews>
  <sheetFormatPr defaultRowHeight="15"/>
  <sheetData>
    <row r="1" spans="1:14">
      <c r="A1" s="7"/>
      <c r="B1" s="8" t="s">
        <v>0</v>
      </c>
      <c r="C1" s="9" t="s">
        <v>1</v>
      </c>
      <c r="D1" s="9"/>
      <c r="E1" s="9"/>
      <c r="F1" s="10"/>
      <c r="G1" s="9" t="s">
        <v>2</v>
      </c>
      <c r="H1" s="9"/>
      <c r="I1" s="9"/>
      <c r="J1" s="9"/>
      <c r="K1" s="9"/>
      <c r="L1" s="9"/>
      <c r="M1" s="9"/>
      <c r="N1" s="10"/>
    </row>
    <row r="2" spans="1:14">
      <c r="A2" s="7"/>
      <c r="B2" s="11"/>
      <c r="C2" s="12"/>
      <c r="D2" s="12"/>
      <c r="E2" s="12"/>
      <c r="F2" s="13"/>
      <c r="G2" s="12" t="s">
        <v>3</v>
      </c>
      <c r="H2" s="12"/>
      <c r="I2" s="12"/>
      <c r="J2" s="14"/>
      <c r="K2" s="12" t="s">
        <v>4</v>
      </c>
      <c r="L2" s="12"/>
      <c r="M2" s="12"/>
      <c r="N2" s="13"/>
    </row>
    <row r="3" spans="1:14">
      <c r="A3" s="15" t="s">
        <v>20</v>
      </c>
      <c r="B3" s="16"/>
      <c r="C3" s="64" t="s">
        <v>21</v>
      </c>
      <c r="D3" s="30" t="s">
        <v>8</v>
      </c>
      <c r="E3" s="65" t="s">
        <v>22</v>
      </c>
      <c r="F3" s="66" t="s">
        <v>23</v>
      </c>
      <c r="G3" s="64" t="s">
        <v>21</v>
      </c>
      <c r="H3" s="30" t="s">
        <v>8</v>
      </c>
      <c r="I3" s="65" t="s">
        <v>22</v>
      </c>
      <c r="J3" s="67" t="s">
        <v>23</v>
      </c>
      <c r="K3" s="64" t="s">
        <v>21</v>
      </c>
      <c r="L3" s="30" t="s">
        <v>8</v>
      </c>
      <c r="M3" s="65" t="s">
        <v>22</v>
      </c>
      <c r="N3" s="66" t="s">
        <v>23</v>
      </c>
    </row>
    <row r="4" spans="1:14">
      <c r="A4" s="17"/>
      <c r="B4" s="18">
        <v>0</v>
      </c>
      <c r="C4" s="19">
        <v>36424</v>
      </c>
      <c r="D4" s="18">
        <v>11893</v>
      </c>
      <c r="E4" s="18">
        <v>103629</v>
      </c>
      <c r="F4" s="20">
        <v>242794</v>
      </c>
      <c r="G4" s="18">
        <v>36424</v>
      </c>
      <c r="H4" s="18">
        <v>11893</v>
      </c>
      <c r="I4" s="18">
        <v>103629</v>
      </c>
      <c r="J4" s="21">
        <v>242794</v>
      </c>
      <c r="K4" s="18">
        <v>36424</v>
      </c>
      <c r="L4" s="18">
        <v>11893</v>
      </c>
      <c r="M4" s="18">
        <v>103629</v>
      </c>
      <c r="N4" s="20">
        <v>242794</v>
      </c>
    </row>
    <row r="5" spans="1:14">
      <c r="A5" s="17"/>
      <c r="B5" s="18">
        <v>1</v>
      </c>
      <c r="C5" s="19">
        <v>10100</v>
      </c>
      <c r="D5" s="18">
        <v>14209</v>
      </c>
      <c r="E5" s="18">
        <v>121326</v>
      </c>
      <c r="F5" s="20">
        <v>249105</v>
      </c>
      <c r="G5" s="18">
        <v>3024</v>
      </c>
      <c r="H5" s="18">
        <v>12070</v>
      </c>
      <c r="I5" s="18">
        <v>130735</v>
      </c>
      <c r="J5" s="21">
        <v>248911</v>
      </c>
      <c r="K5" s="18">
        <v>6413</v>
      </c>
      <c r="L5" s="18">
        <v>18812</v>
      </c>
      <c r="M5" s="18">
        <v>121743</v>
      </c>
      <c r="N5" s="20">
        <v>247772</v>
      </c>
    </row>
    <row r="6" spans="1:14">
      <c r="A6" s="17"/>
      <c r="B6" s="18">
        <v>2</v>
      </c>
      <c r="C6" s="19">
        <v>5045</v>
      </c>
      <c r="D6" s="18">
        <v>24178</v>
      </c>
      <c r="E6" s="18">
        <v>126246</v>
      </c>
      <c r="F6" s="20">
        <v>239271</v>
      </c>
      <c r="G6" s="18">
        <v>2287</v>
      </c>
      <c r="H6" s="18">
        <v>23953</v>
      </c>
      <c r="I6" s="18">
        <v>128436</v>
      </c>
      <c r="J6" s="21">
        <v>240064</v>
      </c>
      <c r="K6" s="18">
        <v>3756</v>
      </c>
      <c r="L6" s="18">
        <v>25749</v>
      </c>
      <c r="M6" s="18">
        <v>126554</v>
      </c>
      <c r="N6" s="20">
        <v>238681</v>
      </c>
    </row>
    <row r="7" spans="1:14">
      <c r="A7" s="17"/>
      <c r="B7" s="18">
        <v>3</v>
      </c>
      <c r="C7" s="19">
        <v>6245</v>
      </c>
      <c r="D7" s="18">
        <v>16502</v>
      </c>
      <c r="E7" s="18">
        <v>123624</v>
      </c>
      <c r="F7" s="20">
        <v>248369</v>
      </c>
      <c r="G7" s="18">
        <v>2697</v>
      </c>
      <c r="H7" s="18">
        <v>14135</v>
      </c>
      <c r="I7" s="18">
        <v>130427</v>
      </c>
      <c r="J7" s="21">
        <v>247481</v>
      </c>
      <c r="K7" s="18">
        <v>4395</v>
      </c>
      <c r="L7" s="18">
        <v>18660</v>
      </c>
      <c r="M7" s="18">
        <v>124473</v>
      </c>
      <c r="N7" s="20">
        <v>247212</v>
      </c>
    </row>
    <row r="8" spans="1:14">
      <c r="A8" s="17"/>
      <c r="B8" s="18">
        <v>4</v>
      </c>
      <c r="C8" s="19">
        <v>6315</v>
      </c>
      <c r="D8" s="18">
        <v>20629</v>
      </c>
      <c r="E8" s="18">
        <v>132119</v>
      </c>
      <c r="F8" s="20">
        <v>235677</v>
      </c>
      <c r="G8" s="18">
        <v>1202</v>
      </c>
      <c r="H8" s="18">
        <v>18197</v>
      </c>
      <c r="I8" s="18">
        <v>140906</v>
      </c>
      <c r="J8" s="21">
        <v>234435</v>
      </c>
      <c r="K8" s="18">
        <v>4108</v>
      </c>
      <c r="L8" s="18">
        <v>23408</v>
      </c>
      <c r="M8" s="18">
        <v>132344</v>
      </c>
      <c r="N8" s="20">
        <v>234880</v>
      </c>
    </row>
    <row r="9" spans="1:14">
      <c r="A9" s="17"/>
      <c r="B9" s="18">
        <v>5</v>
      </c>
      <c r="C9" s="19">
        <v>13301</v>
      </c>
      <c r="D9" s="18">
        <v>14095</v>
      </c>
      <c r="E9" s="18">
        <v>114232</v>
      </c>
      <c r="F9" s="20">
        <v>253112</v>
      </c>
      <c r="G9" s="18">
        <v>5630</v>
      </c>
      <c r="H9" s="18">
        <v>10651</v>
      </c>
      <c r="I9" s="18">
        <v>126737</v>
      </c>
      <c r="J9" s="21">
        <v>251722</v>
      </c>
      <c r="K9" s="18">
        <v>8964</v>
      </c>
      <c r="L9" s="18">
        <v>20179</v>
      </c>
      <c r="M9" s="18">
        <v>113812</v>
      </c>
      <c r="N9" s="20">
        <v>251785</v>
      </c>
    </row>
    <row r="10" spans="1:14">
      <c r="A10" s="17"/>
      <c r="B10" s="18">
        <v>6</v>
      </c>
      <c r="C10" s="19">
        <v>14293</v>
      </c>
      <c r="D10" s="18">
        <v>12375</v>
      </c>
      <c r="E10" s="18">
        <v>126217</v>
      </c>
      <c r="F10" s="20">
        <v>241855</v>
      </c>
      <c r="G10" s="18">
        <v>7290</v>
      </c>
      <c r="H10" s="18">
        <v>9975</v>
      </c>
      <c r="I10" s="18">
        <v>135661</v>
      </c>
      <c r="J10" s="21">
        <v>241814</v>
      </c>
      <c r="K10" s="18">
        <v>10071</v>
      </c>
      <c r="L10" s="18">
        <v>18567</v>
      </c>
      <c r="M10" s="18">
        <v>124960</v>
      </c>
      <c r="N10" s="20">
        <v>241142</v>
      </c>
    </row>
    <row r="11" spans="1:14">
      <c r="A11" s="17"/>
      <c r="B11" s="18">
        <v>7</v>
      </c>
      <c r="C11" s="19">
        <v>10097</v>
      </c>
      <c r="D11" s="18">
        <v>15075</v>
      </c>
      <c r="E11" s="18">
        <v>121675</v>
      </c>
      <c r="F11" s="20">
        <v>247893</v>
      </c>
      <c r="G11" s="18">
        <v>4938</v>
      </c>
      <c r="H11" s="18">
        <v>12761</v>
      </c>
      <c r="I11" s="18">
        <v>130888</v>
      </c>
      <c r="J11" s="21">
        <v>246153</v>
      </c>
      <c r="K11" s="18">
        <v>6850</v>
      </c>
      <c r="L11" s="18">
        <v>18867</v>
      </c>
      <c r="M11" s="18">
        <v>122877</v>
      </c>
      <c r="N11" s="20">
        <v>246146</v>
      </c>
    </row>
    <row r="12" spans="1:14">
      <c r="A12" s="17"/>
      <c r="B12" s="18">
        <v>8</v>
      </c>
      <c r="C12" s="19">
        <v>12950</v>
      </c>
      <c r="D12" s="18">
        <v>9777</v>
      </c>
      <c r="E12" s="18">
        <v>102731</v>
      </c>
      <c r="F12" s="20">
        <v>269282</v>
      </c>
      <c r="G12" s="18">
        <v>5716</v>
      </c>
      <c r="H12" s="18">
        <v>7192</v>
      </c>
      <c r="I12" s="18">
        <v>115343</v>
      </c>
      <c r="J12" s="21">
        <v>266489</v>
      </c>
      <c r="K12" s="18">
        <v>8556</v>
      </c>
      <c r="L12" s="18">
        <v>14996</v>
      </c>
      <c r="M12" s="18">
        <v>104031</v>
      </c>
      <c r="N12" s="20">
        <v>267157</v>
      </c>
    </row>
    <row r="13" spans="1:14">
      <c r="A13" s="17"/>
      <c r="B13" s="18">
        <v>9</v>
      </c>
      <c r="C13" s="19">
        <v>25119</v>
      </c>
      <c r="D13" s="18">
        <v>19555</v>
      </c>
      <c r="E13" s="18">
        <v>126701</v>
      </c>
      <c r="F13" s="20">
        <v>223365</v>
      </c>
      <c r="G13" s="18">
        <v>12041</v>
      </c>
      <c r="H13" s="18">
        <v>14589</v>
      </c>
      <c r="I13" s="18">
        <v>145045</v>
      </c>
      <c r="J13" s="21">
        <v>223065</v>
      </c>
      <c r="K13" s="18">
        <v>18313</v>
      </c>
      <c r="L13" s="18">
        <v>29860</v>
      </c>
      <c r="M13" s="18">
        <v>123703</v>
      </c>
      <c r="N13" s="20">
        <v>222864</v>
      </c>
    </row>
    <row r="14" spans="1:14">
      <c r="A14" s="17"/>
      <c r="B14" s="18">
        <v>10</v>
      </c>
      <c r="C14" s="19">
        <v>27361</v>
      </c>
      <c r="D14" s="18">
        <v>20137</v>
      </c>
      <c r="E14" s="18">
        <v>127687</v>
      </c>
      <c r="F14" s="20">
        <v>219555</v>
      </c>
      <c r="G14" s="18">
        <v>19677</v>
      </c>
      <c r="H14" s="18">
        <v>13591</v>
      </c>
      <c r="I14" s="18">
        <v>141736</v>
      </c>
      <c r="J14" s="21">
        <v>219736</v>
      </c>
      <c r="K14" s="18">
        <v>21135</v>
      </c>
      <c r="L14" s="18">
        <v>29790</v>
      </c>
      <c r="M14" s="18">
        <v>124511</v>
      </c>
      <c r="N14" s="20">
        <v>219304</v>
      </c>
    </row>
    <row r="15" spans="1:14">
      <c r="A15" s="17"/>
      <c r="B15" s="18">
        <v>11</v>
      </c>
      <c r="C15" s="19">
        <v>60955</v>
      </c>
      <c r="D15" s="18">
        <v>14310</v>
      </c>
      <c r="E15" s="18">
        <v>100821</v>
      </c>
      <c r="F15" s="20">
        <v>218654</v>
      </c>
      <c r="G15" s="18">
        <v>61069</v>
      </c>
      <c r="H15" s="18">
        <v>5274</v>
      </c>
      <c r="I15" s="18">
        <v>109098</v>
      </c>
      <c r="J15" s="21">
        <v>219299</v>
      </c>
      <c r="K15" s="18">
        <v>50109</v>
      </c>
      <c r="L15" s="18">
        <v>33567</v>
      </c>
      <c r="M15" s="18">
        <v>92811</v>
      </c>
      <c r="N15" s="20">
        <v>218253</v>
      </c>
    </row>
    <row r="16" spans="1:14">
      <c r="A16" s="17"/>
      <c r="B16" s="18">
        <v>12</v>
      </c>
      <c r="C16" s="19">
        <v>15389</v>
      </c>
      <c r="D16" s="18">
        <v>33130</v>
      </c>
      <c r="E16" s="18">
        <v>113288</v>
      </c>
      <c r="F16" s="20">
        <v>232933</v>
      </c>
      <c r="G16" s="18">
        <v>5403</v>
      </c>
      <c r="H16" s="18">
        <v>35439</v>
      </c>
      <c r="I16" s="18">
        <v>124206</v>
      </c>
      <c r="J16" s="21">
        <v>229692</v>
      </c>
      <c r="K16" s="18">
        <v>10600</v>
      </c>
      <c r="L16" s="18">
        <v>39494</v>
      </c>
      <c r="M16" s="18">
        <v>113244</v>
      </c>
      <c r="N16" s="20">
        <v>231402</v>
      </c>
    </row>
    <row r="17" spans="1:14">
      <c r="A17" s="17"/>
      <c r="B17" s="18">
        <v>13</v>
      </c>
      <c r="C17" s="19">
        <v>70673</v>
      </c>
      <c r="D17" s="18">
        <v>13609</v>
      </c>
      <c r="E17" s="18">
        <v>90351</v>
      </c>
      <c r="F17" s="20">
        <v>220107</v>
      </c>
      <c r="G17" s="18">
        <v>75621</v>
      </c>
      <c r="H17" s="18">
        <v>5184</v>
      </c>
      <c r="I17" s="18">
        <v>93637</v>
      </c>
      <c r="J17" s="21">
        <v>220298</v>
      </c>
      <c r="K17" s="18">
        <v>59641</v>
      </c>
      <c r="L17" s="18">
        <v>33032</v>
      </c>
      <c r="M17" s="18">
        <v>82882</v>
      </c>
      <c r="N17" s="20">
        <v>219185</v>
      </c>
    </row>
    <row r="18" spans="1:14">
      <c r="A18" s="17"/>
      <c r="B18" s="18">
        <v>14</v>
      </c>
      <c r="C18" s="19">
        <v>59713</v>
      </c>
      <c r="D18" s="18">
        <v>15895</v>
      </c>
      <c r="E18" s="18">
        <v>97322</v>
      </c>
      <c r="F18" s="20">
        <v>221810</v>
      </c>
      <c r="G18" s="18">
        <v>57441</v>
      </c>
      <c r="H18" s="18">
        <v>6677</v>
      </c>
      <c r="I18" s="18">
        <v>109012</v>
      </c>
      <c r="J18" s="21">
        <v>221610</v>
      </c>
      <c r="K18" s="18">
        <v>47493</v>
      </c>
      <c r="L18" s="18">
        <v>36054</v>
      </c>
      <c r="M18" s="18">
        <v>90683</v>
      </c>
      <c r="N18" s="20">
        <v>220510</v>
      </c>
    </row>
    <row r="19" spans="1:14">
      <c r="A19" s="17"/>
      <c r="B19" s="18">
        <v>15</v>
      </c>
      <c r="C19" s="19">
        <v>7562</v>
      </c>
      <c r="D19" s="18">
        <v>18183</v>
      </c>
      <c r="E19" s="18">
        <v>34903</v>
      </c>
      <c r="F19" s="20">
        <v>334092</v>
      </c>
      <c r="G19" s="18">
        <v>3113</v>
      </c>
      <c r="H19" s="18">
        <v>19782</v>
      </c>
      <c r="I19" s="18">
        <v>36651</v>
      </c>
      <c r="J19" s="21">
        <v>335194</v>
      </c>
      <c r="K19" s="18">
        <v>5591</v>
      </c>
      <c r="L19" s="18">
        <v>20413</v>
      </c>
      <c r="M19" s="18">
        <v>35805</v>
      </c>
      <c r="N19" s="20">
        <v>332931</v>
      </c>
    </row>
    <row r="20" spans="1:14">
      <c r="A20" s="17"/>
      <c r="B20" s="18">
        <v>16</v>
      </c>
      <c r="C20" s="19">
        <v>51914</v>
      </c>
      <c r="D20" s="18">
        <v>21000</v>
      </c>
      <c r="E20" s="18">
        <v>84524</v>
      </c>
      <c r="F20" s="20">
        <v>237302</v>
      </c>
      <c r="G20" s="18">
        <v>47717</v>
      </c>
      <c r="H20" s="18">
        <v>15933</v>
      </c>
      <c r="I20" s="18">
        <v>91801</v>
      </c>
      <c r="J20" s="21">
        <v>239289</v>
      </c>
      <c r="K20" s="18">
        <v>40450</v>
      </c>
      <c r="L20" s="18">
        <v>40072</v>
      </c>
      <c r="M20" s="18">
        <v>78098</v>
      </c>
      <c r="N20" s="20">
        <v>236120</v>
      </c>
    </row>
    <row r="21" spans="1:14">
      <c r="A21" s="17"/>
      <c r="B21" s="18">
        <v>17</v>
      </c>
      <c r="C21" s="19">
        <v>26753</v>
      </c>
      <c r="D21" s="18">
        <v>28320</v>
      </c>
      <c r="E21" s="18">
        <v>82856</v>
      </c>
      <c r="F21" s="20">
        <v>256811</v>
      </c>
      <c r="G21" s="18">
        <v>18550</v>
      </c>
      <c r="H21" s="18">
        <v>26562</v>
      </c>
      <c r="I21" s="18">
        <v>93232</v>
      </c>
      <c r="J21" s="21">
        <v>256396</v>
      </c>
      <c r="K21" s="18">
        <v>21337</v>
      </c>
      <c r="L21" s="18">
        <v>36625</v>
      </c>
      <c r="M21" s="18">
        <v>80725</v>
      </c>
      <c r="N21" s="20">
        <v>256053</v>
      </c>
    </row>
    <row r="22" spans="1:14">
      <c r="A22" s="17"/>
      <c r="B22" s="18">
        <v>18</v>
      </c>
      <c r="C22" s="19">
        <v>12215</v>
      </c>
      <c r="D22" s="18">
        <v>33086</v>
      </c>
      <c r="E22" s="18">
        <v>84286</v>
      </c>
      <c r="F22" s="20">
        <v>265153</v>
      </c>
      <c r="G22" s="18">
        <v>5470</v>
      </c>
      <c r="H22" s="18">
        <v>37822</v>
      </c>
      <c r="I22" s="18">
        <v>88251</v>
      </c>
      <c r="J22" s="21">
        <v>263197</v>
      </c>
      <c r="K22" s="18">
        <v>9413</v>
      </c>
      <c r="L22" s="18">
        <v>36657</v>
      </c>
      <c r="M22" s="18">
        <v>84915</v>
      </c>
      <c r="N22" s="20">
        <v>263755</v>
      </c>
    </row>
    <row r="23" spans="1:14">
      <c r="A23" s="17"/>
      <c r="B23" s="18">
        <v>19</v>
      </c>
      <c r="C23" s="19">
        <v>19524</v>
      </c>
      <c r="D23" s="18">
        <v>26867</v>
      </c>
      <c r="E23" s="18">
        <v>99562</v>
      </c>
      <c r="F23" s="20">
        <v>248787</v>
      </c>
      <c r="G23" s="18">
        <v>14514</v>
      </c>
      <c r="H23" s="18">
        <v>25199</v>
      </c>
      <c r="I23" s="18">
        <v>107263</v>
      </c>
      <c r="J23" s="21">
        <v>247764</v>
      </c>
      <c r="K23" s="18">
        <v>15384</v>
      </c>
      <c r="L23" s="18">
        <v>32665</v>
      </c>
      <c r="M23" s="18">
        <v>99127</v>
      </c>
      <c r="N23" s="20">
        <v>247564</v>
      </c>
    </row>
    <row r="24" spans="1:14">
      <c r="A24" s="17"/>
      <c r="B24" s="18">
        <v>20</v>
      </c>
      <c r="C24" s="19">
        <v>15942</v>
      </c>
      <c r="D24" s="18">
        <v>25360</v>
      </c>
      <c r="E24" s="18">
        <v>93040</v>
      </c>
      <c r="F24" s="20">
        <v>260398</v>
      </c>
      <c r="G24" s="18">
        <v>11033</v>
      </c>
      <c r="H24" s="18">
        <v>23363</v>
      </c>
      <c r="I24" s="18">
        <v>101126</v>
      </c>
      <c r="J24" s="21">
        <v>259218</v>
      </c>
      <c r="K24" s="18">
        <v>13257</v>
      </c>
      <c r="L24" s="18">
        <v>29099</v>
      </c>
      <c r="M24" s="18">
        <v>92869</v>
      </c>
      <c r="N24" s="20">
        <v>259515</v>
      </c>
    </row>
    <row r="25" spans="1:14">
      <c r="A25" s="17"/>
      <c r="B25" s="18">
        <v>21</v>
      </c>
      <c r="C25" s="19">
        <v>42766</v>
      </c>
      <c r="D25" s="18">
        <v>20757</v>
      </c>
      <c r="E25" s="18">
        <v>87628</v>
      </c>
      <c r="F25" s="20">
        <v>243589</v>
      </c>
      <c r="G25" s="18">
        <v>41198</v>
      </c>
      <c r="H25" s="18">
        <v>11787</v>
      </c>
      <c r="I25" s="18">
        <v>98267</v>
      </c>
      <c r="J25" s="21">
        <v>243488</v>
      </c>
      <c r="K25" s="18">
        <v>35311</v>
      </c>
      <c r="L25" s="18">
        <v>33574</v>
      </c>
      <c r="M25" s="18">
        <v>82768</v>
      </c>
      <c r="N25" s="20">
        <v>243087</v>
      </c>
    </row>
    <row r="26" spans="1:14">
      <c r="A26" s="17"/>
      <c r="B26" s="18">
        <v>22</v>
      </c>
      <c r="C26" s="19">
        <v>13084</v>
      </c>
      <c r="D26" s="18">
        <v>29825</v>
      </c>
      <c r="E26" s="18">
        <v>90000</v>
      </c>
      <c r="F26" s="20">
        <v>261831</v>
      </c>
      <c r="G26" s="18">
        <v>6466</v>
      </c>
      <c r="H26" s="18">
        <v>32436</v>
      </c>
      <c r="I26" s="18">
        <v>95585</v>
      </c>
      <c r="J26" s="21">
        <v>260253</v>
      </c>
      <c r="K26" s="18">
        <v>10103</v>
      </c>
      <c r="L26" s="18">
        <v>33662</v>
      </c>
      <c r="M26" s="18">
        <v>90451</v>
      </c>
      <c r="N26" s="20">
        <v>260524</v>
      </c>
    </row>
    <row r="27" spans="1:14">
      <c r="A27" s="17"/>
      <c r="B27" s="18">
        <v>23</v>
      </c>
      <c r="C27" s="19">
        <v>11664</v>
      </c>
      <c r="D27" s="18">
        <v>29144</v>
      </c>
      <c r="E27" s="18">
        <v>86691</v>
      </c>
      <c r="F27" s="20">
        <v>267241</v>
      </c>
      <c r="G27" s="18">
        <v>6124</v>
      </c>
      <c r="H27" s="18">
        <v>32870</v>
      </c>
      <c r="I27" s="18">
        <v>89970</v>
      </c>
      <c r="J27" s="21">
        <v>265776</v>
      </c>
      <c r="K27" s="18">
        <v>9096</v>
      </c>
      <c r="L27" s="18">
        <v>32375</v>
      </c>
      <c r="M27" s="18">
        <v>87269</v>
      </c>
      <c r="N27" s="20">
        <v>266000</v>
      </c>
    </row>
    <row r="28" spans="1:14">
      <c r="A28" s="17"/>
      <c r="B28" s="18">
        <v>24</v>
      </c>
      <c r="C28" s="19">
        <v>31222</v>
      </c>
      <c r="D28" s="18">
        <v>21148</v>
      </c>
      <c r="E28" s="18">
        <v>88683</v>
      </c>
      <c r="F28" s="20">
        <v>253687</v>
      </c>
      <c r="G28" s="18">
        <v>30371</v>
      </c>
      <c r="H28" s="18">
        <v>13013</v>
      </c>
      <c r="I28" s="18">
        <v>97548</v>
      </c>
      <c r="J28" s="21">
        <v>253808</v>
      </c>
      <c r="K28" s="18">
        <v>26111</v>
      </c>
      <c r="L28" s="18">
        <v>29665</v>
      </c>
      <c r="M28" s="18">
        <v>85759</v>
      </c>
      <c r="N28" s="20">
        <v>253205</v>
      </c>
    </row>
    <row r="29" spans="1:14">
      <c r="A29" s="17"/>
      <c r="B29" s="18">
        <v>25</v>
      </c>
      <c r="C29" s="19">
        <v>8361</v>
      </c>
      <c r="D29" s="18">
        <v>29466</v>
      </c>
      <c r="E29" s="18">
        <v>88586</v>
      </c>
      <c r="F29" s="20">
        <v>268327</v>
      </c>
      <c r="G29" s="18">
        <v>3636</v>
      </c>
      <c r="H29" s="18">
        <v>34098</v>
      </c>
      <c r="I29" s="18">
        <v>90977</v>
      </c>
      <c r="J29" s="21">
        <v>266029</v>
      </c>
      <c r="K29" s="18">
        <v>6619</v>
      </c>
      <c r="L29" s="18">
        <v>31713</v>
      </c>
      <c r="M29" s="18">
        <v>89118</v>
      </c>
      <c r="N29" s="20">
        <v>267290</v>
      </c>
    </row>
    <row r="30" spans="1:14">
      <c r="A30" s="17"/>
      <c r="B30" s="18">
        <v>26</v>
      </c>
      <c r="C30" s="19">
        <v>12936</v>
      </c>
      <c r="D30" s="18">
        <v>24210</v>
      </c>
      <c r="E30" s="18">
        <v>78423</v>
      </c>
      <c r="F30" s="20">
        <v>279171</v>
      </c>
      <c r="G30" s="18">
        <v>7515</v>
      </c>
      <c r="H30" s="18">
        <v>25118</v>
      </c>
      <c r="I30" s="18">
        <v>85047</v>
      </c>
      <c r="J30" s="21">
        <v>277060</v>
      </c>
      <c r="K30" s="18">
        <v>10175</v>
      </c>
      <c r="L30" s="18">
        <v>27822</v>
      </c>
      <c r="M30" s="18">
        <v>79096</v>
      </c>
      <c r="N30" s="20">
        <v>277647</v>
      </c>
    </row>
    <row r="31" spans="1:14">
      <c r="A31" s="17"/>
      <c r="B31" s="18">
        <v>27</v>
      </c>
      <c r="C31" s="19">
        <v>19065</v>
      </c>
      <c r="D31" s="18">
        <v>18230</v>
      </c>
      <c r="E31" s="18">
        <v>82507</v>
      </c>
      <c r="F31" s="20">
        <v>274938</v>
      </c>
      <c r="G31" s="18">
        <v>12807</v>
      </c>
      <c r="H31" s="18">
        <v>16740</v>
      </c>
      <c r="I31" s="18">
        <v>98136</v>
      </c>
      <c r="J31" s="21">
        <v>267057</v>
      </c>
      <c r="K31" s="18">
        <v>12608</v>
      </c>
      <c r="L31" s="18">
        <v>25893</v>
      </c>
      <c r="M31" s="18">
        <v>85422</v>
      </c>
      <c r="N31" s="20">
        <v>270817</v>
      </c>
    </row>
    <row r="32" spans="1:14">
      <c r="A32" s="17"/>
      <c r="B32" s="18">
        <v>28</v>
      </c>
      <c r="C32" s="19">
        <v>15673</v>
      </c>
      <c r="D32" s="18">
        <v>14435</v>
      </c>
      <c r="E32" s="18">
        <v>87475</v>
      </c>
      <c r="F32" s="20">
        <v>277157</v>
      </c>
      <c r="G32" s="18">
        <v>9421</v>
      </c>
      <c r="H32" s="18">
        <v>12615</v>
      </c>
      <c r="I32" s="18">
        <v>103312</v>
      </c>
      <c r="J32" s="21">
        <v>269392</v>
      </c>
      <c r="K32" s="18">
        <v>10620</v>
      </c>
      <c r="L32" s="18">
        <v>20393</v>
      </c>
      <c r="M32" s="18">
        <v>90367</v>
      </c>
      <c r="N32" s="20">
        <v>273360</v>
      </c>
    </row>
    <row r="33" spans="1:14">
      <c r="A33" s="17"/>
      <c r="B33" s="18">
        <v>29</v>
      </c>
      <c r="C33" s="19">
        <v>14804</v>
      </c>
      <c r="D33" s="18">
        <v>17741</v>
      </c>
      <c r="E33" s="18">
        <v>83321</v>
      </c>
      <c r="F33" s="20">
        <v>278874</v>
      </c>
      <c r="G33" s="18">
        <v>7379</v>
      </c>
      <c r="H33" s="18">
        <v>18013</v>
      </c>
      <c r="I33" s="18">
        <v>97320</v>
      </c>
      <c r="J33" s="21">
        <v>272028</v>
      </c>
      <c r="K33" s="18">
        <v>9892</v>
      </c>
      <c r="L33" s="18">
        <v>23538</v>
      </c>
      <c r="M33" s="18">
        <v>85839</v>
      </c>
      <c r="N33" s="20">
        <v>275471</v>
      </c>
    </row>
    <row r="34" spans="1:14">
      <c r="A34" s="17"/>
      <c r="B34" s="18">
        <v>30</v>
      </c>
      <c r="C34" s="19">
        <v>21505</v>
      </c>
      <c r="D34" s="18">
        <v>18586</v>
      </c>
      <c r="E34" s="18">
        <v>87482</v>
      </c>
      <c r="F34" s="20">
        <v>267167</v>
      </c>
      <c r="G34" s="18">
        <v>17668</v>
      </c>
      <c r="H34" s="18">
        <v>14292</v>
      </c>
      <c r="I34" s="18">
        <v>95986</v>
      </c>
      <c r="J34" s="21">
        <v>266794</v>
      </c>
      <c r="K34" s="18">
        <v>17431</v>
      </c>
      <c r="L34" s="18">
        <v>25156</v>
      </c>
      <c r="M34" s="18">
        <v>85519</v>
      </c>
      <c r="N34" s="20">
        <v>266634</v>
      </c>
    </row>
    <row r="35" spans="1:14">
      <c r="A35" s="17"/>
      <c r="B35" s="18">
        <v>31</v>
      </c>
      <c r="C35" s="19">
        <v>1613</v>
      </c>
      <c r="D35" s="18">
        <v>8462</v>
      </c>
      <c r="E35" s="18">
        <v>31376</v>
      </c>
      <c r="F35" s="20">
        <v>353289</v>
      </c>
      <c r="G35" s="18">
        <v>593</v>
      </c>
      <c r="H35" s="18">
        <v>9314</v>
      </c>
      <c r="I35" s="18">
        <v>31361</v>
      </c>
      <c r="J35" s="21">
        <v>353472</v>
      </c>
      <c r="K35" s="18">
        <v>1169</v>
      </c>
      <c r="L35" s="18">
        <v>8872</v>
      </c>
      <c r="M35" s="18">
        <v>31990</v>
      </c>
      <c r="N35" s="20">
        <v>352709</v>
      </c>
    </row>
    <row r="36" spans="1:14">
      <c r="A36" s="17"/>
      <c r="B36" s="18">
        <v>32</v>
      </c>
      <c r="C36" s="19">
        <v>8428</v>
      </c>
      <c r="D36" s="18">
        <v>17630</v>
      </c>
      <c r="E36" s="18">
        <v>84595</v>
      </c>
      <c r="F36" s="20">
        <v>284087</v>
      </c>
      <c r="G36" s="18">
        <v>3013</v>
      </c>
      <c r="H36" s="18">
        <v>18910</v>
      </c>
      <c r="I36" s="18">
        <v>93913</v>
      </c>
      <c r="J36" s="21">
        <v>278904</v>
      </c>
      <c r="K36" s="18">
        <v>5877</v>
      </c>
      <c r="L36" s="18">
        <v>20434</v>
      </c>
      <c r="M36" s="18">
        <v>86856</v>
      </c>
      <c r="N36" s="20">
        <v>281573</v>
      </c>
    </row>
    <row r="37" spans="1:14">
      <c r="A37" s="22"/>
      <c r="B37" s="23" t="s">
        <v>11</v>
      </c>
      <c r="C37" s="24">
        <f>SUM(C4:C36)</f>
        <v>709011</v>
      </c>
      <c r="D37" s="25">
        <f>SUM(D4:D36)</f>
        <v>657819</v>
      </c>
      <c r="E37" s="25">
        <f>SUM(E4:E36)</f>
        <v>3183907</v>
      </c>
      <c r="F37" s="26">
        <f>SUM(F4:F36)</f>
        <v>8475683</v>
      </c>
      <c r="G37" s="25">
        <f>SUM(G4:G36)</f>
        <v>547048</v>
      </c>
      <c r="H37" s="25">
        <f>SUM(H4:H36)</f>
        <v>589448</v>
      </c>
      <c r="I37" s="25">
        <f>SUM(I4:I36)</f>
        <v>3461242</v>
      </c>
      <c r="J37" s="27">
        <f>SUM(J4:J36)</f>
        <v>8428682</v>
      </c>
      <c r="K37" s="25">
        <f>SUM(K4:K36)</f>
        <v>557272</v>
      </c>
      <c r="L37" s="25">
        <f>SUM(L4:L36)</f>
        <v>881556</v>
      </c>
      <c r="M37" s="25">
        <f>SUM(M4:M36)</f>
        <v>3154250</v>
      </c>
      <c r="N37" s="26">
        <f>SUM(N4:N36)</f>
        <v>8433342</v>
      </c>
    </row>
    <row r="40" spans="1:14">
      <c r="A40" s="7"/>
      <c r="B40" s="38" t="s">
        <v>0</v>
      </c>
      <c r="C40" s="35" t="s">
        <v>12</v>
      </c>
      <c r="D40" s="36"/>
      <c r="E40" s="36"/>
      <c r="F40" s="36"/>
      <c r="G40" s="36"/>
      <c r="H40" s="36"/>
      <c r="I40" s="36"/>
      <c r="J40" s="36"/>
      <c r="K40" s="36"/>
      <c r="L40" s="37"/>
      <c r="M40" s="56"/>
      <c r="N40" s="56"/>
    </row>
    <row r="41" spans="1:14">
      <c r="A41" s="7"/>
      <c r="B41" s="34"/>
      <c r="C41" s="34" t="s">
        <v>3</v>
      </c>
      <c r="D41" s="12"/>
      <c r="E41" s="12"/>
      <c r="F41" s="12"/>
      <c r="G41" s="12"/>
      <c r="H41" s="34" t="s">
        <v>4</v>
      </c>
      <c r="I41" s="12"/>
      <c r="J41" s="12"/>
      <c r="K41" s="12"/>
      <c r="L41" s="13"/>
      <c r="M41" s="52"/>
      <c r="N41" s="52"/>
    </row>
    <row r="42" spans="1:14">
      <c r="A42" s="15" t="s">
        <v>5</v>
      </c>
      <c r="B42" s="40"/>
      <c r="C42" s="60" t="s">
        <v>21</v>
      </c>
      <c r="D42" s="61" t="s">
        <v>8</v>
      </c>
      <c r="E42" s="62" t="s">
        <v>22</v>
      </c>
      <c r="F42" s="63" t="s">
        <v>23</v>
      </c>
      <c r="G42" s="58"/>
      <c r="H42" s="60" t="s">
        <v>21</v>
      </c>
      <c r="I42" s="61" t="s">
        <v>8</v>
      </c>
      <c r="J42" s="62" t="s">
        <v>22</v>
      </c>
      <c r="K42" s="63" t="s">
        <v>23</v>
      </c>
      <c r="L42" s="59"/>
      <c r="M42" s="53"/>
      <c r="N42" s="54"/>
    </row>
    <row r="43" spans="1:14">
      <c r="A43" s="17"/>
      <c r="B43" s="18">
        <v>0</v>
      </c>
      <c r="C43" s="1">
        <f>IF(C4=0, (ABS((C4+1)-(G4+1))/(C4+1))*100, (ABS(C4-G4)/C4)*100)</f>
        <v>0</v>
      </c>
      <c r="D43" s="2">
        <f t="shared" ref="D43:F43" si="0">IF(D4=0, (ABS((D4+1)-(H4+1))/(D4+1))*100, (ABS(D4-H4)/D4)*100)</f>
        <v>0</v>
      </c>
      <c r="E43" s="2">
        <f t="shared" si="0"/>
        <v>0</v>
      </c>
      <c r="F43" s="2">
        <f t="shared" si="0"/>
        <v>0</v>
      </c>
      <c r="G43" s="42"/>
      <c r="H43" s="1">
        <f>IF(C4=0, (ABS((C4+1)-(K4+1))/(C4+1))*100, (ABS(C4-K4)/C4)*100)</f>
        <v>0</v>
      </c>
      <c r="I43" s="2">
        <f t="shared" ref="I43:K43" si="1">IF(D4=0, (ABS((D4+1)-(L4+1))/(D4+1))*100, (ABS(D4-L4)/D4)*100)</f>
        <v>0</v>
      </c>
      <c r="J43" s="2">
        <f t="shared" si="1"/>
        <v>0</v>
      </c>
      <c r="K43" s="2">
        <f t="shared" si="1"/>
        <v>0</v>
      </c>
      <c r="L43" s="44"/>
      <c r="M43" s="54"/>
      <c r="N43" s="54"/>
    </row>
    <row r="44" spans="1:14">
      <c r="A44" s="17"/>
      <c r="B44" s="18">
        <v>1</v>
      </c>
      <c r="C44" s="1">
        <f t="shared" ref="C44:C75" si="2">IF(C5=0, (ABS((C5+1)-(G5+1))/(C5+1))*100, (ABS(C5-G5)/C5)*100)</f>
        <v>70.059405940594061</v>
      </c>
      <c r="D44" s="2">
        <f t="shared" ref="D44:D75" si="3">IF(D5=0, (ABS((D5+1)-(H5+1))/(D5+1))*100, (ABS(D5-H5)/D5)*100)</f>
        <v>15.053839116053206</v>
      </c>
      <c r="E44" s="2">
        <f t="shared" ref="E44:E75" si="4">IF(E5=0, (ABS((E5+1)-(I5+1))/(E5+1))*100, (ABS(E5-I5)/E5)*100)</f>
        <v>7.7551390468654695</v>
      </c>
      <c r="F44" s="2">
        <f t="shared" ref="F44:F75" si="5">IF(F5=0, (ABS((F5+1)-(J5+1))/(F5+1))*100, (ABS(F5-J5)/F5)*100)</f>
        <v>7.7878806125930844E-2</v>
      </c>
      <c r="G44" s="42"/>
      <c r="H44" s="1">
        <f t="shared" ref="H44:H76" si="6">IF(C5=0, (ABS((C5+1)-(K5+1))/(C5+1))*100, (ABS(C5-K5)/C5)*100)</f>
        <v>36.504950495049506</v>
      </c>
      <c r="I44" s="2">
        <f t="shared" ref="I44:I76" si="7">IF(D5=0, (ABS((D5+1)-(L5+1))/(D5+1))*100, (ABS(D5-L5)/D5)*100)</f>
        <v>32.394960940249142</v>
      </c>
      <c r="J44" s="2">
        <f t="shared" ref="J44:J76" si="8">IF(E5=0, (ABS((E5+1)-(M5+1))/(E5+1))*100, (ABS(E5-M5)/E5)*100)</f>
        <v>0.34370209188467432</v>
      </c>
      <c r="K44" s="2">
        <f t="shared" ref="K44:K76" si="9">IF(F5=0, (ABS((F5+1)-(N5+1))/(F5+1))*100, (ABS(F5-N5)/F5)*100)</f>
        <v>0.53511571425704019</v>
      </c>
      <c r="L44" s="44"/>
      <c r="M44" s="54"/>
      <c r="N44" s="54"/>
    </row>
    <row r="45" spans="1:14">
      <c r="A45" s="17"/>
      <c r="B45" s="18">
        <v>2</v>
      </c>
      <c r="C45" s="1">
        <f t="shared" si="2"/>
        <v>54.66798810703667</v>
      </c>
      <c r="D45" s="2">
        <f t="shared" si="3"/>
        <v>0.9305980643560261</v>
      </c>
      <c r="E45" s="2">
        <f t="shared" si="4"/>
        <v>1.734708426405589</v>
      </c>
      <c r="F45" s="2">
        <f t="shared" si="5"/>
        <v>0.3314233651382742</v>
      </c>
      <c r="G45" s="42"/>
      <c r="H45" s="1">
        <f t="shared" si="6"/>
        <v>25.550049554013874</v>
      </c>
      <c r="I45" s="2">
        <f t="shared" si="7"/>
        <v>6.4976424849036318</v>
      </c>
      <c r="J45" s="2">
        <f t="shared" si="8"/>
        <v>0.24396812572279516</v>
      </c>
      <c r="K45" s="2">
        <f t="shared" si="9"/>
        <v>0.24658232715205772</v>
      </c>
      <c r="L45" s="44"/>
      <c r="M45" s="54"/>
      <c r="N45" s="54"/>
    </row>
    <row r="46" spans="1:14">
      <c r="A46" s="17"/>
      <c r="B46" s="18">
        <v>3</v>
      </c>
      <c r="C46" s="1">
        <f t="shared" si="2"/>
        <v>56.81345076060849</v>
      </c>
      <c r="D46" s="2">
        <f t="shared" si="3"/>
        <v>14.34371591322264</v>
      </c>
      <c r="E46" s="2">
        <f t="shared" si="4"/>
        <v>5.5029767682650617</v>
      </c>
      <c r="F46" s="2">
        <f t="shared" si="5"/>
        <v>0.3575325423060044</v>
      </c>
      <c r="G46" s="42"/>
      <c r="H46" s="1">
        <f t="shared" si="6"/>
        <v>29.623698959167331</v>
      </c>
      <c r="I46" s="2">
        <f t="shared" si="7"/>
        <v>13.077202763301418</v>
      </c>
      <c r="J46" s="2">
        <f t="shared" si="8"/>
        <v>0.68675985245583382</v>
      </c>
      <c r="K46" s="2">
        <f t="shared" si="9"/>
        <v>0.46583913451356651</v>
      </c>
      <c r="L46" s="44"/>
      <c r="M46" s="54"/>
      <c r="N46" s="54"/>
    </row>
    <row r="47" spans="1:14">
      <c r="A47" s="17"/>
      <c r="B47" s="18">
        <v>4</v>
      </c>
      <c r="C47" s="1">
        <f t="shared" si="2"/>
        <v>80.965954077593025</v>
      </c>
      <c r="D47" s="2">
        <f t="shared" si="3"/>
        <v>11.789228755635271</v>
      </c>
      <c r="E47" s="2">
        <f t="shared" si="4"/>
        <v>6.6508223646863822</v>
      </c>
      <c r="F47" s="2">
        <f t="shared" si="5"/>
        <v>0.52699245153324259</v>
      </c>
      <c r="G47" s="42"/>
      <c r="H47" s="1">
        <f t="shared" si="6"/>
        <v>34.948535233570865</v>
      </c>
      <c r="I47" s="2">
        <f t="shared" si="7"/>
        <v>13.471326772989482</v>
      </c>
      <c r="J47" s="2">
        <f t="shared" si="8"/>
        <v>0.17030101650784521</v>
      </c>
      <c r="K47" s="2">
        <f t="shared" si="9"/>
        <v>0.3381747052109455</v>
      </c>
      <c r="L47" s="44"/>
      <c r="M47" s="54"/>
      <c r="N47" s="54"/>
    </row>
    <row r="48" spans="1:14">
      <c r="A48" s="17"/>
      <c r="B48" s="18">
        <v>5</v>
      </c>
      <c r="C48" s="1">
        <f t="shared" si="2"/>
        <v>57.672355461995338</v>
      </c>
      <c r="D48" s="2">
        <f t="shared" si="3"/>
        <v>24.434196523589925</v>
      </c>
      <c r="E48" s="2">
        <f t="shared" si="4"/>
        <v>10.947020099446741</v>
      </c>
      <c r="F48" s="2">
        <f t="shared" si="5"/>
        <v>0.54916400644773855</v>
      </c>
      <c r="G48" s="42"/>
      <c r="H48" s="1">
        <f t="shared" si="6"/>
        <v>32.606570934516199</v>
      </c>
      <c r="I48" s="2">
        <f t="shared" si="7"/>
        <v>43.16424263923377</v>
      </c>
      <c r="J48" s="2">
        <f t="shared" si="8"/>
        <v>0.3676728062189229</v>
      </c>
      <c r="K48" s="2">
        <f t="shared" si="9"/>
        <v>0.52427383924902815</v>
      </c>
      <c r="L48" s="44"/>
      <c r="M48" s="54"/>
      <c r="N48" s="54"/>
    </row>
    <row r="49" spans="1:18">
      <c r="A49" s="17"/>
      <c r="B49" s="18">
        <v>6</v>
      </c>
      <c r="C49" s="1">
        <f t="shared" si="2"/>
        <v>48.996012033862726</v>
      </c>
      <c r="D49" s="2">
        <f t="shared" si="3"/>
        <v>19.393939393939394</v>
      </c>
      <c r="E49" s="2">
        <f t="shared" si="4"/>
        <v>7.4823518226546346</v>
      </c>
      <c r="F49" s="2">
        <f t="shared" si="5"/>
        <v>1.6952306133840522E-2</v>
      </c>
      <c r="G49" s="42"/>
      <c r="H49" s="1">
        <f t="shared" si="6"/>
        <v>29.538935143077033</v>
      </c>
      <c r="I49" s="2">
        <f t="shared" si="7"/>
        <v>50.036363636363632</v>
      </c>
      <c r="J49" s="2">
        <f t="shared" si="8"/>
        <v>0.9959038798260138</v>
      </c>
      <c r="K49" s="2">
        <f t="shared" si="9"/>
        <v>0.29480473837629984</v>
      </c>
      <c r="L49" s="44"/>
      <c r="M49" s="54"/>
      <c r="N49" s="54"/>
    </row>
    <row r="50" spans="1:18">
      <c r="A50" s="17"/>
      <c r="B50" s="18">
        <v>7</v>
      </c>
      <c r="C50" s="1">
        <f t="shared" si="2"/>
        <v>51.094384470634843</v>
      </c>
      <c r="D50" s="2">
        <f t="shared" si="3"/>
        <v>15.349917081260363</v>
      </c>
      <c r="E50" s="2">
        <f t="shared" si="4"/>
        <v>7.5718101499897275</v>
      </c>
      <c r="F50" s="2">
        <f t="shared" si="5"/>
        <v>0.70191574590650008</v>
      </c>
      <c r="G50" s="42"/>
      <c r="H50" s="1">
        <f t="shared" si="6"/>
        <v>32.158066752500744</v>
      </c>
      <c r="I50" s="2">
        <f t="shared" si="7"/>
        <v>25.154228855721396</v>
      </c>
      <c r="J50" s="2">
        <f t="shared" si="8"/>
        <v>0.98787754263406613</v>
      </c>
      <c r="K50" s="2">
        <f t="shared" si="9"/>
        <v>0.7047395448842847</v>
      </c>
      <c r="L50" s="44"/>
      <c r="M50" s="54"/>
      <c r="N50" s="54"/>
    </row>
    <row r="51" spans="1:18">
      <c r="A51" s="17"/>
      <c r="B51" s="18">
        <v>8</v>
      </c>
      <c r="C51" s="1">
        <f t="shared" si="2"/>
        <v>55.861003861003866</v>
      </c>
      <c r="D51" s="2">
        <f t="shared" si="3"/>
        <v>26.439603150250591</v>
      </c>
      <c r="E51" s="2">
        <f t="shared" si="4"/>
        <v>12.276722702981573</v>
      </c>
      <c r="F51" s="2">
        <f t="shared" si="5"/>
        <v>1.0372026351557104</v>
      </c>
      <c r="G51" s="42"/>
      <c r="H51" s="1">
        <f t="shared" si="6"/>
        <v>33.930501930501933</v>
      </c>
      <c r="I51" s="2">
        <f t="shared" si="7"/>
        <v>53.380382530428562</v>
      </c>
      <c r="J51" s="2">
        <f t="shared" si="8"/>
        <v>1.265440811439585</v>
      </c>
      <c r="K51" s="2">
        <f t="shared" si="9"/>
        <v>0.78913555306333139</v>
      </c>
      <c r="L51" s="44"/>
      <c r="M51" s="54"/>
      <c r="N51" s="54"/>
    </row>
    <row r="52" spans="1:18">
      <c r="A52" s="17"/>
      <c r="B52" s="18">
        <v>9</v>
      </c>
      <c r="C52" s="1">
        <f t="shared" si="2"/>
        <v>52.064174529240816</v>
      </c>
      <c r="D52" s="2">
        <f t="shared" si="3"/>
        <v>25.39503963180772</v>
      </c>
      <c r="E52" s="2">
        <f t="shared" si="4"/>
        <v>14.478180914120648</v>
      </c>
      <c r="F52" s="2">
        <f t="shared" si="5"/>
        <v>0.13430931435095023</v>
      </c>
      <c r="G52" s="42"/>
      <c r="H52" s="1">
        <f t="shared" si="6"/>
        <v>27.095027668298897</v>
      </c>
      <c r="I52" s="2">
        <f t="shared" si="7"/>
        <v>52.69751981590386</v>
      </c>
      <c r="J52" s="2">
        <f t="shared" si="8"/>
        <v>2.3662007403256484</v>
      </c>
      <c r="K52" s="2">
        <f t="shared" si="9"/>
        <v>0.22429655496608689</v>
      </c>
      <c r="L52" s="44"/>
      <c r="M52" s="54"/>
      <c r="N52" s="54"/>
    </row>
    <row r="53" spans="1:18">
      <c r="A53" s="17"/>
      <c r="B53" s="18">
        <v>10</v>
      </c>
      <c r="C53" s="1">
        <f t="shared" si="2"/>
        <v>28.083768868096925</v>
      </c>
      <c r="D53" s="2">
        <f t="shared" si="3"/>
        <v>32.507324824949094</v>
      </c>
      <c r="E53" s="2">
        <f t="shared" si="4"/>
        <v>11.002686256235952</v>
      </c>
      <c r="F53" s="2">
        <f t="shared" si="5"/>
        <v>8.2439479856983439E-2</v>
      </c>
      <c r="G53" s="42"/>
      <c r="H53" s="1">
        <f t="shared" si="6"/>
        <v>22.755016264025439</v>
      </c>
      <c r="I53" s="2">
        <f t="shared" si="7"/>
        <v>47.936634056711526</v>
      </c>
      <c r="J53" s="2">
        <f t="shared" si="8"/>
        <v>2.4873323047765239</v>
      </c>
      <c r="K53" s="2">
        <f t="shared" si="9"/>
        <v>0.11432215162487759</v>
      </c>
      <c r="L53" s="44"/>
      <c r="M53" s="54"/>
      <c r="N53" s="54"/>
    </row>
    <row r="54" spans="1:18">
      <c r="A54" s="17"/>
      <c r="B54" s="18">
        <v>11</v>
      </c>
      <c r="C54" s="1">
        <f t="shared" si="2"/>
        <v>0.18702321384628004</v>
      </c>
      <c r="D54" s="2">
        <f t="shared" si="3"/>
        <v>63.144654088050309</v>
      </c>
      <c r="E54" s="2">
        <f t="shared" si="4"/>
        <v>8.2095991906448056</v>
      </c>
      <c r="F54" s="2">
        <f t="shared" si="5"/>
        <v>0.29498659983352693</v>
      </c>
      <c r="G54" s="42"/>
      <c r="H54" s="1">
        <f t="shared" si="6"/>
        <v>17.79345418751538</v>
      </c>
      <c r="I54" s="2">
        <f t="shared" si="7"/>
        <v>134.57023060796647</v>
      </c>
      <c r="J54" s="2">
        <f t="shared" si="8"/>
        <v>7.9447734103014254</v>
      </c>
      <c r="K54" s="2">
        <f t="shared" si="9"/>
        <v>0.18339476981898342</v>
      </c>
      <c r="L54" s="44"/>
      <c r="M54" s="54"/>
      <c r="N54" s="54"/>
    </row>
    <row r="55" spans="1:18">
      <c r="A55" s="17"/>
      <c r="B55" s="18">
        <v>12</v>
      </c>
      <c r="C55" s="1">
        <f t="shared" si="2"/>
        <v>64.89050620573137</v>
      </c>
      <c r="D55" s="2">
        <f t="shared" si="3"/>
        <v>6.9695140356172649</v>
      </c>
      <c r="E55" s="2">
        <f t="shared" si="4"/>
        <v>9.6373843655109113</v>
      </c>
      <c r="F55" s="2">
        <f t="shared" si="5"/>
        <v>1.3913872229353506</v>
      </c>
      <c r="G55" s="42"/>
      <c r="H55" s="1">
        <f t="shared" si="6"/>
        <v>31.119630905192018</v>
      </c>
      <c r="I55" s="2">
        <f t="shared" si="7"/>
        <v>19.209175973437972</v>
      </c>
      <c r="J55" s="2">
        <f t="shared" si="8"/>
        <v>3.883906503777982E-2</v>
      </c>
      <c r="K55" s="2">
        <f t="shared" si="9"/>
        <v>0.65727054560753517</v>
      </c>
      <c r="L55" s="44"/>
      <c r="M55" s="54"/>
      <c r="N55" s="54"/>
    </row>
    <row r="56" spans="1:18">
      <c r="A56" s="17"/>
      <c r="B56" s="18">
        <v>13</v>
      </c>
      <c r="C56" s="1">
        <f t="shared" si="2"/>
        <v>7.0012593210985807</v>
      </c>
      <c r="D56" s="2">
        <f t="shared" si="3"/>
        <v>61.907561172753326</v>
      </c>
      <c r="E56" s="2">
        <f t="shared" si="4"/>
        <v>3.6369270954388995</v>
      </c>
      <c r="F56" s="2">
        <f t="shared" si="5"/>
        <v>8.6775977138391788E-2</v>
      </c>
      <c r="G56" s="42"/>
      <c r="H56" s="1">
        <f t="shared" si="6"/>
        <v>15.609921752295786</v>
      </c>
      <c r="I56" s="2">
        <f t="shared" si="7"/>
        <v>142.72172826805792</v>
      </c>
      <c r="J56" s="2">
        <f t="shared" si="8"/>
        <v>8.2666489579528726</v>
      </c>
      <c r="K56" s="2">
        <f t="shared" si="9"/>
        <v>0.41888717759998551</v>
      </c>
      <c r="L56" s="44"/>
      <c r="M56" s="54"/>
      <c r="N56" s="54"/>
    </row>
    <row r="57" spans="1:18">
      <c r="A57" s="17"/>
      <c r="B57" s="18">
        <v>14</v>
      </c>
      <c r="C57" s="1">
        <f t="shared" si="2"/>
        <v>3.8048666119605445</v>
      </c>
      <c r="D57" s="2">
        <f t="shared" si="3"/>
        <v>57.993079584775089</v>
      </c>
      <c r="E57" s="2">
        <f t="shared" si="4"/>
        <v>12.011672592014138</v>
      </c>
      <c r="F57" s="2">
        <f t="shared" si="5"/>
        <v>9.0167260267796756E-2</v>
      </c>
      <c r="G57" s="42"/>
      <c r="H57" s="1">
        <f t="shared" si="6"/>
        <v>20.464555456935678</v>
      </c>
      <c r="I57" s="2">
        <f t="shared" si="7"/>
        <v>126.82604592639196</v>
      </c>
      <c r="J57" s="2">
        <f t="shared" si="8"/>
        <v>6.8216847167135901</v>
      </c>
      <c r="K57" s="2">
        <f t="shared" si="9"/>
        <v>0.58608719174067891</v>
      </c>
      <c r="L57" s="44"/>
      <c r="M57" s="54"/>
      <c r="N57" s="54"/>
      <c r="R57" s="2"/>
    </row>
    <row r="58" spans="1:18">
      <c r="A58" s="17"/>
      <c r="B58" s="18">
        <v>15</v>
      </c>
      <c r="C58" s="1">
        <f t="shared" si="2"/>
        <v>58.833641893678923</v>
      </c>
      <c r="D58" s="2">
        <f t="shared" si="3"/>
        <v>8.7939283946543476</v>
      </c>
      <c r="E58" s="2">
        <f t="shared" si="4"/>
        <v>5.0081654872074033</v>
      </c>
      <c r="F58" s="2">
        <f t="shared" si="5"/>
        <v>0.32984926307723622</v>
      </c>
      <c r="G58" s="42"/>
      <c r="H58" s="1">
        <f t="shared" si="6"/>
        <v>26.064533192277175</v>
      </c>
      <c r="I58" s="2">
        <f t="shared" si="7"/>
        <v>12.264202826816257</v>
      </c>
      <c r="J58" s="2">
        <f t="shared" si="8"/>
        <v>2.5843050740624016</v>
      </c>
      <c r="K58" s="2">
        <f t="shared" si="9"/>
        <v>0.34750906935814085</v>
      </c>
      <c r="L58" s="44"/>
      <c r="M58" s="54"/>
      <c r="N58" s="54"/>
    </row>
    <row r="59" spans="1:18">
      <c r="A59" s="17"/>
      <c r="B59" s="18">
        <v>16</v>
      </c>
      <c r="C59" s="1">
        <f t="shared" si="2"/>
        <v>8.0845244057479686</v>
      </c>
      <c r="D59" s="2">
        <f t="shared" si="3"/>
        <v>24.12857142857143</v>
      </c>
      <c r="E59" s="2">
        <f t="shared" si="4"/>
        <v>8.6093890492641147</v>
      </c>
      <c r="F59" s="2">
        <f t="shared" si="5"/>
        <v>0.83732964745345595</v>
      </c>
      <c r="G59" s="42"/>
      <c r="H59" s="1">
        <f t="shared" si="6"/>
        <v>22.082675193589399</v>
      </c>
      <c r="I59" s="2">
        <f t="shared" si="7"/>
        <v>90.819047619047623</v>
      </c>
      <c r="J59" s="2">
        <f t="shared" si="8"/>
        <v>7.6025744167337077</v>
      </c>
      <c r="K59" s="2">
        <f t="shared" si="9"/>
        <v>0.49809946818821582</v>
      </c>
      <c r="L59" s="44"/>
      <c r="M59" s="54"/>
      <c r="N59" s="54"/>
    </row>
    <row r="60" spans="1:18">
      <c r="A60" s="17"/>
      <c r="B60" s="18">
        <v>17</v>
      </c>
      <c r="C60" s="1">
        <f t="shared" si="2"/>
        <v>30.66198183381303</v>
      </c>
      <c r="D60" s="2">
        <f t="shared" si="3"/>
        <v>6.2076271186440675</v>
      </c>
      <c r="E60" s="2">
        <f t="shared" si="4"/>
        <v>12.522931350777252</v>
      </c>
      <c r="F60" s="2">
        <f t="shared" si="5"/>
        <v>0.16159743936202109</v>
      </c>
      <c r="G60" s="42"/>
      <c r="H60" s="1">
        <f t="shared" si="6"/>
        <v>20.244458565394535</v>
      </c>
      <c r="I60" s="2">
        <f t="shared" si="7"/>
        <v>29.325564971751412</v>
      </c>
      <c r="J60" s="2">
        <f t="shared" si="8"/>
        <v>2.5719320266486436</v>
      </c>
      <c r="K60" s="2">
        <f t="shared" si="9"/>
        <v>0.29515869647328191</v>
      </c>
      <c r="L60" s="44"/>
      <c r="M60" s="54"/>
      <c r="N60" s="54"/>
    </row>
    <row r="61" spans="1:18">
      <c r="A61" s="17"/>
      <c r="B61" s="18">
        <v>18</v>
      </c>
      <c r="C61" s="1">
        <f t="shared" si="2"/>
        <v>55.218993041342614</v>
      </c>
      <c r="D61" s="2">
        <f t="shared" si="3"/>
        <v>14.314211448951216</v>
      </c>
      <c r="E61" s="2">
        <f t="shared" si="4"/>
        <v>4.7042213416225707</v>
      </c>
      <c r="F61" s="2">
        <f t="shared" si="5"/>
        <v>0.73768729752256246</v>
      </c>
      <c r="G61" s="42"/>
      <c r="H61" s="1">
        <f t="shared" si="6"/>
        <v>22.939009414654112</v>
      </c>
      <c r="I61" s="2">
        <f t="shared" si="7"/>
        <v>10.793084688387838</v>
      </c>
      <c r="J61" s="2">
        <f t="shared" si="8"/>
        <v>0.74626865671641784</v>
      </c>
      <c r="K61" s="2">
        <f t="shared" si="9"/>
        <v>0.52724276172624862</v>
      </c>
      <c r="L61" s="44"/>
      <c r="M61" s="54"/>
      <c r="N61" s="54"/>
    </row>
    <row r="62" spans="1:18">
      <c r="A62" s="17"/>
      <c r="B62" s="18">
        <v>19</v>
      </c>
      <c r="C62" s="1">
        <f t="shared" si="2"/>
        <v>25.660725261216967</v>
      </c>
      <c r="D62" s="2">
        <f t="shared" si="3"/>
        <v>6.2083596977704989</v>
      </c>
      <c r="E62" s="2">
        <f t="shared" si="4"/>
        <v>7.7348787690082563</v>
      </c>
      <c r="F62" s="2">
        <f t="shared" si="5"/>
        <v>0.41119511871601006</v>
      </c>
      <c r="G62" s="42"/>
      <c r="H62" s="1">
        <f t="shared" si="6"/>
        <v>21.204671173939765</v>
      </c>
      <c r="I62" s="2">
        <f t="shared" si="7"/>
        <v>21.580377414672274</v>
      </c>
      <c r="J62" s="2">
        <f t="shared" si="8"/>
        <v>0.43691368192683955</v>
      </c>
      <c r="K62" s="2">
        <f t="shared" si="9"/>
        <v>0.49158517125090939</v>
      </c>
      <c r="L62" s="44"/>
      <c r="M62" s="54"/>
      <c r="N62" s="54"/>
    </row>
    <row r="63" spans="1:18">
      <c r="A63" s="17"/>
      <c r="B63" s="18">
        <v>20</v>
      </c>
      <c r="C63" s="1">
        <f t="shared" si="2"/>
        <v>30.792874168862127</v>
      </c>
      <c r="D63" s="2">
        <f t="shared" si="3"/>
        <v>7.874605678233439</v>
      </c>
      <c r="E63" s="2">
        <f t="shared" si="4"/>
        <v>8.6908856405846944</v>
      </c>
      <c r="F63" s="2">
        <f t="shared" si="5"/>
        <v>0.45315248196990765</v>
      </c>
      <c r="G63" s="42"/>
      <c r="H63" s="1">
        <f t="shared" si="6"/>
        <v>16.842303349642453</v>
      </c>
      <c r="I63" s="2">
        <f t="shared" si="7"/>
        <v>14.743690851735018</v>
      </c>
      <c r="J63" s="2">
        <f t="shared" si="8"/>
        <v>0.18379191745485812</v>
      </c>
      <c r="K63" s="2">
        <f t="shared" si="9"/>
        <v>0.33909630642324445</v>
      </c>
      <c r="L63" s="44"/>
      <c r="M63" s="54"/>
      <c r="N63" s="54"/>
    </row>
    <row r="64" spans="1:18">
      <c r="A64" s="17"/>
      <c r="B64" s="18">
        <v>21</v>
      </c>
      <c r="C64" s="1">
        <f t="shared" si="2"/>
        <v>3.6664640134686435</v>
      </c>
      <c r="D64" s="2">
        <f t="shared" si="3"/>
        <v>43.214337331984396</v>
      </c>
      <c r="E64" s="2">
        <f t="shared" si="4"/>
        <v>12.141096453188478</v>
      </c>
      <c r="F64" s="2">
        <f t="shared" si="5"/>
        <v>4.1463284466868373E-2</v>
      </c>
      <c r="G64" s="42"/>
      <c r="H64" s="1">
        <f t="shared" si="6"/>
        <v>17.432072206893327</v>
      </c>
      <c r="I64" s="2">
        <f t="shared" si="7"/>
        <v>61.747844100785279</v>
      </c>
      <c r="J64" s="2">
        <f t="shared" si="8"/>
        <v>5.546172456292509</v>
      </c>
      <c r="K64" s="2">
        <f t="shared" si="9"/>
        <v>0.20608483962740518</v>
      </c>
      <c r="L64" s="44"/>
      <c r="M64" s="54"/>
      <c r="N64" s="54"/>
    </row>
    <row r="65" spans="1:14">
      <c r="A65" s="17"/>
      <c r="B65" s="18">
        <v>22</v>
      </c>
      <c r="C65" s="1">
        <f t="shared" si="2"/>
        <v>50.580862121675331</v>
      </c>
      <c r="D65" s="2">
        <f t="shared" si="3"/>
        <v>8.7544006705783737</v>
      </c>
      <c r="E65" s="2">
        <f t="shared" si="4"/>
        <v>6.2055555555555557</v>
      </c>
      <c r="F65" s="2">
        <f t="shared" si="5"/>
        <v>0.60267882718241916</v>
      </c>
      <c r="G65" s="42"/>
      <c r="H65" s="1">
        <f t="shared" si="6"/>
        <v>22.783552430449401</v>
      </c>
      <c r="I65" s="2">
        <f t="shared" si="7"/>
        <v>12.865046102263204</v>
      </c>
      <c r="J65" s="2">
        <f t="shared" si="8"/>
        <v>0.50111111111111106</v>
      </c>
      <c r="K65" s="2">
        <f t="shared" si="9"/>
        <v>0.49917695001737766</v>
      </c>
      <c r="L65" s="44"/>
      <c r="M65" s="54"/>
      <c r="N65" s="54"/>
    </row>
    <row r="66" spans="1:14">
      <c r="A66" s="17"/>
      <c r="B66" s="18">
        <v>23</v>
      </c>
      <c r="C66" s="1">
        <f t="shared" si="2"/>
        <v>47.496570644718794</v>
      </c>
      <c r="D66" s="2">
        <f t="shared" si="3"/>
        <v>12.784792753225362</v>
      </c>
      <c r="E66" s="2">
        <f t="shared" si="4"/>
        <v>3.7823995570474445</v>
      </c>
      <c r="F66" s="2">
        <f t="shared" si="5"/>
        <v>0.54819432646936661</v>
      </c>
      <c r="G66" s="42"/>
      <c r="H66" s="1">
        <f t="shared" si="6"/>
        <v>22.016460905349795</v>
      </c>
      <c r="I66" s="2">
        <f t="shared" si="7"/>
        <v>11.086329947845183</v>
      </c>
      <c r="J66" s="2">
        <f t="shared" si="8"/>
        <v>0.66673587800348366</v>
      </c>
      <c r="K66" s="2">
        <f t="shared" si="9"/>
        <v>0.46437485266108119</v>
      </c>
      <c r="L66" s="44"/>
      <c r="M66" s="54"/>
      <c r="N66" s="54"/>
    </row>
    <row r="67" spans="1:14">
      <c r="A67" s="17"/>
      <c r="B67" s="18">
        <v>24</v>
      </c>
      <c r="C67" s="1">
        <f t="shared" si="2"/>
        <v>2.7256421753891487</v>
      </c>
      <c r="D67" s="2">
        <f t="shared" si="3"/>
        <v>38.466994514847741</v>
      </c>
      <c r="E67" s="2">
        <f t="shared" si="4"/>
        <v>9.9962788809580196</v>
      </c>
      <c r="F67" s="2">
        <f t="shared" si="5"/>
        <v>4.769657097131505E-2</v>
      </c>
      <c r="G67" s="42"/>
      <c r="H67" s="1">
        <f t="shared" si="6"/>
        <v>16.369867401191467</v>
      </c>
      <c r="I67" s="2">
        <f t="shared" si="7"/>
        <v>40.273311897106105</v>
      </c>
      <c r="J67" s="2">
        <f t="shared" si="8"/>
        <v>3.2971369935613364</v>
      </c>
      <c r="K67" s="2">
        <f t="shared" si="9"/>
        <v>0.18999791081135414</v>
      </c>
      <c r="L67" s="44"/>
      <c r="M67" s="54"/>
      <c r="N67" s="54"/>
    </row>
    <row r="68" spans="1:14">
      <c r="A68" s="17"/>
      <c r="B68" s="18">
        <v>25</v>
      </c>
      <c r="C68" s="1">
        <f t="shared" si="2"/>
        <v>56.512378902045214</v>
      </c>
      <c r="D68" s="2">
        <f t="shared" si="3"/>
        <v>15.719812665444918</v>
      </c>
      <c r="E68" s="2">
        <f t="shared" si="4"/>
        <v>2.6990720881403383</v>
      </c>
      <c r="F68" s="2">
        <f t="shared" si="5"/>
        <v>0.85641772911410319</v>
      </c>
      <c r="G68" s="42"/>
      <c r="H68" s="1">
        <f t="shared" si="6"/>
        <v>20.834828369812222</v>
      </c>
      <c r="I68" s="2">
        <f t="shared" si="7"/>
        <v>7.6257381388719212</v>
      </c>
      <c r="J68" s="2">
        <f t="shared" si="8"/>
        <v>0.6005463617275868</v>
      </c>
      <c r="K68" s="2">
        <f t="shared" si="9"/>
        <v>0.38646874895183864</v>
      </c>
      <c r="L68" s="44"/>
      <c r="M68" s="54"/>
      <c r="N68" s="54"/>
    </row>
    <row r="69" spans="1:14">
      <c r="A69" s="17"/>
      <c r="B69" s="18">
        <v>26</v>
      </c>
      <c r="C69" s="1">
        <f t="shared" si="2"/>
        <v>41.906307977736553</v>
      </c>
      <c r="D69" s="2">
        <f t="shared" si="3"/>
        <v>3.750516315572078</v>
      </c>
      <c r="E69" s="2">
        <f t="shared" si="4"/>
        <v>8.4465016640526365</v>
      </c>
      <c r="F69" s="2">
        <f t="shared" si="5"/>
        <v>0.75616736695430398</v>
      </c>
      <c r="G69" s="42"/>
      <c r="H69" s="1">
        <f t="shared" si="6"/>
        <v>21.343537414965986</v>
      </c>
      <c r="I69" s="2">
        <f t="shared" si="7"/>
        <v>14.919454770755886</v>
      </c>
      <c r="J69" s="2">
        <f t="shared" si="8"/>
        <v>0.85816660928554123</v>
      </c>
      <c r="K69" s="2">
        <f t="shared" si="9"/>
        <v>0.54590197405891017</v>
      </c>
      <c r="L69" s="44"/>
      <c r="M69" s="54"/>
      <c r="N69" s="54"/>
    </row>
    <row r="70" spans="1:14">
      <c r="A70" s="17"/>
      <c r="B70" s="18">
        <v>27</v>
      </c>
      <c r="C70" s="1">
        <f t="shared" si="2"/>
        <v>32.824547600314716</v>
      </c>
      <c r="D70" s="2">
        <f t="shared" si="3"/>
        <v>8.1733406472846948</v>
      </c>
      <c r="E70" s="2">
        <f t="shared" si="4"/>
        <v>18.942635170349181</v>
      </c>
      <c r="F70" s="2">
        <f t="shared" si="5"/>
        <v>2.8664644392553957</v>
      </c>
      <c r="G70" s="42"/>
      <c r="H70" s="1">
        <f t="shared" si="6"/>
        <v>33.868345135064253</v>
      </c>
      <c r="I70" s="2">
        <f t="shared" si="7"/>
        <v>42.03510696653867</v>
      </c>
      <c r="J70" s="2">
        <f t="shared" si="8"/>
        <v>3.5330335607887813</v>
      </c>
      <c r="K70" s="2">
        <f t="shared" si="9"/>
        <v>1.4988833846176228</v>
      </c>
      <c r="L70" s="44"/>
      <c r="M70" s="54"/>
      <c r="N70" s="54"/>
    </row>
    <row r="71" spans="1:14">
      <c r="A71" s="17"/>
      <c r="B71" s="18">
        <v>28</v>
      </c>
      <c r="C71" s="1">
        <f t="shared" si="2"/>
        <v>39.890257130096344</v>
      </c>
      <c r="D71" s="2">
        <f t="shared" si="3"/>
        <v>12.60824385174922</v>
      </c>
      <c r="E71" s="2">
        <f t="shared" si="4"/>
        <v>18.10460131466133</v>
      </c>
      <c r="F71" s="2">
        <f t="shared" si="5"/>
        <v>2.8016611523432569</v>
      </c>
      <c r="G71" s="42"/>
      <c r="H71" s="1">
        <f t="shared" si="6"/>
        <v>32.24015823390544</v>
      </c>
      <c r="I71" s="2">
        <f t="shared" si="7"/>
        <v>41.274679598198823</v>
      </c>
      <c r="J71" s="2">
        <f t="shared" si="8"/>
        <v>3.3060874535581597</v>
      </c>
      <c r="K71" s="2">
        <f t="shared" si="9"/>
        <v>1.3699816349578038</v>
      </c>
      <c r="L71" s="44"/>
      <c r="M71" s="54"/>
      <c r="N71" s="54"/>
    </row>
    <row r="72" spans="1:14">
      <c r="A72" s="17"/>
      <c r="B72" s="18">
        <v>29</v>
      </c>
      <c r="C72" s="1">
        <f t="shared" si="2"/>
        <v>50.155363415293166</v>
      </c>
      <c r="D72" s="2">
        <f t="shared" si="3"/>
        <v>1.5331717490558594</v>
      </c>
      <c r="E72" s="2">
        <f t="shared" si="4"/>
        <v>16.801286590415383</v>
      </c>
      <c r="F72" s="2">
        <f t="shared" si="5"/>
        <v>2.4548720927730803</v>
      </c>
      <c r="G72" s="42"/>
      <c r="H72" s="1">
        <f t="shared" si="6"/>
        <v>33.180221561740069</v>
      </c>
      <c r="I72" s="2">
        <f t="shared" si="7"/>
        <v>32.675722901753005</v>
      </c>
      <c r="J72" s="2">
        <f t="shared" si="8"/>
        <v>3.0220472629949233</v>
      </c>
      <c r="K72" s="2">
        <f t="shared" si="9"/>
        <v>1.2202643487739984</v>
      </c>
      <c r="L72" s="44"/>
      <c r="M72" s="54"/>
      <c r="N72" s="54"/>
    </row>
    <row r="73" spans="1:14">
      <c r="A73" s="17"/>
      <c r="B73" s="18">
        <v>30</v>
      </c>
      <c r="C73" s="1">
        <f t="shared" si="2"/>
        <v>17.842362241339224</v>
      </c>
      <c r="D73" s="2">
        <f t="shared" si="3"/>
        <v>23.103411169697623</v>
      </c>
      <c r="E73" s="2">
        <f t="shared" si="4"/>
        <v>9.7208568619830356</v>
      </c>
      <c r="F73" s="2">
        <f t="shared" si="5"/>
        <v>0.13961305101303678</v>
      </c>
      <c r="G73" s="42"/>
      <c r="H73" s="1">
        <f t="shared" si="6"/>
        <v>18.944431527551732</v>
      </c>
      <c r="I73" s="2">
        <f t="shared" si="7"/>
        <v>35.34918756052943</v>
      </c>
      <c r="J73" s="2">
        <f t="shared" si="8"/>
        <v>2.2438901716924624</v>
      </c>
      <c r="K73" s="2">
        <f t="shared" si="9"/>
        <v>0.19950068683632335</v>
      </c>
      <c r="L73" s="44"/>
      <c r="M73" s="54"/>
      <c r="N73" s="54"/>
    </row>
    <row r="74" spans="1:14">
      <c r="A74" s="17"/>
      <c r="B74" s="18">
        <v>31</v>
      </c>
      <c r="C74" s="1">
        <f t="shared" si="2"/>
        <v>63.236205827650338</v>
      </c>
      <c r="D74" s="2">
        <f t="shared" si="3"/>
        <v>10.068541715906406</v>
      </c>
      <c r="E74" s="2">
        <f t="shared" si="4"/>
        <v>4.7807241203467618E-2</v>
      </c>
      <c r="F74" s="2">
        <f t="shared" si="5"/>
        <v>5.179895213267325E-2</v>
      </c>
      <c r="G74" s="42"/>
      <c r="H74" s="1">
        <f t="shared" si="6"/>
        <v>27.526348419094855</v>
      </c>
      <c r="I74" s="2">
        <f t="shared" si="7"/>
        <v>4.8451902623493259</v>
      </c>
      <c r="J74" s="2">
        <f t="shared" si="8"/>
        <v>1.9569097399286077</v>
      </c>
      <c r="K74" s="2">
        <f t="shared" si="9"/>
        <v>0.16417154227841796</v>
      </c>
      <c r="L74" s="44"/>
      <c r="M74" s="54"/>
      <c r="N74" s="54"/>
    </row>
    <row r="75" spans="1:14">
      <c r="A75" s="17"/>
      <c r="B75" s="18">
        <v>32</v>
      </c>
      <c r="C75" s="1">
        <f t="shared" si="2"/>
        <v>64.250118652112008</v>
      </c>
      <c r="D75" s="2">
        <f t="shared" si="3"/>
        <v>7.2603516732841751</v>
      </c>
      <c r="E75" s="2">
        <f t="shared" si="4"/>
        <v>11.014835392162658</v>
      </c>
      <c r="F75" s="2">
        <f t="shared" si="5"/>
        <v>1.8244411043095952</v>
      </c>
      <c r="G75" s="50" t="s">
        <v>13</v>
      </c>
      <c r="H75" s="2">
        <f t="shared" si="6"/>
        <v>30.268153773137165</v>
      </c>
      <c r="I75" s="2">
        <f t="shared" si="7"/>
        <v>15.904707884288143</v>
      </c>
      <c r="J75" s="2">
        <f t="shared" si="8"/>
        <v>2.6727347952006619</v>
      </c>
      <c r="K75" s="2">
        <f t="shared" si="9"/>
        <v>0.88494017677683245</v>
      </c>
      <c r="L75" s="50" t="s">
        <v>13</v>
      </c>
      <c r="M75" s="54"/>
      <c r="N75" s="55"/>
    </row>
    <row r="76" spans="1:14">
      <c r="A76" s="22"/>
      <c r="B76" s="23" t="s">
        <v>11</v>
      </c>
      <c r="C76" s="3">
        <f>(ABS(SUM(C4:C36)-SUM(G4:G36))/SUM(C4:C36))*100</f>
        <v>22.843510185314472</v>
      </c>
      <c r="D76" s="4">
        <f t="shared" ref="D76:F76" si="10">(ABS(SUM(D4:D36)-SUM(H4:H36))/SUM(D4:D36))*100</f>
        <v>10.393588509909261</v>
      </c>
      <c r="E76" s="4">
        <f t="shared" si="10"/>
        <v>8.7105245222300773</v>
      </c>
      <c r="F76" s="4">
        <f t="shared" si="10"/>
        <v>0.55453938048414508</v>
      </c>
      <c r="G76" s="57">
        <f>SUM(C43:F75)/132</f>
        <v>17.021153128736216</v>
      </c>
      <c r="H76" s="4">
        <f>(ABS(SUM(C4:C36)-SUM(K4:K36))/SUM(C4:C36))*100</f>
        <v>21.401501528185037</v>
      </c>
      <c r="I76" s="4">
        <f t="shared" ref="I76:K76" si="11">(ABS(SUM(D4:D36)-SUM(L4:L36))/SUM(D4:D36))*100</f>
        <v>34.011939454469996</v>
      </c>
      <c r="J76" s="4">
        <f t="shared" si="11"/>
        <v>0.9314656489652493</v>
      </c>
      <c r="K76" s="4">
        <f t="shared" si="11"/>
        <v>0.49955856064933057</v>
      </c>
      <c r="L76" s="57">
        <f>SUM(H43:K75)/132</f>
        <v>16.429388963954615</v>
      </c>
      <c r="M76" s="54"/>
      <c r="N76" s="54"/>
    </row>
  </sheetData>
  <mergeCells count="11">
    <mergeCell ref="B40:B42"/>
    <mergeCell ref="A42:A76"/>
    <mergeCell ref="C41:G41"/>
    <mergeCell ref="H41:L41"/>
    <mergeCell ref="C40:L40"/>
    <mergeCell ref="B1:B3"/>
    <mergeCell ref="G1:N1"/>
    <mergeCell ref="A3:A37"/>
    <mergeCell ref="G2:J2"/>
    <mergeCell ref="K2:N2"/>
    <mergeCell ref="C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lea heiniger</cp:lastModifiedBy>
  <cp:revision/>
  <dcterms:created xsi:type="dcterms:W3CDTF">2026-03-10T14:33:58Z</dcterms:created>
  <dcterms:modified xsi:type="dcterms:W3CDTF">2026-03-10T22:33:55Z</dcterms:modified>
  <cp:category/>
  <cp:contentStatus/>
</cp:coreProperties>
</file>